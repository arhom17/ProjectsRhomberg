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543152\Desktop\"/>
    </mc:Choice>
  </mc:AlternateContent>
  <bookViews>
    <workbookView xWindow="0" yWindow="0" windowWidth="6120" windowHeight="2880"/>
  </bookViews>
  <sheets>
    <sheet name="Sheet1" sheetId="1" r:id="rId1"/>
    <sheet name="Possible" sheetId="5" r:id="rId2"/>
    <sheet name="Ranks" sheetId="7" r:id="rId3"/>
    <sheet name="Ranks2" sheetId="8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O8" i="5" l="1"/>
  <c r="P8" i="5"/>
  <c r="Q8" i="5"/>
  <c r="R8" i="5"/>
  <c r="R9" i="5" s="1"/>
  <c r="R10" i="5" s="1"/>
  <c r="R11" i="5" s="1"/>
  <c r="R12" i="5" s="1"/>
  <c r="R13" i="5" s="1"/>
  <c r="S8" i="5"/>
  <c r="T8" i="5"/>
  <c r="U8" i="5"/>
  <c r="V8" i="5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W8" i="5"/>
  <c r="X8" i="5"/>
  <c r="Y8" i="5"/>
  <c r="Z8" i="5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AA8" i="5"/>
  <c r="AB8" i="5"/>
  <c r="AC8" i="5"/>
  <c r="AD8" i="5"/>
  <c r="AD9" i="5" s="1"/>
  <c r="AD10" i="5" s="1"/>
  <c r="AD11" i="5" s="1"/>
  <c r="AD12" i="5" s="1"/>
  <c r="AD13" i="5" s="1"/>
  <c r="AD14" i="5" s="1"/>
  <c r="AD15" i="5" s="1"/>
  <c r="AD16" i="5" s="1"/>
  <c r="AD17" i="5" s="1"/>
  <c r="AD18" i="5" s="1"/>
  <c r="AD19" i="5" s="1"/>
  <c r="AE8" i="5"/>
  <c r="AF8" i="5"/>
  <c r="AG8" i="5"/>
  <c r="AH8" i="5"/>
  <c r="AH9" i="5" s="1"/>
  <c r="AH10" i="5" s="1"/>
  <c r="AH11" i="5" s="1"/>
  <c r="AH12" i="5" s="1"/>
  <c r="AH13" i="5" s="1"/>
  <c r="AH14" i="5" s="1"/>
  <c r="AH15" i="5" s="1"/>
  <c r="AH16" i="5" s="1"/>
  <c r="AH17" i="5" s="1"/>
  <c r="AH18" i="5" s="1"/>
  <c r="AH19" i="5" s="1"/>
  <c r="AI8" i="5"/>
  <c r="AJ8" i="5"/>
  <c r="AK8" i="5"/>
  <c r="AL8" i="5"/>
  <c r="AL9" i="5" s="1"/>
  <c r="AL10" i="5" s="1"/>
  <c r="AL11" i="5" s="1"/>
  <c r="AM8" i="5"/>
  <c r="AN8" i="5"/>
  <c r="AO8" i="5"/>
  <c r="AP8" i="5"/>
  <c r="AP9" i="5" s="1"/>
  <c r="AP10" i="5" s="1"/>
  <c r="AP11" i="5" s="1"/>
  <c r="AP12" i="5" s="1"/>
  <c r="AP13" i="5" s="1"/>
  <c r="AP14" i="5" s="1"/>
  <c r="AP15" i="5" s="1"/>
  <c r="AP16" i="5" s="1"/>
  <c r="AP17" i="5" s="1"/>
  <c r="AP18" i="5" s="1"/>
  <c r="AP19" i="5" s="1"/>
  <c r="AQ8" i="5"/>
  <c r="AR8" i="5"/>
  <c r="AS8" i="5"/>
  <c r="AT8" i="5"/>
  <c r="AT9" i="5" s="1"/>
  <c r="AT10" i="5" s="1"/>
  <c r="AT11" i="5" s="1"/>
  <c r="AT12" i="5" s="1"/>
  <c r="AT13" i="5" s="1"/>
  <c r="AT14" i="5" s="1"/>
  <c r="AT15" i="5" s="1"/>
  <c r="AT16" i="5" s="1"/>
  <c r="AT17" i="5" s="1"/>
  <c r="AT18" i="5" s="1"/>
  <c r="AT19" i="5" s="1"/>
  <c r="AU8" i="5"/>
  <c r="AV8" i="5"/>
  <c r="AW8" i="5"/>
  <c r="AX8" i="5"/>
  <c r="AX9" i="5" s="1"/>
  <c r="AX10" i="5" s="1"/>
  <c r="AX11" i="5" s="1"/>
  <c r="AX12" i="5" s="1"/>
  <c r="AX13" i="5" s="1"/>
  <c r="AX14" i="5" s="1"/>
  <c r="AX15" i="5" s="1"/>
  <c r="AX16" i="5" s="1"/>
  <c r="AX17" i="5" s="1"/>
  <c r="AX18" i="5" s="1"/>
  <c r="AX19" i="5" s="1"/>
  <c r="AY8" i="5"/>
  <c r="AZ8" i="5"/>
  <c r="BA8" i="5"/>
  <c r="BB8" i="5"/>
  <c r="BB9" i="5" s="1"/>
  <c r="BB10" i="5" s="1"/>
  <c r="BB11" i="5" s="1"/>
  <c r="BB12" i="5" s="1"/>
  <c r="BB13" i="5" s="1"/>
  <c r="BB14" i="5" s="1"/>
  <c r="BB15" i="5" s="1"/>
  <c r="BB16" i="5" s="1"/>
  <c r="BB17" i="5" s="1"/>
  <c r="BB18" i="5" s="1"/>
  <c r="BB19" i="5" s="1"/>
  <c r="BC8" i="5"/>
  <c r="BD8" i="5"/>
  <c r="O9" i="5"/>
  <c r="P9" i="5"/>
  <c r="P10" i="5" s="1"/>
  <c r="P11" i="5" s="1"/>
  <c r="P12" i="5" s="1"/>
  <c r="P13" i="5" s="1"/>
  <c r="P14" i="5" s="1"/>
  <c r="P15" i="5" s="1"/>
  <c r="P16" i="5" s="1"/>
  <c r="P17" i="5" s="1"/>
  <c r="P18" i="5" s="1"/>
  <c r="P19" i="5" s="1"/>
  <c r="Q9" i="5"/>
  <c r="S9" i="5"/>
  <c r="T9" i="5"/>
  <c r="U9" i="5"/>
  <c r="W9" i="5"/>
  <c r="X9" i="5"/>
  <c r="X10" i="5" s="1"/>
  <c r="X11" i="5" s="1"/>
  <c r="X12" i="5" s="1"/>
  <c r="X13" i="5" s="1"/>
  <c r="X14" i="5" s="1"/>
  <c r="X15" i="5" s="1"/>
  <c r="X16" i="5" s="1"/>
  <c r="Y9" i="5"/>
  <c r="AA9" i="5"/>
  <c r="AB9" i="5"/>
  <c r="AC9" i="5"/>
  <c r="AE9" i="5"/>
  <c r="AF9" i="5"/>
  <c r="AF10" i="5" s="1"/>
  <c r="AF11" i="5" s="1"/>
  <c r="AF12" i="5" s="1"/>
  <c r="AF13" i="5" s="1"/>
  <c r="AF14" i="5" s="1"/>
  <c r="AF15" i="5" s="1"/>
  <c r="AF16" i="5" s="1"/>
  <c r="AF17" i="5" s="1"/>
  <c r="AF18" i="5" s="1"/>
  <c r="AF19" i="5" s="1"/>
  <c r="AG9" i="5"/>
  <c r="AI9" i="5"/>
  <c r="AJ9" i="5"/>
  <c r="AK9" i="5"/>
  <c r="AM9" i="5"/>
  <c r="AN9" i="5"/>
  <c r="AN10" i="5" s="1"/>
  <c r="AN11" i="5" s="1"/>
  <c r="AN12" i="5" s="1"/>
  <c r="AN13" i="5" s="1"/>
  <c r="AN14" i="5" s="1"/>
  <c r="AN15" i="5" s="1"/>
  <c r="AN16" i="5" s="1"/>
  <c r="AN17" i="5" s="1"/>
  <c r="AN18" i="5" s="1"/>
  <c r="AN19" i="5" s="1"/>
  <c r="AO9" i="5"/>
  <c r="AQ9" i="5"/>
  <c r="AR9" i="5"/>
  <c r="AS9" i="5"/>
  <c r="AS10" i="5" s="1"/>
  <c r="AS11" i="5" s="1"/>
  <c r="AS12" i="5" s="1"/>
  <c r="AS13" i="5" s="1"/>
  <c r="AS14" i="5" s="1"/>
  <c r="AS15" i="5" s="1"/>
  <c r="AS16" i="5" s="1"/>
  <c r="AU9" i="5"/>
  <c r="AV9" i="5"/>
  <c r="AV10" i="5" s="1"/>
  <c r="AV11" i="5" s="1"/>
  <c r="AV12" i="5" s="1"/>
  <c r="AV13" i="5" s="1"/>
  <c r="AV14" i="5" s="1"/>
  <c r="AV15" i="5" s="1"/>
  <c r="AV16" i="5" s="1"/>
  <c r="AV17" i="5" s="1"/>
  <c r="AV18" i="5" s="1"/>
  <c r="AV19" i="5" s="1"/>
  <c r="AW9" i="5"/>
  <c r="AY9" i="5"/>
  <c r="AZ9" i="5"/>
  <c r="BA9" i="5"/>
  <c r="BC9" i="5"/>
  <c r="BD9" i="5"/>
  <c r="O10" i="5"/>
  <c r="Q10" i="5"/>
  <c r="S10" i="5"/>
  <c r="T10" i="5"/>
  <c r="U10" i="5"/>
  <c r="W10" i="5"/>
  <c r="W11" i="5" s="1"/>
  <c r="W12" i="5" s="1"/>
  <c r="W13" i="5" s="1"/>
  <c r="W14" i="5" s="1"/>
  <c r="W15" i="5" s="1"/>
  <c r="Y10" i="5"/>
  <c r="AA10" i="5"/>
  <c r="AA11" i="5" s="1"/>
  <c r="AA12" i="5" s="1"/>
  <c r="AA13" i="5" s="1"/>
  <c r="AA14" i="5" s="1"/>
  <c r="AA15" i="5" s="1"/>
  <c r="AA16" i="5" s="1"/>
  <c r="AA17" i="5" s="1"/>
  <c r="AB10" i="5"/>
  <c r="AC10" i="5"/>
  <c r="AE10" i="5"/>
  <c r="AE11" i="5" s="1"/>
  <c r="AE12" i="5" s="1"/>
  <c r="AE13" i="5" s="1"/>
  <c r="AE14" i="5" s="1"/>
  <c r="AE15" i="5" s="1"/>
  <c r="AG10" i="5"/>
  <c r="AI10" i="5"/>
  <c r="AI11" i="5" s="1"/>
  <c r="AI12" i="5" s="1"/>
  <c r="AI13" i="5" s="1"/>
  <c r="AI14" i="5" s="1"/>
  <c r="AI15" i="5" s="1"/>
  <c r="AI16" i="5" s="1"/>
  <c r="AI17" i="5" s="1"/>
  <c r="AJ10" i="5"/>
  <c r="AK10" i="5"/>
  <c r="AM10" i="5"/>
  <c r="AM11" i="5" s="1"/>
  <c r="AM12" i="5" s="1"/>
  <c r="AM13" i="5" s="1"/>
  <c r="AM14" i="5" s="1"/>
  <c r="AM15" i="5" s="1"/>
  <c r="AO10" i="5"/>
  <c r="AQ10" i="5"/>
  <c r="AQ11" i="5" s="1"/>
  <c r="AQ12" i="5" s="1"/>
  <c r="AQ13" i="5" s="1"/>
  <c r="AQ14" i="5" s="1"/>
  <c r="AQ15" i="5" s="1"/>
  <c r="AQ16" i="5" s="1"/>
  <c r="AQ17" i="5" s="1"/>
  <c r="AQ18" i="5" s="1"/>
  <c r="AQ19" i="5" s="1"/>
  <c r="AR10" i="5"/>
  <c r="AU10" i="5"/>
  <c r="AU11" i="5" s="1"/>
  <c r="AU12" i="5" s="1"/>
  <c r="AU13" i="5" s="1"/>
  <c r="AU14" i="5" s="1"/>
  <c r="AU15" i="5" s="1"/>
  <c r="AW10" i="5"/>
  <c r="AY10" i="5"/>
  <c r="AY11" i="5" s="1"/>
  <c r="AY12" i="5" s="1"/>
  <c r="AY13" i="5" s="1"/>
  <c r="AY14" i="5" s="1"/>
  <c r="AY15" i="5" s="1"/>
  <c r="AZ10" i="5"/>
  <c r="AZ11" i="5" s="1"/>
  <c r="AZ12" i="5" s="1"/>
  <c r="BA10" i="5"/>
  <c r="BC10" i="5"/>
  <c r="BC11" i="5" s="1"/>
  <c r="BC12" i="5" s="1"/>
  <c r="BC13" i="5" s="1"/>
  <c r="BD10" i="5"/>
  <c r="O11" i="5"/>
  <c r="Q11" i="5"/>
  <c r="Q12" i="5" s="1"/>
  <c r="Q13" i="5" s="1"/>
  <c r="Q14" i="5" s="1"/>
  <c r="S11" i="5"/>
  <c r="T11" i="5"/>
  <c r="T12" i="5" s="1"/>
  <c r="T13" i="5" s="1"/>
  <c r="T14" i="5" s="1"/>
  <c r="T15" i="5" s="1"/>
  <c r="T16" i="5" s="1"/>
  <c r="T17" i="5" s="1"/>
  <c r="T18" i="5" s="1"/>
  <c r="T19" i="5" s="1"/>
  <c r="U11" i="5"/>
  <c r="U12" i="5" s="1"/>
  <c r="U13" i="5" s="1"/>
  <c r="U14" i="5" s="1"/>
  <c r="Y11" i="5"/>
  <c r="Y12" i="5" s="1"/>
  <c r="Y13" i="5" s="1"/>
  <c r="Y14" i="5" s="1"/>
  <c r="AB11" i="5"/>
  <c r="AB12" i="5" s="1"/>
  <c r="AC11" i="5"/>
  <c r="AC12" i="5" s="1"/>
  <c r="AC13" i="5" s="1"/>
  <c r="AC14" i="5" s="1"/>
  <c r="AG11" i="5"/>
  <c r="AG12" i="5" s="1"/>
  <c r="AG13" i="5" s="1"/>
  <c r="AG14" i="5" s="1"/>
  <c r="AJ11" i="5"/>
  <c r="AJ12" i="5" s="1"/>
  <c r="AJ13" i="5" s="1"/>
  <c r="AJ14" i="5" s="1"/>
  <c r="AJ15" i="5" s="1"/>
  <c r="AJ16" i="5" s="1"/>
  <c r="AJ17" i="5" s="1"/>
  <c r="AJ18" i="5" s="1"/>
  <c r="AJ19" i="5" s="1"/>
  <c r="AK11" i="5"/>
  <c r="AK12" i="5" s="1"/>
  <c r="AK13" i="5" s="1"/>
  <c r="AK14" i="5" s="1"/>
  <c r="AO11" i="5"/>
  <c r="AO12" i="5" s="1"/>
  <c r="AO13" i="5" s="1"/>
  <c r="AO14" i="5" s="1"/>
  <c r="AR11" i="5"/>
  <c r="AR12" i="5" s="1"/>
  <c r="AW11" i="5"/>
  <c r="AW12" i="5" s="1"/>
  <c r="AW13" i="5" s="1"/>
  <c r="AW14" i="5" s="1"/>
  <c r="BA11" i="5"/>
  <c r="BA12" i="5" s="1"/>
  <c r="BA13" i="5" s="1"/>
  <c r="BA14" i="5" s="1"/>
  <c r="BA15" i="5" s="1"/>
  <c r="BA16" i="5" s="1"/>
  <c r="BD11" i="5"/>
  <c r="BD12" i="5" s="1"/>
  <c r="BD13" i="5" s="1"/>
  <c r="O12" i="5"/>
  <c r="O13" i="5" s="1"/>
  <c r="O14" i="5" s="1"/>
  <c r="O15" i="5" s="1"/>
  <c r="S12" i="5"/>
  <c r="S13" i="5" s="1"/>
  <c r="S14" i="5" s="1"/>
  <c r="S15" i="5" s="1"/>
  <c r="S16" i="5" s="1"/>
  <c r="S17" i="5" s="1"/>
  <c r="AL12" i="5"/>
  <c r="AL13" i="5" s="1"/>
  <c r="AL14" i="5" s="1"/>
  <c r="AL15" i="5" s="1"/>
  <c r="AL16" i="5" s="1"/>
  <c r="AL17" i="5" s="1"/>
  <c r="AB13" i="5"/>
  <c r="AB14" i="5" s="1"/>
  <c r="AB15" i="5" s="1"/>
  <c r="AR13" i="5"/>
  <c r="AR14" i="5" s="1"/>
  <c r="AR15" i="5" s="1"/>
  <c r="AZ13" i="5"/>
  <c r="AZ14" i="5" s="1"/>
  <c r="R14" i="5"/>
  <c r="R15" i="5" s="1"/>
  <c r="R16" i="5" s="1"/>
  <c r="R17" i="5" s="1"/>
  <c r="R18" i="5" s="1"/>
  <c r="R19" i="5" s="1"/>
  <c r="BC14" i="5"/>
  <c r="BC15" i="5" s="1"/>
  <c r="BD14" i="5"/>
  <c r="BD15" i="5" s="1"/>
  <c r="BD16" i="5" s="1"/>
  <c r="BD17" i="5" s="1"/>
  <c r="BD18" i="5" s="1"/>
  <c r="BD19" i="5" s="1"/>
  <c r="Q15" i="5"/>
  <c r="Q16" i="5" s="1"/>
  <c r="Q17" i="5" s="1"/>
  <c r="Q18" i="5" s="1"/>
  <c r="U15" i="5"/>
  <c r="U16" i="5" s="1"/>
  <c r="Y15" i="5"/>
  <c r="Y16" i="5" s="1"/>
  <c r="Y17" i="5" s="1"/>
  <c r="Y18" i="5" s="1"/>
  <c r="Y19" i="5" s="1"/>
  <c r="AC15" i="5"/>
  <c r="AC16" i="5" s="1"/>
  <c r="AG15" i="5"/>
  <c r="AG16" i="5" s="1"/>
  <c r="AG17" i="5" s="1"/>
  <c r="AG18" i="5" s="1"/>
  <c r="AG19" i="5" s="1"/>
  <c r="AK15" i="5"/>
  <c r="AK16" i="5" s="1"/>
  <c r="AO15" i="5"/>
  <c r="AO16" i="5" s="1"/>
  <c r="AO17" i="5" s="1"/>
  <c r="AO18" i="5" s="1"/>
  <c r="AO19" i="5" s="1"/>
  <c r="AW15" i="5"/>
  <c r="AW16" i="5" s="1"/>
  <c r="AW17" i="5" s="1"/>
  <c r="AW18" i="5" s="1"/>
  <c r="AW19" i="5" s="1"/>
  <c r="AZ15" i="5"/>
  <c r="O16" i="5"/>
  <c r="O17" i="5" s="1"/>
  <c r="O18" i="5" s="1"/>
  <c r="O19" i="5" s="1"/>
  <c r="W16" i="5"/>
  <c r="W17" i="5" s="1"/>
  <c r="W18" i="5" s="1"/>
  <c r="W19" i="5" s="1"/>
  <c r="AB16" i="5"/>
  <c r="AB17" i="5" s="1"/>
  <c r="AB18" i="5" s="1"/>
  <c r="AB19" i="5" s="1"/>
  <c r="AE16" i="5"/>
  <c r="AE17" i="5" s="1"/>
  <c r="AE18" i="5" s="1"/>
  <c r="AE19" i="5" s="1"/>
  <c r="AM16" i="5"/>
  <c r="AM17" i="5" s="1"/>
  <c r="AM18" i="5" s="1"/>
  <c r="AM19" i="5" s="1"/>
  <c r="AR16" i="5"/>
  <c r="AR17" i="5" s="1"/>
  <c r="AR18" i="5" s="1"/>
  <c r="AR19" i="5" s="1"/>
  <c r="AU16" i="5"/>
  <c r="AU17" i="5" s="1"/>
  <c r="AU18" i="5" s="1"/>
  <c r="AU19" i="5" s="1"/>
  <c r="AY16" i="5"/>
  <c r="AY17" i="5" s="1"/>
  <c r="AZ16" i="5"/>
  <c r="AZ17" i="5" s="1"/>
  <c r="AZ18" i="5" s="1"/>
  <c r="AZ19" i="5" s="1"/>
  <c r="BC16" i="5"/>
  <c r="BC17" i="5" s="1"/>
  <c r="BC18" i="5" s="1"/>
  <c r="BC19" i="5" s="1"/>
  <c r="U17" i="5"/>
  <c r="U18" i="5" s="1"/>
  <c r="U19" i="5" s="1"/>
  <c r="X17" i="5"/>
  <c r="AC17" i="5"/>
  <c r="AC18" i="5" s="1"/>
  <c r="AC19" i="5" s="1"/>
  <c r="AK17" i="5"/>
  <c r="AK18" i="5" s="1"/>
  <c r="AK19" i="5" s="1"/>
  <c r="AS17" i="5"/>
  <c r="AS18" i="5" s="1"/>
  <c r="AS19" i="5" s="1"/>
  <c r="BA17" i="5"/>
  <c r="BA18" i="5" s="1"/>
  <c r="BA19" i="5" s="1"/>
  <c r="S18" i="5"/>
  <c r="S19" i="5" s="1"/>
  <c r="X18" i="5"/>
  <c r="AA18" i="5"/>
  <c r="AA19" i="5" s="1"/>
  <c r="AI18" i="5"/>
  <c r="AI19" i="5" s="1"/>
  <c r="AL18" i="5"/>
  <c r="AL19" i="5" s="1"/>
  <c r="AY18" i="5"/>
  <c r="AY19" i="5" s="1"/>
  <c r="Q19" i="5"/>
  <c r="X19" i="5"/>
  <c r="L8" i="5"/>
  <c r="M8" i="5"/>
  <c r="M9" i="5" s="1"/>
  <c r="M10" i="5" s="1"/>
  <c r="M11" i="5" s="1"/>
  <c r="M12" i="5" s="1"/>
  <c r="M13" i="5" s="1"/>
  <c r="M14" i="5" s="1"/>
  <c r="M15" i="5" s="1"/>
  <c r="M16" i="5" s="1"/>
  <c r="M17" i="5" s="1"/>
  <c r="M18" i="5" s="1"/>
  <c r="M19" i="5" s="1"/>
  <c r="N8" i="5"/>
  <c r="L9" i="5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N9" i="5"/>
  <c r="N10" i="5" s="1"/>
  <c r="N11" i="5" s="1"/>
  <c r="N12" i="5" s="1"/>
  <c r="N13" i="5" s="1"/>
  <c r="N14" i="5" s="1"/>
  <c r="N15" i="5" s="1"/>
  <c r="N16" i="5" s="1"/>
  <c r="N17" i="5" s="1"/>
  <c r="N18" i="5" s="1"/>
  <c r="N19" i="5" s="1"/>
  <c r="K8" i="5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J8" i="5"/>
  <c r="J9" i="5"/>
  <c r="J10" i="5"/>
  <c r="J11" i="5"/>
  <c r="J12" i="5" s="1"/>
  <c r="J13" i="5" s="1"/>
  <c r="J14" i="5" s="1"/>
  <c r="J15" i="5" s="1"/>
  <c r="J16" i="5" s="1"/>
  <c r="J17" i="5" s="1"/>
  <c r="J18" i="5" s="1"/>
  <c r="J19" i="5" s="1"/>
  <c r="I8" i="5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H8" i="5"/>
  <c r="H9" i="5"/>
  <c r="H10" i="5"/>
  <c r="H11" i="5"/>
  <c r="H12" i="5" s="1"/>
  <c r="H13" i="5" s="1"/>
  <c r="H14" i="5" s="1"/>
  <c r="H15" i="5" s="1"/>
  <c r="H16" i="5" s="1"/>
  <c r="H17" i="5" s="1"/>
  <c r="H18" i="5" s="1"/>
  <c r="H19" i="5" s="1"/>
  <c r="G8" i="5"/>
  <c r="G9" i="5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F8" i="5"/>
  <c r="F9" i="5"/>
  <c r="F10" i="5"/>
  <c r="F11" i="5"/>
  <c r="F12" i="5" s="1"/>
  <c r="F13" i="5" s="1"/>
  <c r="F14" i="5" s="1"/>
  <c r="F15" i="5" s="1"/>
  <c r="F16" i="5" s="1"/>
  <c r="F17" i="5" s="1"/>
  <c r="F18" i="5" s="1"/>
  <c r="F19" i="5" s="1"/>
  <c r="E8" i="5"/>
  <c r="E9" i="5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D8" i="5"/>
  <c r="D9" i="5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C8" i="5"/>
  <c r="C9" i="5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C7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C6" i="5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H4" i="1"/>
  <c r="H5" i="1"/>
  <c r="H6" i="1"/>
  <c r="H7" i="1"/>
  <c r="H8" i="1" s="1"/>
  <c r="H9" i="1" s="1"/>
  <c r="H10" i="1" s="1"/>
  <c r="H11" i="1" s="1"/>
  <c r="H12" i="1" s="1"/>
  <c r="H13" i="1" s="1"/>
  <c r="H14" i="1" s="1"/>
  <c r="H15" i="1" s="1"/>
  <c r="H3" i="1"/>
  <c r="H2" i="1"/>
  <c r="G4" i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3" i="1"/>
  <c r="G2" i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3" i="1"/>
</calcChain>
</file>

<file path=xl/sharedStrings.xml><?xml version="1.0" encoding="utf-8"?>
<sst xmlns="http://schemas.openxmlformats.org/spreadsheetml/2006/main" count="179" uniqueCount="65">
  <si>
    <t>Day</t>
  </si>
  <si>
    <t>Infected</t>
  </si>
  <si>
    <t>Iowa</t>
  </si>
  <si>
    <t>Illionois</t>
  </si>
  <si>
    <t>Wisconsin</t>
  </si>
  <si>
    <t>Total Potential -&gt;</t>
  </si>
  <si>
    <t>Day 1 Num:</t>
  </si>
  <si>
    <t>New York</t>
  </si>
  <si>
    <t>R0:</t>
  </si>
  <si>
    <t>New Jersey</t>
  </si>
  <si>
    <t>Num Deaths:</t>
  </si>
  <si>
    <t>California</t>
  </si>
  <si>
    <t xml:space="preserve">Michigan </t>
  </si>
  <si>
    <t>Massachusetts</t>
  </si>
  <si>
    <t>Florida</t>
  </si>
  <si>
    <t>Illinois</t>
  </si>
  <si>
    <t>Washington</t>
  </si>
  <si>
    <t>Louisiana</t>
  </si>
  <si>
    <t>Pennsylvania</t>
  </si>
  <si>
    <t>Texas</t>
  </si>
  <si>
    <t>Georgia</t>
  </si>
  <si>
    <t>Colorado</t>
  </si>
  <si>
    <t>Connecticut</t>
  </si>
  <si>
    <t>Tennessee</t>
  </si>
  <si>
    <t>Ohio</t>
  </si>
  <si>
    <t>Indiana</t>
  </si>
  <si>
    <t>Maryland</t>
  </si>
  <si>
    <t xml:space="preserve">North Carolina </t>
  </si>
  <si>
    <t>Nevada</t>
  </si>
  <si>
    <t>Arizona</t>
  </si>
  <si>
    <t>Missouri</t>
  </si>
  <si>
    <t>Virginia</t>
  </si>
  <si>
    <t>Alabama</t>
  </si>
  <si>
    <t>South Carolina</t>
  </si>
  <si>
    <t>Mississippi</t>
  </si>
  <si>
    <t>Utah</t>
  </si>
  <si>
    <t>Oregon</t>
  </si>
  <si>
    <t>Minnesota</t>
  </si>
  <si>
    <t>Kentucky</t>
  </si>
  <si>
    <t>Oklahoma</t>
  </si>
  <si>
    <t>Arkansas</t>
  </si>
  <si>
    <t>District of Columbia</t>
  </si>
  <si>
    <t>Kansas</t>
  </si>
  <si>
    <t>Iadaho</t>
  </si>
  <si>
    <t>Rhode Island</t>
  </si>
  <si>
    <t>New Hampshire</t>
  </si>
  <si>
    <t>Maine</t>
  </si>
  <si>
    <t>New Mexico</t>
  </si>
  <si>
    <t>Vermont</t>
  </si>
  <si>
    <t>Delaware</t>
  </si>
  <si>
    <t>Hawaii</t>
  </si>
  <si>
    <t>Montana</t>
  </si>
  <si>
    <t>West Virginina</t>
  </si>
  <si>
    <t>Nebraska</t>
  </si>
  <si>
    <t>Alaska</t>
  </si>
  <si>
    <t>North Dakota</t>
  </si>
  <si>
    <t>South Dakota</t>
  </si>
  <si>
    <t>Wyoming</t>
  </si>
  <si>
    <t>Guam</t>
  </si>
  <si>
    <t>Northern Mariana Islands</t>
  </si>
  <si>
    <t xml:space="preserve">Puerto Rico </t>
  </si>
  <si>
    <t>Virgin Islands</t>
  </si>
  <si>
    <t>Total Current Possible:</t>
  </si>
  <si>
    <t>Source:</t>
  </si>
  <si>
    <t>https://www.worldometers.info/coronavirus/country/us/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</si>
</sst>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164" fontId="2" fillId="0" borderId="0" xfId="1" applyNumberFormat="1" applyFont="1"/>
    <xf numFmtId="0" fontId="2" fillId="0" borderId="0" xfId="0" applyFont="1"/>
    <xf numFmtId="0" fontId="3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orldometers.info/coronavirus/country/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K14" sqref="K14"/>
    </sheetView>
  </sheetViews>
  <sheetFormatPr defaultRowHeight="14.5" x14ac:dyDescent="0.35"/>
  <cols>
    <col min="2" max="2" width="13.6328125" bestFit="1" customWidth="1"/>
    <col min="3" max="3" width="10.08984375" bestFit="1" customWidth="1"/>
    <col min="4" max="4" width="10.08984375" customWidth="1"/>
    <col min="5" max="5" width="15" bestFit="1" customWidth="1"/>
    <col min="6" max="6" width="11.08984375" bestFit="1" customWidth="1"/>
  </cols>
  <sheetData>
    <row r="1" spans="1:8" x14ac:dyDescent="0.35">
      <c r="A1" t="s">
        <v>0</v>
      </c>
      <c r="B1" t="s">
        <v>1</v>
      </c>
      <c r="C1" t="s">
        <v>1</v>
      </c>
      <c r="F1" t="s">
        <v>2</v>
      </c>
      <c r="G1" t="s">
        <v>3</v>
      </c>
      <c r="H1" t="s">
        <v>4</v>
      </c>
    </row>
    <row r="2" spans="1:8" x14ac:dyDescent="0.35">
      <c r="A2">
        <v>1</v>
      </c>
      <c r="B2" s="1">
        <v>57</v>
      </c>
      <c r="C2" s="1">
        <v>57</v>
      </c>
      <c r="D2" s="1"/>
      <c r="F2" s="1">
        <f>57*7</f>
        <v>399</v>
      </c>
      <c r="G2" s="1">
        <f>57*67</f>
        <v>3819</v>
      </c>
      <c r="H2" s="1">
        <f>57*17</f>
        <v>969</v>
      </c>
    </row>
    <row r="3" spans="1:8" x14ac:dyDescent="0.35">
      <c r="A3">
        <v>2</v>
      </c>
      <c r="B3" s="1">
        <f>B2*2.5</f>
        <v>142.5</v>
      </c>
      <c r="C3" s="1">
        <f>C2*1.5</f>
        <v>85.5</v>
      </c>
      <c r="D3" s="1"/>
      <c r="F3" s="1">
        <f>F2*1.5</f>
        <v>598.5</v>
      </c>
      <c r="G3" s="1">
        <f>G2*1.5</f>
        <v>5728.5</v>
      </c>
      <c r="H3" s="1">
        <f>H2*1.5</f>
        <v>1453.5</v>
      </c>
    </row>
    <row r="4" spans="1:8" x14ac:dyDescent="0.35">
      <c r="A4">
        <v>3</v>
      </c>
      <c r="B4" s="1">
        <f t="shared" ref="B4:B15" si="0">B3*2.5</f>
        <v>356.25</v>
      </c>
      <c r="C4" s="1">
        <f t="shared" ref="C4:C15" si="1">C3*1.5</f>
        <v>128.25</v>
      </c>
      <c r="D4" s="1"/>
      <c r="F4" s="1">
        <f t="shared" ref="F4:F15" si="2">F3*1.5</f>
        <v>897.75</v>
      </c>
      <c r="G4" s="1">
        <f t="shared" ref="G4:G15" si="3">G3*1.5</f>
        <v>8592.75</v>
      </c>
      <c r="H4" s="1">
        <f t="shared" ref="H4:H15" si="4">H3*1.5</f>
        <v>2180.25</v>
      </c>
    </row>
    <row r="5" spans="1:8" x14ac:dyDescent="0.35">
      <c r="A5">
        <v>4</v>
      </c>
      <c r="B5" s="1">
        <f t="shared" si="0"/>
        <v>890.625</v>
      </c>
      <c r="C5" s="1">
        <f t="shared" si="1"/>
        <v>192.375</v>
      </c>
      <c r="D5" s="1"/>
      <c r="F5" s="1">
        <f t="shared" si="2"/>
        <v>1346.625</v>
      </c>
      <c r="G5" s="1">
        <f t="shared" si="3"/>
        <v>12889.125</v>
      </c>
      <c r="H5" s="1">
        <f t="shared" si="4"/>
        <v>3270.375</v>
      </c>
    </row>
    <row r="6" spans="1:8" x14ac:dyDescent="0.35">
      <c r="A6">
        <v>5</v>
      </c>
      <c r="B6" s="1">
        <f t="shared" si="0"/>
        <v>2226.5625</v>
      </c>
      <c r="C6" s="1">
        <f t="shared" si="1"/>
        <v>288.5625</v>
      </c>
      <c r="D6" s="1"/>
      <c r="F6" s="1">
        <f t="shared" si="2"/>
        <v>2019.9375</v>
      </c>
      <c r="G6" s="1">
        <f t="shared" si="3"/>
        <v>19333.6875</v>
      </c>
      <c r="H6" s="1">
        <f t="shared" si="4"/>
        <v>4905.5625</v>
      </c>
    </row>
    <row r="7" spans="1:8" x14ac:dyDescent="0.35">
      <c r="A7">
        <v>6</v>
      </c>
      <c r="B7" s="1">
        <f t="shared" si="0"/>
        <v>5566.40625</v>
      </c>
      <c r="C7" s="1">
        <f t="shared" si="1"/>
        <v>432.84375</v>
      </c>
      <c r="D7" s="1"/>
      <c r="F7" s="1">
        <f t="shared" si="2"/>
        <v>3029.90625</v>
      </c>
      <c r="G7" s="1">
        <f t="shared" si="3"/>
        <v>29000.53125</v>
      </c>
      <c r="H7" s="1">
        <f t="shared" si="4"/>
        <v>7358.34375</v>
      </c>
    </row>
    <row r="8" spans="1:8" x14ac:dyDescent="0.35">
      <c r="A8">
        <v>7</v>
      </c>
      <c r="B8" s="1">
        <f t="shared" si="0"/>
        <v>13916.015625</v>
      </c>
      <c r="C8" s="1">
        <f t="shared" si="1"/>
        <v>649.265625</v>
      </c>
      <c r="D8" s="1"/>
      <c r="F8" s="1">
        <f t="shared" si="2"/>
        <v>4544.859375</v>
      </c>
      <c r="G8" s="1">
        <f t="shared" si="3"/>
        <v>43500.796875</v>
      </c>
      <c r="H8" s="1">
        <f t="shared" si="4"/>
        <v>11037.515625</v>
      </c>
    </row>
    <row r="9" spans="1:8" x14ac:dyDescent="0.35">
      <c r="A9">
        <v>8</v>
      </c>
      <c r="B9" s="1">
        <f t="shared" si="0"/>
        <v>34790.0390625</v>
      </c>
      <c r="C9" s="1">
        <f t="shared" si="1"/>
        <v>973.8984375</v>
      </c>
      <c r="D9" s="1"/>
      <c r="F9" s="1">
        <f t="shared" si="2"/>
        <v>6817.2890625</v>
      </c>
      <c r="G9" s="1">
        <f t="shared" si="3"/>
        <v>65251.1953125</v>
      </c>
      <c r="H9" s="1">
        <f t="shared" si="4"/>
        <v>16556.2734375</v>
      </c>
    </row>
    <row r="10" spans="1:8" x14ac:dyDescent="0.35">
      <c r="A10">
        <v>9</v>
      </c>
      <c r="B10" s="1">
        <f t="shared" si="0"/>
        <v>86975.09765625</v>
      </c>
      <c r="C10" s="1">
        <f t="shared" si="1"/>
        <v>1460.84765625</v>
      </c>
      <c r="D10" s="1"/>
      <c r="F10" s="1">
        <f t="shared" si="2"/>
        <v>10225.93359375</v>
      </c>
      <c r="G10" s="1">
        <f t="shared" si="3"/>
        <v>97876.79296875</v>
      </c>
      <c r="H10" s="1">
        <f t="shared" si="4"/>
        <v>24834.41015625</v>
      </c>
    </row>
    <row r="11" spans="1:8" x14ac:dyDescent="0.35">
      <c r="A11">
        <v>10</v>
      </c>
      <c r="B11" s="1">
        <f t="shared" si="0"/>
        <v>217437.744140625</v>
      </c>
      <c r="C11" s="1">
        <f t="shared" si="1"/>
        <v>2191.271484375</v>
      </c>
      <c r="D11" s="1"/>
      <c r="F11" s="1">
        <f t="shared" si="2"/>
        <v>15338.900390625</v>
      </c>
      <c r="G11" s="1">
        <f t="shared" si="3"/>
        <v>146815.189453125</v>
      </c>
      <c r="H11" s="1">
        <f t="shared" si="4"/>
        <v>37251.615234375</v>
      </c>
    </row>
    <row r="12" spans="1:8" x14ac:dyDescent="0.35">
      <c r="A12">
        <v>11</v>
      </c>
      <c r="B12" s="1">
        <f t="shared" si="0"/>
        <v>543594.3603515625</v>
      </c>
      <c r="C12" s="1">
        <f t="shared" si="1"/>
        <v>3286.9072265625</v>
      </c>
      <c r="D12" s="1"/>
      <c r="F12" s="1">
        <f t="shared" si="2"/>
        <v>23008.3505859375</v>
      </c>
      <c r="G12" s="1">
        <f t="shared" si="3"/>
        <v>220222.7841796875</v>
      </c>
      <c r="H12" s="1">
        <f t="shared" si="4"/>
        <v>55877.4228515625</v>
      </c>
    </row>
    <row r="13" spans="1:8" x14ac:dyDescent="0.35">
      <c r="A13">
        <v>12</v>
      </c>
      <c r="B13" s="1">
        <f t="shared" si="0"/>
        <v>1358985.9008789063</v>
      </c>
      <c r="C13" s="1">
        <f t="shared" si="1"/>
        <v>4930.36083984375</v>
      </c>
      <c r="D13" s="1"/>
      <c r="F13" s="1">
        <f t="shared" si="2"/>
        <v>34512.52587890625</v>
      </c>
      <c r="G13" s="1">
        <f t="shared" si="3"/>
        <v>330334.17626953125</v>
      </c>
      <c r="H13" s="1">
        <f t="shared" si="4"/>
        <v>83816.13427734375</v>
      </c>
    </row>
    <row r="14" spans="1:8" x14ac:dyDescent="0.35">
      <c r="A14">
        <v>13</v>
      </c>
      <c r="B14" s="1">
        <f t="shared" si="0"/>
        <v>3397464.7521972656</v>
      </c>
      <c r="C14" s="1">
        <f t="shared" si="1"/>
        <v>7395.541259765625</v>
      </c>
      <c r="D14" s="1"/>
      <c r="F14" s="1">
        <f t="shared" si="2"/>
        <v>51768.788818359375</v>
      </c>
      <c r="G14" s="1">
        <f t="shared" si="3"/>
        <v>495501.26440429688</v>
      </c>
      <c r="H14" s="1">
        <f t="shared" si="4"/>
        <v>125724.20141601563</v>
      </c>
    </row>
    <row r="15" spans="1:8" x14ac:dyDescent="0.35">
      <c r="A15">
        <v>14</v>
      </c>
      <c r="B15" s="2">
        <f t="shared" si="0"/>
        <v>8493661.8804931641</v>
      </c>
      <c r="C15" s="2">
        <f t="shared" si="1"/>
        <v>11093.311889648438</v>
      </c>
      <c r="D15" s="2"/>
      <c r="E15" t="s">
        <v>5</v>
      </c>
      <c r="F15" s="2">
        <f t="shared" si="2"/>
        <v>77653.183227539063</v>
      </c>
      <c r="G15" s="2">
        <f t="shared" si="3"/>
        <v>743251.89660644531</v>
      </c>
      <c r="H15" s="2">
        <f t="shared" si="4"/>
        <v>188586.30212402344</v>
      </c>
    </row>
    <row r="16" spans="1:8" x14ac:dyDescent="0.35">
      <c r="F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1"/>
  <sheetViews>
    <sheetView workbookViewId="0">
      <selection activeCell="I22" sqref="I22"/>
    </sheetView>
  </sheetViews>
  <sheetFormatPr defaultRowHeight="14.5" x14ac:dyDescent="0.35"/>
  <cols>
    <col min="1" max="1" width="19.1796875" bestFit="1" customWidth="1"/>
    <col min="2" max="2" width="14.6328125" bestFit="1" customWidth="1"/>
    <col min="3" max="5" width="13.6328125" bestFit="1" customWidth="1"/>
    <col min="6" max="6" width="13.26953125" bestFit="1" customWidth="1"/>
    <col min="7" max="8" width="12.08984375" bestFit="1" customWidth="1"/>
    <col min="9" max="10" width="13.6328125" bestFit="1" customWidth="1"/>
    <col min="11" max="15" width="12.08984375" bestFit="1" customWidth="1"/>
    <col min="16" max="16" width="11.08984375" bestFit="1" customWidth="1"/>
    <col min="17" max="20" width="12.08984375" bestFit="1" customWidth="1"/>
    <col min="21" max="21" width="13.6328125" bestFit="1" customWidth="1"/>
    <col min="22" max="25" width="12.08984375" bestFit="1" customWidth="1"/>
    <col min="26" max="26" width="11.08984375" bestFit="1" customWidth="1"/>
    <col min="27" max="27" width="13.1796875" bestFit="1" customWidth="1"/>
    <col min="28" max="28" width="12.08984375" bestFit="1" customWidth="1"/>
    <col min="29" max="29" width="11.08984375" bestFit="1" customWidth="1"/>
    <col min="30" max="30" width="12.08984375" bestFit="1" customWidth="1"/>
    <col min="31" max="32" width="11.08984375" bestFit="1" customWidth="1"/>
    <col min="33" max="33" width="12.08984375" bestFit="1" customWidth="1"/>
    <col min="34" max="34" width="11.08984375" bestFit="1" customWidth="1"/>
    <col min="35" max="35" width="17.453125" bestFit="1" customWidth="1"/>
    <col min="36" max="38" width="11.08984375" bestFit="1" customWidth="1"/>
    <col min="39" max="39" width="11.7265625" bestFit="1" customWidth="1"/>
    <col min="40" max="40" width="14.26953125" bestFit="1" customWidth="1"/>
    <col min="41" max="42" width="11.08984375" bestFit="1" customWidth="1"/>
    <col min="43" max="43" width="12.08984375" bestFit="1" customWidth="1"/>
    <col min="44" max="44" width="11.08984375" bestFit="1" customWidth="1"/>
    <col min="45" max="45" width="7.6328125" bestFit="1" customWidth="1"/>
    <col min="46" max="46" width="11.08984375" bestFit="1" customWidth="1"/>
    <col min="47" max="47" width="13" bestFit="1" customWidth="1"/>
    <col min="48" max="49" width="11.08984375" bestFit="1" customWidth="1"/>
    <col min="50" max="51" width="12.08984375" bestFit="1" customWidth="1"/>
    <col min="52" max="52" width="8.81640625" bestFit="1" customWidth="1"/>
    <col min="53" max="53" width="11.08984375" bestFit="1" customWidth="1"/>
    <col min="54" max="54" width="22.54296875" bestFit="1" customWidth="1"/>
    <col min="55" max="55" width="11.08984375" bestFit="1" customWidth="1"/>
    <col min="56" max="56" width="11.90625" bestFit="1" customWidth="1"/>
  </cols>
  <sheetData>
    <row r="1" spans="1:56" x14ac:dyDescent="0.35">
      <c r="A1" t="s">
        <v>6</v>
      </c>
      <c r="B1">
        <v>57</v>
      </c>
    </row>
    <row r="2" spans="1:56" x14ac:dyDescent="0.35">
      <c r="A2" t="s">
        <v>8</v>
      </c>
      <c r="B2">
        <v>1.5</v>
      </c>
    </row>
    <row r="4" spans="1:56" x14ac:dyDescent="0.35">
      <c r="A4" t="s">
        <v>10</v>
      </c>
      <c r="B4">
        <v>965</v>
      </c>
      <c r="C4">
        <v>161</v>
      </c>
      <c r="D4">
        <v>131</v>
      </c>
      <c r="E4">
        <v>132</v>
      </c>
      <c r="F4">
        <v>48</v>
      </c>
      <c r="G4">
        <v>60</v>
      </c>
      <c r="H4">
        <v>65</v>
      </c>
      <c r="I4">
        <v>195</v>
      </c>
      <c r="J4">
        <v>151</v>
      </c>
      <c r="K4">
        <v>41</v>
      </c>
      <c r="L4">
        <v>38</v>
      </c>
      <c r="M4">
        <v>83</v>
      </c>
      <c r="N4">
        <v>47</v>
      </c>
      <c r="O4">
        <v>34</v>
      </c>
      <c r="P4">
        <v>7</v>
      </c>
      <c r="Q4">
        <v>29</v>
      </c>
      <c r="R4">
        <v>32</v>
      </c>
      <c r="S4">
        <v>10</v>
      </c>
      <c r="T4">
        <v>17</v>
      </c>
      <c r="U4">
        <v>7</v>
      </c>
      <c r="V4">
        <v>15</v>
      </c>
      <c r="W4">
        <v>17</v>
      </c>
      <c r="X4">
        <v>12</v>
      </c>
      <c r="Y4">
        <v>22</v>
      </c>
      <c r="Z4">
        <v>9</v>
      </c>
      <c r="AA4">
        <v>16</v>
      </c>
      <c r="AB4">
        <v>14</v>
      </c>
      <c r="AC4">
        <v>2</v>
      </c>
      <c r="AD4">
        <v>13</v>
      </c>
      <c r="AE4">
        <v>9</v>
      </c>
      <c r="AF4">
        <v>8</v>
      </c>
      <c r="AG4">
        <v>16</v>
      </c>
      <c r="AH4">
        <v>6</v>
      </c>
      <c r="AI4">
        <v>5</v>
      </c>
      <c r="AJ4">
        <v>3</v>
      </c>
      <c r="AK4">
        <v>6</v>
      </c>
      <c r="AL4">
        <v>6</v>
      </c>
      <c r="AM4">
        <v>3</v>
      </c>
      <c r="AN4">
        <v>3</v>
      </c>
      <c r="AO4">
        <v>3</v>
      </c>
      <c r="AP4">
        <v>2</v>
      </c>
      <c r="AQ4">
        <v>12</v>
      </c>
      <c r="AR4">
        <v>6</v>
      </c>
      <c r="AS4">
        <v>1E-3</v>
      </c>
      <c r="AT4">
        <v>1</v>
      </c>
      <c r="AU4">
        <v>1</v>
      </c>
      <c r="AV4">
        <v>2</v>
      </c>
      <c r="AW4">
        <v>2</v>
      </c>
      <c r="AX4">
        <v>1</v>
      </c>
      <c r="AY4">
        <v>1</v>
      </c>
      <c r="AZ4">
        <v>1E-3</v>
      </c>
      <c r="BA4">
        <v>1</v>
      </c>
      <c r="BB4">
        <v>1E-3</v>
      </c>
      <c r="BC4">
        <v>5</v>
      </c>
      <c r="BD4">
        <v>1E-3</v>
      </c>
    </row>
    <row r="5" spans="1:56" x14ac:dyDescent="0.35">
      <c r="A5" t="s">
        <v>0</v>
      </c>
      <c r="B5" t="s">
        <v>7</v>
      </c>
      <c r="C5" t="s">
        <v>9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t="s">
        <v>18</v>
      </c>
      <c r="L5" t="s">
        <v>19</v>
      </c>
      <c r="M5" t="s">
        <v>20</v>
      </c>
      <c r="N5" t="s">
        <v>21</v>
      </c>
      <c r="O5" t="s">
        <v>22</v>
      </c>
      <c r="P5" t="s">
        <v>23</v>
      </c>
      <c r="Q5" t="s">
        <v>24</v>
      </c>
      <c r="R5" t="s">
        <v>25</v>
      </c>
      <c r="S5" t="s">
        <v>26</v>
      </c>
      <c r="T5" t="s">
        <v>4</v>
      </c>
      <c r="U5" t="s">
        <v>27</v>
      </c>
      <c r="V5" t="s">
        <v>28</v>
      </c>
      <c r="W5" t="s">
        <v>29</v>
      </c>
      <c r="X5" t="s">
        <v>30</v>
      </c>
      <c r="Y5" t="s">
        <v>31</v>
      </c>
      <c r="Z5" t="s">
        <v>32</v>
      </c>
      <c r="AA5" t="s">
        <v>33</v>
      </c>
      <c r="AB5" t="s">
        <v>34</v>
      </c>
      <c r="AC5" t="s">
        <v>35</v>
      </c>
      <c r="AD5" t="s">
        <v>36</v>
      </c>
      <c r="AE5" t="s">
        <v>37</v>
      </c>
      <c r="AF5" t="s">
        <v>38</v>
      </c>
      <c r="AG5" t="s">
        <v>39</v>
      </c>
      <c r="AH5" t="s">
        <v>40</v>
      </c>
      <c r="AI5" t="s">
        <v>41</v>
      </c>
      <c r="AJ5" t="s">
        <v>2</v>
      </c>
      <c r="AK5" t="s">
        <v>42</v>
      </c>
      <c r="AL5" t="s">
        <v>43</v>
      </c>
      <c r="AM5" t="s">
        <v>44</v>
      </c>
      <c r="AN5" t="s">
        <v>45</v>
      </c>
      <c r="AO5" t="s">
        <v>46</v>
      </c>
      <c r="AP5" t="s">
        <v>47</v>
      </c>
      <c r="AQ5" t="s">
        <v>48</v>
      </c>
      <c r="AR5" t="s">
        <v>49</v>
      </c>
      <c r="AS5" t="s">
        <v>50</v>
      </c>
      <c r="AT5" t="s">
        <v>51</v>
      </c>
      <c r="AU5" t="s">
        <v>52</v>
      </c>
      <c r="AV5" t="s">
        <v>53</v>
      </c>
      <c r="AW5" t="s">
        <v>54</v>
      </c>
      <c r="AX5" t="s">
        <v>55</v>
      </c>
      <c r="AY5" t="s">
        <v>56</v>
      </c>
      <c r="AZ5" t="s">
        <v>57</v>
      </c>
      <c r="BA5" t="s">
        <v>58</v>
      </c>
      <c r="BB5" t="s">
        <v>59</v>
      </c>
      <c r="BC5" t="s">
        <v>60</v>
      </c>
      <c r="BD5" t="s">
        <v>61</v>
      </c>
    </row>
    <row r="6" spans="1:56" x14ac:dyDescent="0.35">
      <c r="A6">
        <v>1</v>
      </c>
      <c r="B6" s="1">
        <f>$B$1*B4</f>
        <v>55005</v>
      </c>
      <c r="C6" s="1">
        <f>$B$1*C4</f>
        <v>9177</v>
      </c>
      <c r="D6" s="1">
        <f t="shared" ref="D6:BD6" si="0">$B$1*D4</f>
        <v>7467</v>
      </c>
      <c r="E6" s="1">
        <f t="shared" si="0"/>
        <v>7524</v>
      </c>
      <c r="F6" s="1">
        <f t="shared" si="0"/>
        <v>2736</v>
      </c>
      <c r="G6" s="1">
        <f t="shared" si="0"/>
        <v>3420</v>
      </c>
      <c r="H6" s="1">
        <f t="shared" si="0"/>
        <v>3705</v>
      </c>
      <c r="I6" s="1">
        <f t="shared" si="0"/>
        <v>11115</v>
      </c>
      <c r="J6" s="1">
        <f t="shared" si="0"/>
        <v>8607</v>
      </c>
      <c r="K6" s="1">
        <f t="shared" si="0"/>
        <v>2337</v>
      </c>
      <c r="L6" s="1">
        <f t="shared" si="0"/>
        <v>2166</v>
      </c>
      <c r="M6" s="1">
        <f t="shared" si="0"/>
        <v>4731</v>
      </c>
      <c r="N6" s="1">
        <f t="shared" si="0"/>
        <v>2679</v>
      </c>
      <c r="O6" s="1">
        <f t="shared" si="0"/>
        <v>1938</v>
      </c>
      <c r="P6" s="1">
        <f t="shared" si="0"/>
        <v>399</v>
      </c>
      <c r="Q6" s="1">
        <f t="shared" si="0"/>
        <v>1653</v>
      </c>
      <c r="R6" s="1">
        <f t="shared" si="0"/>
        <v>1824</v>
      </c>
      <c r="S6" s="1">
        <f t="shared" si="0"/>
        <v>570</v>
      </c>
      <c r="T6" s="1">
        <f t="shared" si="0"/>
        <v>969</v>
      </c>
      <c r="U6" s="1">
        <f t="shared" si="0"/>
        <v>399</v>
      </c>
      <c r="V6" s="1">
        <f t="shared" si="0"/>
        <v>855</v>
      </c>
      <c r="W6" s="1">
        <f t="shared" si="0"/>
        <v>969</v>
      </c>
      <c r="X6" s="1">
        <f t="shared" si="0"/>
        <v>684</v>
      </c>
      <c r="Y6" s="1">
        <f t="shared" si="0"/>
        <v>1254</v>
      </c>
      <c r="Z6" s="1">
        <f t="shared" si="0"/>
        <v>513</v>
      </c>
      <c r="AA6" s="1">
        <f t="shared" si="0"/>
        <v>912</v>
      </c>
      <c r="AB6" s="1">
        <f t="shared" si="0"/>
        <v>798</v>
      </c>
      <c r="AC6" s="1">
        <f t="shared" si="0"/>
        <v>114</v>
      </c>
      <c r="AD6" s="1">
        <f t="shared" si="0"/>
        <v>741</v>
      </c>
      <c r="AE6" s="1">
        <f t="shared" si="0"/>
        <v>513</v>
      </c>
      <c r="AF6" s="1">
        <f t="shared" si="0"/>
        <v>456</v>
      </c>
      <c r="AG6" s="1">
        <f t="shared" si="0"/>
        <v>912</v>
      </c>
      <c r="AH6" s="1">
        <f t="shared" si="0"/>
        <v>342</v>
      </c>
      <c r="AI6" s="1">
        <f t="shared" si="0"/>
        <v>285</v>
      </c>
      <c r="AJ6" s="1">
        <f t="shared" si="0"/>
        <v>171</v>
      </c>
      <c r="AK6" s="1">
        <f t="shared" si="0"/>
        <v>342</v>
      </c>
      <c r="AL6" s="1">
        <f t="shared" si="0"/>
        <v>342</v>
      </c>
      <c r="AM6" s="1">
        <f t="shared" si="0"/>
        <v>171</v>
      </c>
      <c r="AN6" s="1">
        <f t="shared" si="0"/>
        <v>171</v>
      </c>
      <c r="AO6" s="1">
        <f t="shared" si="0"/>
        <v>171</v>
      </c>
      <c r="AP6" s="1">
        <f t="shared" si="0"/>
        <v>114</v>
      </c>
      <c r="AQ6" s="1">
        <f t="shared" si="0"/>
        <v>684</v>
      </c>
      <c r="AR6" s="1">
        <f t="shared" si="0"/>
        <v>342</v>
      </c>
      <c r="AS6" s="1">
        <f t="shared" si="0"/>
        <v>5.7000000000000002E-2</v>
      </c>
      <c r="AT6" s="1">
        <f t="shared" si="0"/>
        <v>57</v>
      </c>
      <c r="AU6" s="1">
        <f t="shared" si="0"/>
        <v>57</v>
      </c>
      <c r="AV6" s="1">
        <f t="shared" si="0"/>
        <v>114</v>
      </c>
      <c r="AW6" s="1">
        <f t="shared" si="0"/>
        <v>114</v>
      </c>
      <c r="AX6" s="1">
        <f t="shared" si="0"/>
        <v>57</v>
      </c>
      <c r="AY6" s="1">
        <f t="shared" si="0"/>
        <v>57</v>
      </c>
      <c r="AZ6" s="1">
        <f t="shared" si="0"/>
        <v>5.7000000000000002E-2</v>
      </c>
      <c r="BA6" s="1">
        <f t="shared" si="0"/>
        <v>57</v>
      </c>
      <c r="BB6" s="1">
        <f t="shared" si="0"/>
        <v>5.7000000000000002E-2</v>
      </c>
      <c r="BC6" s="1">
        <f t="shared" si="0"/>
        <v>285</v>
      </c>
      <c r="BD6" s="1">
        <f t="shared" si="0"/>
        <v>5.7000000000000002E-2</v>
      </c>
    </row>
    <row r="7" spans="1:56" x14ac:dyDescent="0.35">
      <c r="A7">
        <v>2</v>
      </c>
      <c r="B7" s="1">
        <f>B6*$B$2</f>
        <v>82507.5</v>
      </c>
      <c r="C7" s="1">
        <f>C6*$B$2</f>
        <v>13765.5</v>
      </c>
      <c r="D7" s="1">
        <f t="shared" ref="D7:BD19" si="1">D6*$B$2</f>
        <v>11200.5</v>
      </c>
      <c r="E7" s="1">
        <f t="shared" si="1"/>
        <v>11286</v>
      </c>
      <c r="F7" s="1">
        <f t="shared" si="1"/>
        <v>4104</v>
      </c>
      <c r="G7" s="1">
        <f t="shared" si="1"/>
        <v>5130</v>
      </c>
      <c r="H7" s="1">
        <f t="shared" si="1"/>
        <v>5557.5</v>
      </c>
      <c r="I7" s="1">
        <f t="shared" si="1"/>
        <v>16672.5</v>
      </c>
      <c r="J7" s="1">
        <f t="shared" si="1"/>
        <v>12910.5</v>
      </c>
      <c r="K7" s="1">
        <f t="shared" si="1"/>
        <v>3505.5</v>
      </c>
      <c r="L7" s="1">
        <f t="shared" si="1"/>
        <v>3249</v>
      </c>
      <c r="M7" s="1">
        <f t="shared" si="1"/>
        <v>7096.5</v>
      </c>
      <c r="N7" s="1">
        <f t="shared" si="1"/>
        <v>4018.5</v>
      </c>
      <c r="O7" s="1">
        <f t="shared" si="1"/>
        <v>2907</v>
      </c>
      <c r="P7" s="1">
        <f t="shared" si="1"/>
        <v>598.5</v>
      </c>
      <c r="Q7" s="1">
        <f t="shared" si="1"/>
        <v>2479.5</v>
      </c>
      <c r="R7" s="1">
        <f t="shared" si="1"/>
        <v>2736</v>
      </c>
      <c r="S7" s="1">
        <f t="shared" si="1"/>
        <v>855</v>
      </c>
      <c r="T7" s="1">
        <f t="shared" si="1"/>
        <v>1453.5</v>
      </c>
      <c r="U7" s="1">
        <f t="shared" si="1"/>
        <v>598.5</v>
      </c>
      <c r="V7" s="1">
        <f t="shared" si="1"/>
        <v>1282.5</v>
      </c>
      <c r="W7" s="1">
        <f t="shared" si="1"/>
        <v>1453.5</v>
      </c>
      <c r="X7" s="1">
        <f t="shared" si="1"/>
        <v>1026</v>
      </c>
      <c r="Y7" s="1">
        <f t="shared" si="1"/>
        <v>1881</v>
      </c>
      <c r="Z7" s="1">
        <f t="shared" si="1"/>
        <v>769.5</v>
      </c>
      <c r="AA7" s="1">
        <f t="shared" si="1"/>
        <v>1368</v>
      </c>
      <c r="AB7" s="1">
        <f t="shared" si="1"/>
        <v>1197</v>
      </c>
      <c r="AC7" s="1">
        <f t="shared" si="1"/>
        <v>171</v>
      </c>
      <c r="AD7" s="1">
        <f t="shared" si="1"/>
        <v>1111.5</v>
      </c>
      <c r="AE7" s="1">
        <f t="shared" si="1"/>
        <v>769.5</v>
      </c>
      <c r="AF7" s="1">
        <f t="shared" si="1"/>
        <v>684</v>
      </c>
      <c r="AG7" s="1">
        <f t="shared" si="1"/>
        <v>1368</v>
      </c>
      <c r="AH7" s="1">
        <f t="shared" si="1"/>
        <v>513</v>
      </c>
      <c r="AI7" s="1">
        <f t="shared" si="1"/>
        <v>427.5</v>
      </c>
      <c r="AJ7" s="1">
        <f t="shared" si="1"/>
        <v>256.5</v>
      </c>
      <c r="AK7" s="1">
        <f t="shared" si="1"/>
        <v>513</v>
      </c>
      <c r="AL7" s="1">
        <f t="shared" si="1"/>
        <v>513</v>
      </c>
      <c r="AM7" s="1">
        <f t="shared" si="1"/>
        <v>256.5</v>
      </c>
      <c r="AN7" s="1">
        <f t="shared" si="1"/>
        <v>256.5</v>
      </c>
      <c r="AO7" s="1">
        <f t="shared" si="1"/>
        <v>256.5</v>
      </c>
      <c r="AP7" s="1">
        <f t="shared" si="1"/>
        <v>171</v>
      </c>
      <c r="AQ7" s="1">
        <f t="shared" si="1"/>
        <v>1026</v>
      </c>
      <c r="AR7" s="1">
        <f t="shared" si="1"/>
        <v>513</v>
      </c>
      <c r="AS7" s="1">
        <f t="shared" si="1"/>
        <v>8.5500000000000007E-2</v>
      </c>
      <c r="AT7" s="1">
        <f t="shared" si="1"/>
        <v>85.5</v>
      </c>
      <c r="AU7" s="1">
        <f t="shared" si="1"/>
        <v>85.5</v>
      </c>
      <c r="AV7" s="1">
        <f t="shared" si="1"/>
        <v>171</v>
      </c>
      <c r="AW7" s="1">
        <f t="shared" si="1"/>
        <v>171</v>
      </c>
      <c r="AX7" s="1">
        <f t="shared" si="1"/>
        <v>85.5</v>
      </c>
      <c r="AY7" s="1">
        <f t="shared" si="1"/>
        <v>85.5</v>
      </c>
      <c r="AZ7" s="1">
        <f t="shared" si="1"/>
        <v>8.5500000000000007E-2</v>
      </c>
      <c r="BA7" s="1">
        <f t="shared" si="1"/>
        <v>85.5</v>
      </c>
      <c r="BB7" s="1">
        <f t="shared" si="1"/>
        <v>8.5500000000000007E-2</v>
      </c>
      <c r="BC7" s="1">
        <f t="shared" si="1"/>
        <v>427.5</v>
      </c>
      <c r="BD7" s="1">
        <f t="shared" si="1"/>
        <v>8.5500000000000007E-2</v>
      </c>
    </row>
    <row r="8" spans="1:56" x14ac:dyDescent="0.35">
      <c r="A8">
        <v>3</v>
      </c>
      <c r="B8" s="1">
        <f t="shared" ref="B8:B19" si="2">B7*$B$2</f>
        <v>123761.25</v>
      </c>
      <c r="C8" s="1">
        <f t="shared" ref="C8:C19" si="3">C7*$B$2</f>
        <v>20648.25</v>
      </c>
      <c r="D8" s="1">
        <f t="shared" si="1"/>
        <v>16800.75</v>
      </c>
      <c r="E8" s="1">
        <f t="shared" si="1"/>
        <v>16929</v>
      </c>
      <c r="F8" s="1">
        <f t="shared" si="1"/>
        <v>6156</v>
      </c>
      <c r="G8" s="1">
        <f t="shared" si="1"/>
        <v>7695</v>
      </c>
      <c r="H8" s="1">
        <f t="shared" si="1"/>
        <v>8336.25</v>
      </c>
      <c r="I8" s="1">
        <f t="shared" si="1"/>
        <v>25008.75</v>
      </c>
      <c r="J8" s="1">
        <f t="shared" si="1"/>
        <v>19365.75</v>
      </c>
      <c r="K8" s="1">
        <f t="shared" si="1"/>
        <v>5258.25</v>
      </c>
      <c r="L8" s="1">
        <f t="shared" ref="L8:L19" si="4">L7*$B$2</f>
        <v>4873.5</v>
      </c>
      <c r="M8" s="1">
        <f t="shared" ref="M8:M19" si="5">M7*$B$2</f>
        <v>10644.75</v>
      </c>
      <c r="N8" s="1">
        <f t="shared" ref="N8:N19" si="6">N7*$B$2</f>
        <v>6027.75</v>
      </c>
      <c r="O8" s="1">
        <f t="shared" ref="O8:O19" si="7">O7*$B$2</f>
        <v>4360.5</v>
      </c>
      <c r="P8" s="1">
        <f t="shared" ref="P8:P19" si="8">P7*$B$2</f>
        <v>897.75</v>
      </c>
      <c r="Q8" s="1">
        <f t="shared" ref="Q8:Q19" si="9">Q7*$B$2</f>
        <v>3719.25</v>
      </c>
      <c r="R8" s="1">
        <f t="shared" ref="R8:R19" si="10">R7*$B$2</f>
        <v>4104</v>
      </c>
      <c r="S8" s="1">
        <f t="shared" ref="S8:S19" si="11">S7*$B$2</f>
        <v>1282.5</v>
      </c>
      <c r="T8" s="1">
        <f t="shared" ref="T8:T19" si="12">T7*$B$2</f>
        <v>2180.25</v>
      </c>
      <c r="U8" s="1">
        <f t="shared" ref="U8:U19" si="13">U7*$B$2</f>
        <v>897.75</v>
      </c>
      <c r="V8" s="1">
        <f t="shared" ref="V8:V19" si="14">V7*$B$2</f>
        <v>1923.75</v>
      </c>
      <c r="W8" s="1">
        <f t="shared" ref="W8:W19" si="15">W7*$B$2</f>
        <v>2180.25</v>
      </c>
      <c r="X8" s="1">
        <f t="shared" ref="X8:X19" si="16">X7*$B$2</f>
        <v>1539</v>
      </c>
      <c r="Y8" s="1">
        <f t="shared" ref="Y8:Y19" si="17">Y7*$B$2</f>
        <v>2821.5</v>
      </c>
      <c r="Z8" s="1">
        <f t="shared" ref="Z8:Z19" si="18">Z7*$B$2</f>
        <v>1154.25</v>
      </c>
      <c r="AA8" s="1">
        <f t="shared" ref="AA8:AA19" si="19">AA7*$B$2</f>
        <v>2052</v>
      </c>
      <c r="AB8" s="1">
        <f t="shared" ref="AB8:AB19" si="20">AB7*$B$2</f>
        <v>1795.5</v>
      </c>
      <c r="AC8" s="1">
        <f t="shared" ref="AC8:AC19" si="21">AC7*$B$2</f>
        <v>256.5</v>
      </c>
      <c r="AD8" s="1">
        <f t="shared" ref="AD8:AD19" si="22">AD7*$B$2</f>
        <v>1667.25</v>
      </c>
      <c r="AE8" s="1">
        <f t="shared" ref="AE8:AE19" si="23">AE7*$B$2</f>
        <v>1154.25</v>
      </c>
      <c r="AF8" s="1">
        <f t="shared" ref="AF8:AF19" si="24">AF7*$B$2</f>
        <v>1026</v>
      </c>
      <c r="AG8" s="1">
        <f t="shared" ref="AG8:AG19" si="25">AG7*$B$2</f>
        <v>2052</v>
      </c>
      <c r="AH8" s="1">
        <f t="shared" ref="AH8:AH19" si="26">AH7*$B$2</f>
        <v>769.5</v>
      </c>
      <c r="AI8" s="1">
        <f t="shared" ref="AI8:AI19" si="27">AI7*$B$2</f>
        <v>641.25</v>
      </c>
      <c r="AJ8" s="1">
        <f t="shared" ref="AJ8:AJ19" si="28">AJ7*$B$2</f>
        <v>384.75</v>
      </c>
      <c r="AK8" s="1">
        <f t="shared" ref="AK8:AK19" si="29">AK7*$B$2</f>
        <v>769.5</v>
      </c>
      <c r="AL8" s="1">
        <f t="shared" ref="AL8:AL19" si="30">AL7*$B$2</f>
        <v>769.5</v>
      </c>
      <c r="AM8" s="1">
        <f t="shared" ref="AM8:AM19" si="31">AM7*$B$2</f>
        <v>384.75</v>
      </c>
      <c r="AN8" s="1">
        <f t="shared" ref="AN8:AN19" si="32">AN7*$B$2</f>
        <v>384.75</v>
      </c>
      <c r="AO8" s="1">
        <f t="shared" ref="AO8:AO19" si="33">AO7*$B$2</f>
        <v>384.75</v>
      </c>
      <c r="AP8" s="1">
        <f t="shared" ref="AP8:AP19" si="34">AP7*$B$2</f>
        <v>256.5</v>
      </c>
      <c r="AQ8" s="1">
        <f t="shared" ref="AQ8:AQ19" si="35">AQ7*$B$2</f>
        <v>1539</v>
      </c>
      <c r="AR8" s="1">
        <f t="shared" ref="AR8:AR19" si="36">AR7*$B$2</f>
        <v>769.5</v>
      </c>
      <c r="AS8" s="1">
        <f t="shared" ref="AS8:AS19" si="37">AS7*$B$2</f>
        <v>0.12825</v>
      </c>
      <c r="AT8" s="1">
        <f t="shared" ref="AT8:AT19" si="38">AT7*$B$2</f>
        <v>128.25</v>
      </c>
      <c r="AU8" s="1">
        <f t="shared" ref="AU8:AU19" si="39">AU7*$B$2</f>
        <v>128.25</v>
      </c>
      <c r="AV8" s="1">
        <f t="shared" ref="AV8:AV19" si="40">AV7*$B$2</f>
        <v>256.5</v>
      </c>
      <c r="AW8" s="1">
        <f t="shared" ref="AW8:AW19" si="41">AW7*$B$2</f>
        <v>256.5</v>
      </c>
      <c r="AX8" s="1">
        <f t="shared" ref="AX8:AX19" si="42">AX7*$B$2</f>
        <v>128.25</v>
      </c>
      <c r="AY8" s="1">
        <f t="shared" ref="AY8:AY19" si="43">AY7*$B$2</f>
        <v>128.25</v>
      </c>
      <c r="AZ8" s="1">
        <f t="shared" ref="AZ8:AZ19" si="44">AZ7*$B$2</f>
        <v>0.12825</v>
      </c>
      <c r="BA8" s="1">
        <f t="shared" ref="BA8:BA19" si="45">BA7*$B$2</f>
        <v>128.25</v>
      </c>
      <c r="BB8" s="1">
        <f t="shared" ref="BB8:BB19" si="46">BB7*$B$2</f>
        <v>0.12825</v>
      </c>
      <c r="BC8" s="1">
        <f t="shared" ref="BC8:BC19" si="47">BC7*$B$2</f>
        <v>641.25</v>
      </c>
      <c r="BD8" s="1">
        <f t="shared" ref="BD8:BD19" si="48">BD7*$B$2</f>
        <v>0.12825</v>
      </c>
    </row>
    <row r="9" spans="1:56" x14ac:dyDescent="0.35">
      <c r="A9">
        <v>4</v>
      </c>
      <c r="B9" s="1">
        <f t="shared" si="2"/>
        <v>185641.875</v>
      </c>
      <c r="C9" s="1">
        <f t="shared" si="3"/>
        <v>30972.375</v>
      </c>
      <c r="D9" s="1">
        <f t="shared" si="1"/>
        <v>25201.125</v>
      </c>
      <c r="E9" s="1">
        <f t="shared" si="1"/>
        <v>25393.5</v>
      </c>
      <c r="F9" s="1">
        <f t="shared" si="1"/>
        <v>9234</v>
      </c>
      <c r="G9" s="1">
        <f t="shared" si="1"/>
        <v>11542.5</v>
      </c>
      <c r="H9" s="1">
        <f t="shared" si="1"/>
        <v>12504.375</v>
      </c>
      <c r="I9" s="1">
        <f t="shared" si="1"/>
        <v>37513.125</v>
      </c>
      <c r="J9" s="1">
        <f t="shared" si="1"/>
        <v>29048.625</v>
      </c>
      <c r="K9" s="1">
        <f t="shared" si="1"/>
        <v>7887.375</v>
      </c>
      <c r="L9" s="1">
        <f t="shared" si="4"/>
        <v>7310.25</v>
      </c>
      <c r="M9" s="1">
        <f t="shared" si="5"/>
        <v>15967.125</v>
      </c>
      <c r="N9" s="1">
        <f t="shared" si="6"/>
        <v>9041.625</v>
      </c>
      <c r="O9" s="1">
        <f t="shared" si="7"/>
        <v>6540.75</v>
      </c>
      <c r="P9" s="1">
        <f t="shared" si="8"/>
        <v>1346.625</v>
      </c>
      <c r="Q9" s="1">
        <f t="shared" si="9"/>
        <v>5578.875</v>
      </c>
      <c r="R9" s="1">
        <f t="shared" si="10"/>
        <v>6156</v>
      </c>
      <c r="S9" s="1">
        <f t="shared" si="11"/>
        <v>1923.75</v>
      </c>
      <c r="T9" s="1">
        <f t="shared" si="12"/>
        <v>3270.375</v>
      </c>
      <c r="U9" s="1">
        <f t="shared" si="13"/>
        <v>1346.625</v>
      </c>
      <c r="V9" s="1">
        <f t="shared" si="14"/>
        <v>2885.625</v>
      </c>
      <c r="W9" s="1">
        <f t="shared" si="15"/>
        <v>3270.375</v>
      </c>
      <c r="X9" s="1">
        <f t="shared" si="16"/>
        <v>2308.5</v>
      </c>
      <c r="Y9" s="1">
        <f t="shared" si="17"/>
        <v>4232.25</v>
      </c>
      <c r="Z9" s="1">
        <f t="shared" si="18"/>
        <v>1731.375</v>
      </c>
      <c r="AA9" s="1">
        <f t="shared" si="19"/>
        <v>3078</v>
      </c>
      <c r="AB9" s="1">
        <f t="shared" si="20"/>
        <v>2693.25</v>
      </c>
      <c r="AC9" s="1">
        <f t="shared" si="21"/>
        <v>384.75</v>
      </c>
      <c r="AD9" s="1">
        <f t="shared" si="22"/>
        <v>2500.875</v>
      </c>
      <c r="AE9" s="1">
        <f t="shared" si="23"/>
        <v>1731.375</v>
      </c>
      <c r="AF9" s="1">
        <f t="shared" si="24"/>
        <v>1539</v>
      </c>
      <c r="AG9" s="1">
        <f t="shared" si="25"/>
        <v>3078</v>
      </c>
      <c r="AH9" s="1">
        <f t="shared" si="26"/>
        <v>1154.25</v>
      </c>
      <c r="AI9" s="1">
        <f t="shared" si="27"/>
        <v>961.875</v>
      </c>
      <c r="AJ9" s="1">
        <f t="shared" si="28"/>
        <v>577.125</v>
      </c>
      <c r="AK9" s="1">
        <f t="shared" si="29"/>
        <v>1154.25</v>
      </c>
      <c r="AL9" s="1">
        <f t="shared" si="30"/>
        <v>1154.25</v>
      </c>
      <c r="AM9" s="1">
        <f t="shared" si="31"/>
        <v>577.125</v>
      </c>
      <c r="AN9" s="1">
        <f t="shared" si="32"/>
        <v>577.125</v>
      </c>
      <c r="AO9" s="1">
        <f t="shared" si="33"/>
        <v>577.125</v>
      </c>
      <c r="AP9" s="1">
        <f t="shared" si="34"/>
        <v>384.75</v>
      </c>
      <c r="AQ9" s="1">
        <f t="shared" si="35"/>
        <v>2308.5</v>
      </c>
      <c r="AR9" s="1">
        <f t="shared" si="36"/>
        <v>1154.25</v>
      </c>
      <c r="AS9" s="1">
        <f t="shared" si="37"/>
        <v>0.19237500000000002</v>
      </c>
      <c r="AT9" s="1">
        <f t="shared" si="38"/>
        <v>192.375</v>
      </c>
      <c r="AU9" s="1">
        <f t="shared" si="39"/>
        <v>192.375</v>
      </c>
      <c r="AV9" s="1">
        <f t="shared" si="40"/>
        <v>384.75</v>
      </c>
      <c r="AW9" s="1">
        <f t="shared" si="41"/>
        <v>384.75</v>
      </c>
      <c r="AX9" s="1">
        <f t="shared" si="42"/>
        <v>192.375</v>
      </c>
      <c r="AY9" s="1">
        <f t="shared" si="43"/>
        <v>192.375</v>
      </c>
      <c r="AZ9" s="1">
        <f t="shared" si="44"/>
        <v>0.19237500000000002</v>
      </c>
      <c r="BA9" s="1">
        <f t="shared" si="45"/>
        <v>192.375</v>
      </c>
      <c r="BB9" s="1">
        <f t="shared" si="46"/>
        <v>0.19237500000000002</v>
      </c>
      <c r="BC9" s="1">
        <f t="shared" si="47"/>
        <v>961.875</v>
      </c>
      <c r="BD9" s="1">
        <f t="shared" si="48"/>
        <v>0.19237500000000002</v>
      </c>
    </row>
    <row r="10" spans="1:56" x14ac:dyDescent="0.35">
      <c r="A10">
        <v>5</v>
      </c>
      <c r="B10" s="1">
        <f t="shared" si="2"/>
        <v>278462.8125</v>
      </c>
      <c r="C10" s="1">
        <f t="shared" si="3"/>
        <v>46458.5625</v>
      </c>
      <c r="D10" s="1">
        <f t="shared" si="1"/>
        <v>37801.6875</v>
      </c>
      <c r="E10" s="1">
        <f t="shared" si="1"/>
        <v>38090.25</v>
      </c>
      <c r="F10" s="1">
        <f t="shared" si="1"/>
        <v>13851</v>
      </c>
      <c r="G10" s="1">
        <f t="shared" si="1"/>
        <v>17313.75</v>
      </c>
      <c r="H10" s="1">
        <f t="shared" si="1"/>
        <v>18756.5625</v>
      </c>
      <c r="I10" s="1">
        <f t="shared" si="1"/>
        <v>56269.6875</v>
      </c>
      <c r="J10" s="1">
        <f t="shared" si="1"/>
        <v>43572.9375</v>
      </c>
      <c r="K10" s="1">
        <f t="shared" si="1"/>
        <v>11831.0625</v>
      </c>
      <c r="L10" s="1">
        <f t="shared" si="4"/>
        <v>10965.375</v>
      </c>
      <c r="M10" s="1">
        <f t="shared" si="5"/>
        <v>23950.6875</v>
      </c>
      <c r="N10" s="1">
        <f t="shared" si="6"/>
        <v>13562.4375</v>
      </c>
      <c r="O10" s="1">
        <f t="shared" si="7"/>
        <v>9811.125</v>
      </c>
      <c r="P10" s="1">
        <f t="shared" si="8"/>
        <v>2019.9375</v>
      </c>
      <c r="Q10" s="1">
        <f t="shared" si="9"/>
        <v>8368.3125</v>
      </c>
      <c r="R10" s="1">
        <f t="shared" si="10"/>
        <v>9234</v>
      </c>
      <c r="S10" s="1">
        <f t="shared" si="11"/>
        <v>2885.625</v>
      </c>
      <c r="T10" s="1">
        <f t="shared" si="12"/>
        <v>4905.5625</v>
      </c>
      <c r="U10" s="1">
        <f t="shared" si="13"/>
        <v>2019.9375</v>
      </c>
      <c r="V10" s="1">
        <f t="shared" si="14"/>
        <v>4328.4375</v>
      </c>
      <c r="W10" s="1">
        <f t="shared" si="15"/>
        <v>4905.5625</v>
      </c>
      <c r="X10" s="1">
        <f t="shared" si="16"/>
        <v>3462.75</v>
      </c>
      <c r="Y10" s="1">
        <f t="shared" si="17"/>
        <v>6348.375</v>
      </c>
      <c r="Z10" s="1">
        <f t="shared" si="18"/>
        <v>2597.0625</v>
      </c>
      <c r="AA10" s="1">
        <f t="shared" si="19"/>
        <v>4617</v>
      </c>
      <c r="AB10" s="1">
        <f t="shared" si="20"/>
        <v>4039.875</v>
      </c>
      <c r="AC10" s="1">
        <f t="shared" si="21"/>
        <v>577.125</v>
      </c>
      <c r="AD10" s="1">
        <f t="shared" si="22"/>
        <v>3751.3125</v>
      </c>
      <c r="AE10" s="1">
        <f t="shared" si="23"/>
        <v>2597.0625</v>
      </c>
      <c r="AF10" s="1">
        <f t="shared" si="24"/>
        <v>2308.5</v>
      </c>
      <c r="AG10" s="1">
        <f t="shared" si="25"/>
        <v>4617</v>
      </c>
      <c r="AH10" s="1">
        <f t="shared" si="26"/>
        <v>1731.375</v>
      </c>
      <c r="AI10" s="1">
        <f t="shared" si="27"/>
        <v>1442.8125</v>
      </c>
      <c r="AJ10" s="1">
        <f t="shared" si="28"/>
        <v>865.6875</v>
      </c>
      <c r="AK10" s="1">
        <f t="shared" si="29"/>
        <v>1731.375</v>
      </c>
      <c r="AL10" s="1">
        <f t="shared" si="30"/>
        <v>1731.375</v>
      </c>
      <c r="AM10" s="1">
        <f t="shared" si="31"/>
        <v>865.6875</v>
      </c>
      <c r="AN10" s="1">
        <f t="shared" si="32"/>
        <v>865.6875</v>
      </c>
      <c r="AO10" s="1">
        <f t="shared" si="33"/>
        <v>865.6875</v>
      </c>
      <c r="AP10" s="1">
        <f t="shared" si="34"/>
        <v>577.125</v>
      </c>
      <c r="AQ10" s="1">
        <f t="shared" si="35"/>
        <v>3462.75</v>
      </c>
      <c r="AR10" s="1">
        <f t="shared" si="36"/>
        <v>1731.375</v>
      </c>
      <c r="AS10" s="1">
        <f t="shared" si="37"/>
        <v>0.28856250000000006</v>
      </c>
      <c r="AT10" s="1">
        <f t="shared" si="38"/>
        <v>288.5625</v>
      </c>
      <c r="AU10" s="1">
        <f t="shared" si="39"/>
        <v>288.5625</v>
      </c>
      <c r="AV10" s="1">
        <f t="shared" si="40"/>
        <v>577.125</v>
      </c>
      <c r="AW10" s="1">
        <f t="shared" si="41"/>
        <v>577.125</v>
      </c>
      <c r="AX10" s="1">
        <f t="shared" si="42"/>
        <v>288.5625</v>
      </c>
      <c r="AY10" s="1">
        <f t="shared" si="43"/>
        <v>288.5625</v>
      </c>
      <c r="AZ10" s="1">
        <f t="shared" si="44"/>
        <v>0.28856250000000006</v>
      </c>
      <c r="BA10" s="1">
        <f t="shared" si="45"/>
        <v>288.5625</v>
      </c>
      <c r="BB10" s="1">
        <f t="shared" si="46"/>
        <v>0.28856250000000006</v>
      </c>
      <c r="BC10" s="1">
        <f t="shared" si="47"/>
        <v>1442.8125</v>
      </c>
      <c r="BD10" s="1">
        <f t="shared" si="48"/>
        <v>0.28856250000000006</v>
      </c>
    </row>
    <row r="11" spans="1:56" x14ac:dyDescent="0.35">
      <c r="A11">
        <v>6</v>
      </c>
      <c r="B11" s="1">
        <f t="shared" si="2"/>
        <v>417694.21875</v>
      </c>
      <c r="C11" s="1">
        <f t="shared" si="3"/>
        <v>69687.84375</v>
      </c>
      <c r="D11" s="1">
        <f t="shared" si="1"/>
        <v>56702.53125</v>
      </c>
      <c r="E11" s="1">
        <f t="shared" si="1"/>
        <v>57135.375</v>
      </c>
      <c r="F11" s="1">
        <f t="shared" si="1"/>
        <v>20776.5</v>
      </c>
      <c r="G11" s="1">
        <f t="shared" si="1"/>
        <v>25970.625</v>
      </c>
      <c r="H11" s="1">
        <f t="shared" si="1"/>
        <v>28134.84375</v>
      </c>
      <c r="I11" s="1">
        <f t="shared" si="1"/>
        <v>84404.53125</v>
      </c>
      <c r="J11" s="1">
        <f t="shared" si="1"/>
        <v>65359.40625</v>
      </c>
      <c r="K11" s="1">
        <f t="shared" si="1"/>
        <v>17746.59375</v>
      </c>
      <c r="L11" s="1">
        <f t="shared" si="4"/>
        <v>16448.0625</v>
      </c>
      <c r="M11" s="1">
        <f t="shared" si="5"/>
        <v>35926.03125</v>
      </c>
      <c r="N11" s="1">
        <f t="shared" si="6"/>
        <v>20343.65625</v>
      </c>
      <c r="O11" s="1">
        <f t="shared" si="7"/>
        <v>14716.6875</v>
      </c>
      <c r="P11" s="1">
        <f t="shared" si="8"/>
        <v>3029.90625</v>
      </c>
      <c r="Q11" s="1">
        <f t="shared" si="9"/>
        <v>12552.46875</v>
      </c>
      <c r="R11" s="1">
        <f t="shared" si="10"/>
        <v>13851</v>
      </c>
      <c r="S11" s="1">
        <f t="shared" si="11"/>
        <v>4328.4375</v>
      </c>
      <c r="T11" s="1">
        <f t="shared" si="12"/>
        <v>7358.34375</v>
      </c>
      <c r="U11" s="1">
        <f t="shared" si="13"/>
        <v>3029.90625</v>
      </c>
      <c r="V11" s="1">
        <f t="shared" si="14"/>
        <v>6492.65625</v>
      </c>
      <c r="W11" s="1">
        <f t="shared" si="15"/>
        <v>7358.34375</v>
      </c>
      <c r="X11" s="1">
        <f t="shared" si="16"/>
        <v>5194.125</v>
      </c>
      <c r="Y11" s="1">
        <f t="shared" si="17"/>
        <v>9522.5625</v>
      </c>
      <c r="Z11" s="1">
        <f t="shared" si="18"/>
        <v>3895.59375</v>
      </c>
      <c r="AA11" s="1">
        <f t="shared" si="19"/>
        <v>6925.5</v>
      </c>
      <c r="AB11" s="1">
        <f t="shared" si="20"/>
        <v>6059.8125</v>
      </c>
      <c r="AC11" s="1">
        <f t="shared" si="21"/>
        <v>865.6875</v>
      </c>
      <c r="AD11" s="1">
        <f t="shared" si="22"/>
        <v>5626.96875</v>
      </c>
      <c r="AE11" s="1">
        <f t="shared" si="23"/>
        <v>3895.59375</v>
      </c>
      <c r="AF11" s="1">
        <f t="shared" si="24"/>
        <v>3462.75</v>
      </c>
      <c r="AG11" s="1">
        <f t="shared" si="25"/>
        <v>6925.5</v>
      </c>
      <c r="AH11" s="1">
        <f t="shared" si="26"/>
        <v>2597.0625</v>
      </c>
      <c r="AI11" s="1">
        <f t="shared" si="27"/>
        <v>2164.21875</v>
      </c>
      <c r="AJ11" s="1">
        <f t="shared" si="28"/>
        <v>1298.53125</v>
      </c>
      <c r="AK11" s="1">
        <f t="shared" si="29"/>
        <v>2597.0625</v>
      </c>
      <c r="AL11" s="1">
        <f t="shared" si="30"/>
        <v>2597.0625</v>
      </c>
      <c r="AM11" s="1">
        <f t="shared" si="31"/>
        <v>1298.53125</v>
      </c>
      <c r="AN11" s="1">
        <f t="shared" si="32"/>
        <v>1298.53125</v>
      </c>
      <c r="AO11" s="1">
        <f t="shared" si="33"/>
        <v>1298.53125</v>
      </c>
      <c r="AP11" s="1">
        <f t="shared" si="34"/>
        <v>865.6875</v>
      </c>
      <c r="AQ11" s="1">
        <f t="shared" si="35"/>
        <v>5194.125</v>
      </c>
      <c r="AR11" s="1">
        <f t="shared" si="36"/>
        <v>2597.0625</v>
      </c>
      <c r="AS11" s="1">
        <f t="shared" si="37"/>
        <v>0.43284375000000008</v>
      </c>
      <c r="AT11" s="1">
        <f t="shared" si="38"/>
        <v>432.84375</v>
      </c>
      <c r="AU11" s="1">
        <f t="shared" si="39"/>
        <v>432.84375</v>
      </c>
      <c r="AV11" s="1">
        <f t="shared" si="40"/>
        <v>865.6875</v>
      </c>
      <c r="AW11" s="1">
        <f t="shared" si="41"/>
        <v>865.6875</v>
      </c>
      <c r="AX11" s="1">
        <f t="shared" si="42"/>
        <v>432.84375</v>
      </c>
      <c r="AY11" s="1">
        <f t="shared" si="43"/>
        <v>432.84375</v>
      </c>
      <c r="AZ11" s="1">
        <f t="shared" si="44"/>
        <v>0.43284375000000008</v>
      </c>
      <c r="BA11" s="1">
        <f t="shared" si="45"/>
        <v>432.84375</v>
      </c>
      <c r="BB11" s="1">
        <f t="shared" si="46"/>
        <v>0.43284375000000008</v>
      </c>
      <c r="BC11" s="1">
        <f t="shared" si="47"/>
        <v>2164.21875</v>
      </c>
      <c r="BD11" s="1">
        <f t="shared" si="48"/>
        <v>0.43284375000000008</v>
      </c>
    </row>
    <row r="12" spans="1:56" x14ac:dyDescent="0.35">
      <c r="A12">
        <v>7</v>
      </c>
      <c r="B12" s="1">
        <f t="shared" si="2"/>
        <v>626541.328125</v>
      </c>
      <c r="C12" s="1">
        <f t="shared" si="3"/>
        <v>104531.765625</v>
      </c>
      <c r="D12" s="1">
        <f t="shared" si="1"/>
        <v>85053.796875</v>
      </c>
      <c r="E12" s="1">
        <f t="shared" si="1"/>
        <v>85703.0625</v>
      </c>
      <c r="F12" s="1">
        <f t="shared" si="1"/>
        <v>31164.75</v>
      </c>
      <c r="G12" s="1">
        <f t="shared" si="1"/>
        <v>38955.9375</v>
      </c>
      <c r="H12" s="1">
        <f t="shared" si="1"/>
        <v>42202.265625</v>
      </c>
      <c r="I12" s="1">
        <f t="shared" si="1"/>
        <v>126606.796875</v>
      </c>
      <c r="J12" s="1">
        <f t="shared" si="1"/>
        <v>98039.109375</v>
      </c>
      <c r="K12" s="1">
        <f t="shared" si="1"/>
        <v>26619.890625</v>
      </c>
      <c r="L12" s="1">
        <f t="shared" si="4"/>
        <v>24672.09375</v>
      </c>
      <c r="M12" s="1">
        <f t="shared" si="5"/>
        <v>53889.046875</v>
      </c>
      <c r="N12" s="1">
        <f t="shared" si="6"/>
        <v>30515.484375</v>
      </c>
      <c r="O12" s="1">
        <f t="shared" si="7"/>
        <v>22075.03125</v>
      </c>
      <c r="P12" s="1">
        <f t="shared" si="8"/>
        <v>4544.859375</v>
      </c>
      <c r="Q12" s="1">
        <f t="shared" si="9"/>
        <v>18828.703125</v>
      </c>
      <c r="R12" s="1">
        <f t="shared" si="10"/>
        <v>20776.5</v>
      </c>
      <c r="S12" s="1">
        <f t="shared" si="11"/>
        <v>6492.65625</v>
      </c>
      <c r="T12" s="1">
        <f t="shared" si="12"/>
        <v>11037.515625</v>
      </c>
      <c r="U12" s="1">
        <f t="shared" si="13"/>
        <v>4544.859375</v>
      </c>
      <c r="V12" s="1">
        <f t="shared" si="14"/>
        <v>9738.984375</v>
      </c>
      <c r="W12" s="1">
        <f t="shared" si="15"/>
        <v>11037.515625</v>
      </c>
      <c r="X12" s="1">
        <f t="shared" si="16"/>
        <v>7791.1875</v>
      </c>
      <c r="Y12" s="1">
        <f t="shared" si="17"/>
        <v>14283.84375</v>
      </c>
      <c r="Z12" s="1">
        <f t="shared" si="18"/>
        <v>5843.390625</v>
      </c>
      <c r="AA12" s="1">
        <f t="shared" si="19"/>
        <v>10388.25</v>
      </c>
      <c r="AB12" s="1">
        <f t="shared" si="20"/>
        <v>9089.71875</v>
      </c>
      <c r="AC12" s="1">
        <f t="shared" si="21"/>
        <v>1298.53125</v>
      </c>
      <c r="AD12" s="1">
        <f t="shared" si="22"/>
        <v>8440.453125</v>
      </c>
      <c r="AE12" s="1">
        <f t="shared" si="23"/>
        <v>5843.390625</v>
      </c>
      <c r="AF12" s="1">
        <f t="shared" si="24"/>
        <v>5194.125</v>
      </c>
      <c r="AG12" s="1">
        <f t="shared" si="25"/>
        <v>10388.25</v>
      </c>
      <c r="AH12" s="1">
        <f t="shared" si="26"/>
        <v>3895.59375</v>
      </c>
      <c r="AI12" s="1">
        <f t="shared" si="27"/>
        <v>3246.328125</v>
      </c>
      <c r="AJ12" s="1">
        <f t="shared" si="28"/>
        <v>1947.796875</v>
      </c>
      <c r="AK12" s="1">
        <f t="shared" si="29"/>
        <v>3895.59375</v>
      </c>
      <c r="AL12" s="1">
        <f t="shared" si="30"/>
        <v>3895.59375</v>
      </c>
      <c r="AM12" s="1">
        <f t="shared" si="31"/>
        <v>1947.796875</v>
      </c>
      <c r="AN12" s="1">
        <f t="shared" si="32"/>
        <v>1947.796875</v>
      </c>
      <c r="AO12" s="1">
        <f t="shared" si="33"/>
        <v>1947.796875</v>
      </c>
      <c r="AP12" s="1">
        <f t="shared" si="34"/>
        <v>1298.53125</v>
      </c>
      <c r="AQ12" s="1">
        <f t="shared" si="35"/>
        <v>7791.1875</v>
      </c>
      <c r="AR12" s="1">
        <f t="shared" si="36"/>
        <v>3895.59375</v>
      </c>
      <c r="AS12" s="1">
        <f t="shared" si="37"/>
        <v>0.64926562500000018</v>
      </c>
      <c r="AT12" s="1">
        <f t="shared" si="38"/>
        <v>649.265625</v>
      </c>
      <c r="AU12" s="1">
        <f t="shared" si="39"/>
        <v>649.265625</v>
      </c>
      <c r="AV12" s="1">
        <f t="shared" si="40"/>
        <v>1298.53125</v>
      </c>
      <c r="AW12" s="1">
        <f t="shared" si="41"/>
        <v>1298.53125</v>
      </c>
      <c r="AX12" s="1">
        <f t="shared" si="42"/>
        <v>649.265625</v>
      </c>
      <c r="AY12" s="1">
        <f t="shared" si="43"/>
        <v>649.265625</v>
      </c>
      <c r="AZ12" s="1">
        <f t="shared" si="44"/>
        <v>0.64926562500000018</v>
      </c>
      <c r="BA12" s="1">
        <f t="shared" si="45"/>
        <v>649.265625</v>
      </c>
      <c r="BB12" s="1">
        <f t="shared" si="46"/>
        <v>0.64926562500000018</v>
      </c>
      <c r="BC12" s="1">
        <f t="shared" si="47"/>
        <v>3246.328125</v>
      </c>
      <c r="BD12" s="1">
        <f t="shared" si="48"/>
        <v>0.64926562500000018</v>
      </c>
    </row>
    <row r="13" spans="1:56" x14ac:dyDescent="0.35">
      <c r="A13">
        <v>8</v>
      </c>
      <c r="B13" s="1">
        <f t="shared" si="2"/>
        <v>939811.9921875</v>
      </c>
      <c r="C13" s="1">
        <f t="shared" si="3"/>
        <v>156797.6484375</v>
      </c>
      <c r="D13" s="1">
        <f t="shared" si="1"/>
        <v>127580.6953125</v>
      </c>
      <c r="E13" s="1">
        <f t="shared" si="1"/>
        <v>128554.59375</v>
      </c>
      <c r="F13" s="1">
        <f t="shared" si="1"/>
        <v>46747.125</v>
      </c>
      <c r="G13" s="1">
        <f t="shared" si="1"/>
        <v>58433.90625</v>
      </c>
      <c r="H13" s="1">
        <f t="shared" si="1"/>
        <v>63303.3984375</v>
      </c>
      <c r="I13" s="1">
        <f t="shared" si="1"/>
        <v>189910.1953125</v>
      </c>
      <c r="J13" s="1">
        <f t="shared" si="1"/>
        <v>147058.6640625</v>
      </c>
      <c r="K13" s="1">
        <f t="shared" si="1"/>
        <v>39929.8359375</v>
      </c>
      <c r="L13" s="1">
        <f t="shared" si="4"/>
        <v>37008.140625</v>
      </c>
      <c r="M13" s="1">
        <f t="shared" si="5"/>
        <v>80833.5703125</v>
      </c>
      <c r="N13" s="1">
        <f t="shared" si="6"/>
        <v>45773.2265625</v>
      </c>
      <c r="O13" s="1">
        <f t="shared" si="7"/>
        <v>33112.546875</v>
      </c>
      <c r="P13" s="1">
        <f t="shared" si="8"/>
        <v>6817.2890625</v>
      </c>
      <c r="Q13" s="1">
        <f t="shared" si="9"/>
        <v>28243.0546875</v>
      </c>
      <c r="R13" s="1">
        <f t="shared" si="10"/>
        <v>31164.75</v>
      </c>
      <c r="S13" s="1">
        <f t="shared" si="11"/>
        <v>9738.984375</v>
      </c>
      <c r="T13" s="1">
        <f t="shared" si="12"/>
        <v>16556.2734375</v>
      </c>
      <c r="U13" s="1">
        <f t="shared" si="13"/>
        <v>6817.2890625</v>
      </c>
      <c r="V13" s="1">
        <f t="shared" si="14"/>
        <v>14608.4765625</v>
      </c>
      <c r="W13" s="1">
        <f t="shared" si="15"/>
        <v>16556.2734375</v>
      </c>
      <c r="X13" s="1">
        <f t="shared" si="16"/>
        <v>11686.78125</v>
      </c>
      <c r="Y13" s="1">
        <f t="shared" si="17"/>
        <v>21425.765625</v>
      </c>
      <c r="Z13" s="1">
        <f t="shared" si="18"/>
        <v>8765.0859375</v>
      </c>
      <c r="AA13" s="1">
        <f t="shared" si="19"/>
        <v>15582.375</v>
      </c>
      <c r="AB13" s="1">
        <f t="shared" si="20"/>
        <v>13634.578125</v>
      </c>
      <c r="AC13" s="1">
        <f t="shared" si="21"/>
        <v>1947.796875</v>
      </c>
      <c r="AD13" s="1">
        <f t="shared" si="22"/>
        <v>12660.6796875</v>
      </c>
      <c r="AE13" s="1">
        <f t="shared" si="23"/>
        <v>8765.0859375</v>
      </c>
      <c r="AF13" s="1">
        <f t="shared" si="24"/>
        <v>7791.1875</v>
      </c>
      <c r="AG13" s="1">
        <f t="shared" si="25"/>
        <v>15582.375</v>
      </c>
      <c r="AH13" s="1">
        <f t="shared" si="26"/>
        <v>5843.390625</v>
      </c>
      <c r="AI13" s="1">
        <f t="shared" si="27"/>
        <v>4869.4921875</v>
      </c>
      <c r="AJ13" s="1">
        <f t="shared" si="28"/>
        <v>2921.6953125</v>
      </c>
      <c r="AK13" s="1">
        <f t="shared" si="29"/>
        <v>5843.390625</v>
      </c>
      <c r="AL13" s="1">
        <f t="shared" si="30"/>
        <v>5843.390625</v>
      </c>
      <c r="AM13" s="1">
        <f t="shared" si="31"/>
        <v>2921.6953125</v>
      </c>
      <c r="AN13" s="1">
        <f t="shared" si="32"/>
        <v>2921.6953125</v>
      </c>
      <c r="AO13" s="1">
        <f t="shared" si="33"/>
        <v>2921.6953125</v>
      </c>
      <c r="AP13" s="1">
        <f t="shared" si="34"/>
        <v>1947.796875</v>
      </c>
      <c r="AQ13" s="1">
        <f t="shared" si="35"/>
        <v>11686.78125</v>
      </c>
      <c r="AR13" s="1">
        <f t="shared" si="36"/>
        <v>5843.390625</v>
      </c>
      <c r="AS13" s="1">
        <f t="shared" si="37"/>
        <v>0.97389843750000027</v>
      </c>
      <c r="AT13" s="1">
        <f t="shared" si="38"/>
        <v>973.8984375</v>
      </c>
      <c r="AU13" s="1">
        <f t="shared" si="39"/>
        <v>973.8984375</v>
      </c>
      <c r="AV13" s="1">
        <f t="shared" si="40"/>
        <v>1947.796875</v>
      </c>
      <c r="AW13" s="1">
        <f t="shared" si="41"/>
        <v>1947.796875</v>
      </c>
      <c r="AX13" s="1">
        <f t="shared" si="42"/>
        <v>973.8984375</v>
      </c>
      <c r="AY13" s="1">
        <f t="shared" si="43"/>
        <v>973.8984375</v>
      </c>
      <c r="AZ13" s="1">
        <f t="shared" si="44"/>
        <v>0.97389843750000027</v>
      </c>
      <c r="BA13" s="1">
        <f t="shared" si="45"/>
        <v>973.8984375</v>
      </c>
      <c r="BB13" s="1">
        <f t="shared" si="46"/>
        <v>0.97389843750000027</v>
      </c>
      <c r="BC13" s="1">
        <f t="shared" si="47"/>
        <v>4869.4921875</v>
      </c>
      <c r="BD13" s="1">
        <f t="shared" si="48"/>
        <v>0.97389843750000027</v>
      </c>
    </row>
    <row r="14" spans="1:56" x14ac:dyDescent="0.35">
      <c r="A14">
        <v>9</v>
      </c>
      <c r="B14" s="1">
        <f t="shared" si="2"/>
        <v>1409717.98828125</v>
      </c>
      <c r="C14" s="1">
        <f t="shared" si="3"/>
        <v>235196.47265625</v>
      </c>
      <c r="D14" s="1">
        <f t="shared" si="1"/>
        <v>191371.04296875</v>
      </c>
      <c r="E14" s="1">
        <f t="shared" si="1"/>
        <v>192831.890625</v>
      </c>
      <c r="F14" s="1">
        <f t="shared" si="1"/>
        <v>70120.6875</v>
      </c>
      <c r="G14" s="1">
        <f t="shared" si="1"/>
        <v>87650.859375</v>
      </c>
      <c r="H14" s="1">
        <f t="shared" si="1"/>
        <v>94955.09765625</v>
      </c>
      <c r="I14" s="1">
        <f t="shared" si="1"/>
        <v>284865.29296875</v>
      </c>
      <c r="J14" s="1">
        <f t="shared" si="1"/>
        <v>220587.99609375</v>
      </c>
      <c r="K14" s="1">
        <f t="shared" si="1"/>
        <v>59894.75390625</v>
      </c>
      <c r="L14" s="1">
        <f t="shared" si="4"/>
        <v>55512.2109375</v>
      </c>
      <c r="M14" s="1">
        <f t="shared" si="5"/>
        <v>121250.35546875</v>
      </c>
      <c r="N14" s="1">
        <f t="shared" si="6"/>
        <v>68659.83984375</v>
      </c>
      <c r="O14" s="1">
        <f t="shared" si="7"/>
        <v>49668.8203125</v>
      </c>
      <c r="P14" s="1">
        <f t="shared" si="8"/>
        <v>10225.93359375</v>
      </c>
      <c r="Q14" s="1">
        <f t="shared" si="9"/>
        <v>42364.58203125</v>
      </c>
      <c r="R14" s="1">
        <f t="shared" si="10"/>
        <v>46747.125</v>
      </c>
      <c r="S14" s="1">
        <f t="shared" si="11"/>
        <v>14608.4765625</v>
      </c>
      <c r="T14" s="1">
        <f t="shared" si="12"/>
        <v>24834.41015625</v>
      </c>
      <c r="U14" s="1">
        <f t="shared" si="13"/>
        <v>10225.93359375</v>
      </c>
      <c r="V14" s="1">
        <f t="shared" si="14"/>
        <v>21912.71484375</v>
      </c>
      <c r="W14" s="1">
        <f t="shared" si="15"/>
        <v>24834.41015625</v>
      </c>
      <c r="X14" s="1">
        <f t="shared" si="16"/>
        <v>17530.171875</v>
      </c>
      <c r="Y14" s="1">
        <f t="shared" si="17"/>
        <v>32138.6484375</v>
      </c>
      <c r="Z14" s="1">
        <f t="shared" si="18"/>
        <v>13147.62890625</v>
      </c>
      <c r="AA14" s="1">
        <f t="shared" si="19"/>
        <v>23373.5625</v>
      </c>
      <c r="AB14" s="1">
        <f t="shared" si="20"/>
        <v>20451.8671875</v>
      </c>
      <c r="AC14" s="1">
        <f t="shared" si="21"/>
        <v>2921.6953125</v>
      </c>
      <c r="AD14" s="1">
        <f t="shared" si="22"/>
        <v>18991.01953125</v>
      </c>
      <c r="AE14" s="1">
        <f t="shared" si="23"/>
        <v>13147.62890625</v>
      </c>
      <c r="AF14" s="1">
        <f t="shared" si="24"/>
        <v>11686.78125</v>
      </c>
      <c r="AG14" s="1">
        <f t="shared" si="25"/>
        <v>23373.5625</v>
      </c>
      <c r="AH14" s="1">
        <f t="shared" si="26"/>
        <v>8765.0859375</v>
      </c>
      <c r="AI14" s="1">
        <f t="shared" si="27"/>
        <v>7304.23828125</v>
      </c>
      <c r="AJ14" s="1">
        <f t="shared" si="28"/>
        <v>4382.54296875</v>
      </c>
      <c r="AK14" s="1">
        <f t="shared" si="29"/>
        <v>8765.0859375</v>
      </c>
      <c r="AL14" s="1">
        <f t="shared" si="30"/>
        <v>8765.0859375</v>
      </c>
      <c r="AM14" s="1">
        <f t="shared" si="31"/>
        <v>4382.54296875</v>
      </c>
      <c r="AN14" s="1">
        <f t="shared" si="32"/>
        <v>4382.54296875</v>
      </c>
      <c r="AO14" s="1">
        <f t="shared" si="33"/>
        <v>4382.54296875</v>
      </c>
      <c r="AP14" s="1">
        <f t="shared" si="34"/>
        <v>2921.6953125</v>
      </c>
      <c r="AQ14" s="1">
        <f t="shared" si="35"/>
        <v>17530.171875</v>
      </c>
      <c r="AR14" s="1">
        <f t="shared" si="36"/>
        <v>8765.0859375</v>
      </c>
      <c r="AS14" s="1">
        <f t="shared" si="37"/>
        <v>1.4608476562500003</v>
      </c>
      <c r="AT14" s="1">
        <f t="shared" si="38"/>
        <v>1460.84765625</v>
      </c>
      <c r="AU14" s="1">
        <f t="shared" si="39"/>
        <v>1460.84765625</v>
      </c>
      <c r="AV14" s="1">
        <f t="shared" si="40"/>
        <v>2921.6953125</v>
      </c>
      <c r="AW14" s="1">
        <f t="shared" si="41"/>
        <v>2921.6953125</v>
      </c>
      <c r="AX14" s="1">
        <f t="shared" si="42"/>
        <v>1460.84765625</v>
      </c>
      <c r="AY14" s="1">
        <f t="shared" si="43"/>
        <v>1460.84765625</v>
      </c>
      <c r="AZ14" s="1">
        <f t="shared" si="44"/>
        <v>1.4608476562500003</v>
      </c>
      <c r="BA14" s="1">
        <f t="shared" si="45"/>
        <v>1460.84765625</v>
      </c>
      <c r="BB14" s="1">
        <f t="shared" si="46"/>
        <v>1.4608476562500003</v>
      </c>
      <c r="BC14" s="1">
        <f t="shared" si="47"/>
        <v>7304.23828125</v>
      </c>
      <c r="BD14" s="1">
        <f t="shared" si="48"/>
        <v>1.4608476562500003</v>
      </c>
    </row>
    <row r="15" spans="1:56" x14ac:dyDescent="0.35">
      <c r="A15">
        <v>10</v>
      </c>
      <c r="B15" s="1">
        <f t="shared" si="2"/>
        <v>2114576.982421875</v>
      </c>
      <c r="C15" s="1">
        <f t="shared" si="3"/>
        <v>352794.708984375</v>
      </c>
      <c r="D15" s="1">
        <f t="shared" si="1"/>
        <v>287056.564453125</v>
      </c>
      <c r="E15" s="1">
        <f t="shared" si="1"/>
        <v>289247.8359375</v>
      </c>
      <c r="F15" s="1">
        <f t="shared" si="1"/>
        <v>105181.03125</v>
      </c>
      <c r="G15" s="1">
        <f t="shared" si="1"/>
        <v>131476.2890625</v>
      </c>
      <c r="H15" s="1">
        <f t="shared" si="1"/>
        <v>142432.646484375</v>
      </c>
      <c r="I15" s="1">
        <f t="shared" si="1"/>
        <v>427297.939453125</v>
      </c>
      <c r="J15" s="1">
        <f t="shared" si="1"/>
        <v>330881.994140625</v>
      </c>
      <c r="K15" s="1">
        <f t="shared" si="1"/>
        <v>89842.130859375</v>
      </c>
      <c r="L15" s="1">
        <f t="shared" si="4"/>
        <v>83268.31640625</v>
      </c>
      <c r="M15" s="1">
        <f t="shared" si="5"/>
        <v>181875.533203125</v>
      </c>
      <c r="N15" s="1">
        <f t="shared" si="6"/>
        <v>102989.759765625</v>
      </c>
      <c r="O15" s="1">
        <f t="shared" si="7"/>
        <v>74503.23046875</v>
      </c>
      <c r="P15" s="1">
        <f t="shared" si="8"/>
        <v>15338.900390625</v>
      </c>
      <c r="Q15" s="1">
        <f t="shared" si="9"/>
        <v>63546.873046875</v>
      </c>
      <c r="R15" s="1">
        <f t="shared" si="10"/>
        <v>70120.6875</v>
      </c>
      <c r="S15" s="1">
        <f t="shared" si="11"/>
        <v>21912.71484375</v>
      </c>
      <c r="T15" s="1">
        <f t="shared" si="12"/>
        <v>37251.615234375</v>
      </c>
      <c r="U15" s="1">
        <f t="shared" si="13"/>
        <v>15338.900390625</v>
      </c>
      <c r="V15" s="1">
        <f t="shared" si="14"/>
        <v>32869.072265625</v>
      </c>
      <c r="W15" s="1">
        <f t="shared" si="15"/>
        <v>37251.615234375</v>
      </c>
      <c r="X15" s="1">
        <f t="shared" si="16"/>
        <v>26295.2578125</v>
      </c>
      <c r="Y15" s="1">
        <f t="shared" si="17"/>
        <v>48207.97265625</v>
      </c>
      <c r="Z15" s="1">
        <f t="shared" si="18"/>
        <v>19721.443359375</v>
      </c>
      <c r="AA15" s="1">
        <f t="shared" si="19"/>
        <v>35060.34375</v>
      </c>
      <c r="AB15" s="1">
        <f t="shared" si="20"/>
        <v>30677.80078125</v>
      </c>
      <c r="AC15" s="1">
        <f t="shared" si="21"/>
        <v>4382.54296875</v>
      </c>
      <c r="AD15" s="1">
        <f t="shared" si="22"/>
        <v>28486.529296875</v>
      </c>
      <c r="AE15" s="1">
        <f t="shared" si="23"/>
        <v>19721.443359375</v>
      </c>
      <c r="AF15" s="1">
        <f t="shared" si="24"/>
        <v>17530.171875</v>
      </c>
      <c r="AG15" s="1">
        <f t="shared" si="25"/>
        <v>35060.34375</v>
      </c>
      <c r="AH15" s="1">
        <f t="shared" si="26"/>
        <v>13147.62890625</v>
      </c>
      <c r="AI15" s="1">
        <f t="shared" si="27"/>
        <v>10956.357421875</v>
      </c>
      <c r="AJ15" s="1">
        <f t="shared" si="28"/>
        <v>6573.814453125</v>
      </c>
      <c r="AK15" s="1">
        <f t="shared" si="29"/>
        <v>13147.62890625</v>
      </c>
      <c r="AL15" s="1">
        <f t="shared" si="30"/>
        <v>13147.62890625</v>
      </c>
      <c r="AM15" s="1">
        <f t="shared" si="31"/>
        <v>6573.814453125</v>
      </c>
      <c r="AN15" s="1">
        <f t="shared" si="32"/>
        <v>6573.814453125</v>
      </c>
      <c r="AO15" s="1">
        <f t="shared" si="33"/>
        <v>6573.814453125</v>
      </c>
      <c r="AP15" s="1">
        <f t="shared" si="34"/>
        <v>4382.54296875</v>
      </c>
      <c r="AQ15" s="1">
        <f t="shared" si="35"/>
        <v>26295.2578125</v>
      </c>
      <c r="AR15" s="1">
        <f t="shared" si="36"/>
        <v>13147.62890625</v>
      </c>
      <c r="AS15" s="1">
        <f t="shared" si="37"/>
        <v>2.1912714843750005</v>
      </c>
      <c r="AT15" s="1">
        <f t="shared" si="38"/>
        <v>2191.271484375</v>
      </c>
      <c r="AU15" s="1">
        <f t="shared" si="39"/>
        <v>2191.271484375</v>
      </c>
      <c r="AV15" s="1">
        <f t="shared" si="40"/>
        <v>4382.54296875</v>
      </c>
      <c r="AW15" s="1">
        <f t="shared" si="41"/>
        <v>4382.54296875</v>
      </c>
      <c r="AX15" s="1">
        <f t="shared" si="42"/>
        <v>2191.271484375</v>
      </c>
      <c r="AY15" s="1">
        <f t="shared" si="43"/>
        <v>2191.271484375</v>
      </c>
      <c r="AZ15" s="1">
        <f t="shared" si="44"/>
        <v>2.1912714843750005</v>
      </c>
      <c r="BA15" s="1">
        <f t="shared" si="45"/>
        <v>2191.271484375</v>
      </c>
      <c r="BB15" s="1">
        <f t="shared" si="46"/>
        <v>2.1912714843750005</v>
      </c>
      <c r="BC15" s="1">
        <f t="shared" si="47"/>
        <v>10956.357421875</v>
      </c>
      <c r="BD15" s="1">
        <f t="shared" si="48"/>
        <v>2.1912714843750005</v>
      </c>
    </row>
    <row r="16" spans="1:56" x14ac:dyDescent="0.35">
      <c r="A16">
        <v>11</v>
      </c>
      <c r="B16" s="1">
        <f t="shared" si="2"/>
        <v>3171865.4736328125</v>
      </c>
      <c r="C16" s="1">
        <f t="shared" si="3"/>
        <v>529192.0634765625</v>
      </c>
      <c r="D16" s="1">
        <f t="shared" si="1"/>
        <v>430584.8466796875</v>
      </c>
      <c r="E16" s="1">
        <f t="shared" si="1"/>
        <v>433871.75390625</v>
      </c>
      <c r="F16" s="1">
        <f t="shared" si="1"/>
        <v>157771.546875</v>
      </c>
      <c r="G16" s="1">
        <f t="shared" si="1"/>
        <v>197214.43359375</v>
      </c>
      <c r="H16" s="1">
        <f t="shared" si="1"/>
        <v>213648.9697265625</v>
      </c>
      <c r="I16" s="1">
        <f t="shared" si="1"/>
        <v>640946.9091796875</v>
      </c>
      <c r="J16" s="1">
        <f t="shared" si="1"/>
        <v>496322.9912109375</v>
      </c>
      <c r="K16" s="1">
        <f t="shared" si="1"/>
        <v>134763.1962890625</v>
      </c>
      <c r="L16" s="1">
        <f t="shared" si="4"/>
        <v>124902.474609375</v>
      </c>
      <c r="M16" s="1">
        <f t="shared" si="5"/>
        <v>272813.2998046875</v>
      </c>
      <c r="N16" s="1">
        <f t="shared" si="6"/>
        <v>154484.6396484375</v>
      </c>
      <c r="O16" s="1">
        <f t="shared" si="7"/>
        <v>111754.845703125</v>
      </c>
      <c r="P16" s="1">
        <f t="shared" si="8"/>
        <v>23008.3505859375</v>
      </c>
      <c r="Q16" s="1">
        <f t="shared" si="9"/>
        <v>95320.3095703125</v>
      </c>
      <c r="R16" s="1">
        <f t="shared" si="10"/>
        <v>105181.03125</v>
      </c>
      <c r="S16" s="1">
        <f t="shared" si="11"/>
        <v>32869.072265625</v>
      </c>
      <c r="T16" s="1">
        <f t="shared" si="12"/>
        <v>55877.4228515625</v>
      </c>
      <c r="U16" s="1">
        <f t="shared" si="13"/>
        <v>23008.3505859375</v>
      </c>
      <c r="V16" s="1">
        <f t="shared" si="14"/>
        <v>49303.6083984375</v>
      </c>
      <c r="W16" s="1">
        <f t="shared" si="15"/>
        <v>55877.4228515625</v>
      </c>
      <c r="X16" s="1">
        <f t="shared" si="16"/>
        <v>39442.88671875</v>
      </c>
      <c r="Y16" s="1">
        <f t="shared" si="17"/>
        <v>72311.958984375</v>
      </c>
      <c r="Z16" s="1">
        <f t="shared" si="18"/>
        <v>29582.1650390625</v>
      </c>
      <c r="AA16" s="1">
        <f t="shared" si="19"/>
        <v>52590.515625</v>
      </c>
      <c r="AB16" s="1">
        <f t="shared" si="20"/>
        <v>46016.701171875</v>
      </c>
      <c r="AC16" s="1">
        <f t="shared" si="21"/>
        <v>6573.814453125</v>
      </c>
      <c r="AD16" s="1">
        <f t="shared" si="22"/>
        <v>42729.7939453125</v>
      </c>
      <c r="AE16" s="1">
        <f t="shared" si="23"/>
        <v>29582.1650390625</v>
      </c>
      <c r="AF16" s="1">
        <f t="shared" si="24"/>
        <v>26295.2578125</v>
      </c>
      <c r="AG16" s="1">
        <f t="shared" si="25"/>
        <v>52590.515625</v>
      </c>
      <c r="AH16" s="1">
        <f t="shared" si="26"/>
        <v>19721.443359375</v>
      </c>
      <c r="AI16" s="1">
        <f t="shared" si="27"/>
        <v>16434.5361328125</v>
      </c>
      <c r="AJ16" s="1">
        <f t="shared" si="28"/>
        <v>9860.7216796875</v>
      </c>
      <c r="AK16" s="1">
        <f t="shared" si="29"/>
        <v>19721.443359375</v>
      </c>
      <c r="AL16" s="1">
        <f t="shared" si="30"/>
        <v>19721.443359375</v>
      </c>
      <c r="AM16" s="1">
        <f t="shared" si="31"/>
        <v>9860.7216796875</v>
      </c>
      <c r="AN16" s="1">
        <f t="shared" si="32"/>
        <v>9860.7216796875</v>
      </c>
      <c r="AO16" s="1">
        <f t="shared" si="33"/>
        <v>9860.7216796875</v>
      </c>
      <c r="AP16" s="1">
        <f t="shared" si="34"/>
        <v>6573.814453125</v>
      </c>
      <c r="AQ16" s="1">
        <f t="shared" si="35"/>
        <v>39442.88671875</v>
      </c>
      <c r="AR16" s="1">
        <f t="shared" si="36"/>
        <v>19721.443359375</v>
      </c>
      <c r="AS16" s="1">
        <f t="shared" si="37"/>
        <v>3.2869072265625006</v>
      </c>
      <c r="AT16" s="1">
        <f t="shared" si="38"/>
        <v>3286.9072265625</v>
      </c>
      <c r="AU16" s="1">
        <f t="shared" si="39"/>
        <v>3286.9072265625</v>
      </c>
      <c r="AV16" s="1">
        <f t="shared" si="40"/>
        <v>6573.814453125</v>
      </c>
      <c r="AW16" s="1">
        <f t="shared" si="41"/>
        <v>6573.814453125</v>
      </c>
      <c r="AX16" s="1">
        <f t="shared" si="42"/>
        <v>3286.9072265625</v>
      </c>
      <c r="AY16" s="1">
        <f t="shared" si="43"/>
        <v>3286.9072265625</v>
      </c>
      <c r="AZ16" s="1">
        <f t="shared" si="44"/>
        <v>3.2869072265625006</v>
      </c>
      <c r="BA16" s="1">
        <f t="shared" si="45"/>
        <v>3286.9072265625</v>
      </c>
      <c r="BB16" s="1">
        <f t="shared" si="46"/>
        <v>3.2869072265625006</v>
      </c>
      <c r="BC16" s="1">
        <f t="shared" si="47"/>
        <v>16434.5361328125</v>
      </c>
      <c r="BD16" s="1">
        <f t="shared" si="48"/>
        <v>3.2869072265625006</v>
      </c>
    </row>
    <row r="17" spans="1:56" x14ac:dyDescent="0.35">
      <c r="A17">
        <v>12</v>
      </c>
      <c r="B17" s="1">
        <f t="shared" si="2"/>
        <v>4757798.2104492188</v>
      </c>
      <c r="C17" s="1">
        <f t="shared" si="3"/>
        <v>793788.09521484375</v>
      </c>
      <c r="D17" s="1">
        <f t="shared" si="1"/>
        <v>645877.27001953125</v>
      </c>
      <c r="E17" s="1">
        <f t="shared" si="1"/>
        <v>650807.630859375</v>
      </c>
      <c r="F17" s="1">
        <f t="shared" si="1"/>
        <v>236657.3203125</v>
      </c>
      <c r="G17" s="1">
        <f t="shared" si="1"/>
        <v>295821.650390625</v>
      </c>
      <c r="H17" s="1">
        <f t="shared" si="1"/>
        <v>320473.45458984375</v>
      </c>
      <c r="I17" s="1">
        <f t="shared" si="1"/>
        <v>961420.36376953125</v>
      </c>
      <c r="J17" s="1">
        <f t="shared" si="1"/>
        <v>744484.48681640625</v>
      </c>
      <c r="K17" s="1">
        <f t="shared" si="1"/>
        <v>202144.79443359375</v>
      </c>
      <c r="L17" s="1">
        <f t="shared" si="4"/>
        <v>187353.7119140625</v>
      </c>
      <c r="M17" s="1">
        <f t="shared" si="5"/>
        <v>409219.94970703125</v>
      </c>
      <c r="N17" s="1">
        <f t="shared" si="6"/>
        <v>231726.95947265625</v>
      </c>
      <c r="O17" s="1">
        <f t="shared" si="7"/>
        <v>167632.2685546875</v>
      </c>
      <c r="P17" s="1">
        <f t="shared" si="8"/>
        <v>34512.52587890625</v>
      </c>
      <c r="Q17" s="1">
        <f t="shared" si="9"/>
        <v>142980.46435546875</v>
      </c>
      <c r="R17" s="1">
        <f t="shared" si="10"/>
        <v>157771.546875</v>
      </c>
      <c r="S17" s="1">
        <f t="shared" si="11"/>
        <v>49303.6083984375</v>
      </c>
      <c r="T17" s="1">
        <f t="shared" si="12"/>
        <v>83816.13427734375</v>
      </c>
      <c r="U17" s="1">
        <f t="shared" si="13"/>
        <v>34512.52587890625</v>
      </c>
      <c r="V17" s="1">
        <f t="shared" si="14"/>
        <v>73955.41259765625</v>
      </c>
      <c r="W17" s="1">
        <f t="shared" si="15"/>
        <v>83816.13427734375</v>
      </c>
      <c r="X17" s="1">
        <f t="shared" si="16"/>
        <v>59164.330078125</v>
      </c>
      <c r="Y17" s="1">
        <f t="shared" si="17"/>
        <v>108467.9384765625</v>
      </c>
      <c r="Z17" s="1">
        <f t="shared" si="18"/>
        <v>44373.24755859375</v>
      </c>
      <c r="AA17" s="1">
        <f t="shared" si="19"/>
        <v>78885.7734375</v>
      </c>
      <c r="AB17" s="1">
        <f t="shared" si="20"/>
        <v>69025.0517578125</v>
      </c>
      <c r="AC17" s="1">
        <f t="shared" si="21"/>
        <v>9860.7216796875</v>
      </c>
      <c r="AD17" s="1">
        <f t="shared" si="22"/>
        <v>64094.69091796875</v>
      </c>
      <c r="AE17" s="1">
        <f t="shared" si="23"/>
        <v>44373.24755859375</v>
      </c>
      <c r="AF17" s="1">
        <f t="shared" si="24"/>
        <v>39442.88671875</v>
      </c>
      <c r="AG17" s="1">
        <f t="shared" si="25"/>
        <v>78885.7734375</v>
      </c>
      <c r="AH17" s="1">
        <f t="shared" si="26"/>
        <v>29582.1650390625</v>
      </c>
      <c r="AI17" s="1">
        <f t="shared" si="27"/>
        <v>24651.80419921875</v>
      </c>
      <c r="AJ17" s="1">
        <f t="shared" si="28"/>
        <v>14791.08251953125</v>
      </c>
      <c r="AK17" s="1">
        <f t="shared" si="29"/>
        <v>29582.1650390625</v>
      </c>
      <c r="AL17" s="1">
        <f t="shared" si="30"/>
        <v>29582.1650390625</v>
      </c>
      <c r="AM17" s="1">
        <f t="shared" si="31"/>
        <v>14791.08251953125</v>
      </c>
      <c r="AN17" s="1">
        <f t="shared" si="32"/>
        <v>14791.08251953125</v>
      </c>
      <c r="AO17" s="1">
        <f t="shared" si="33"/>
        <v>14791.08251953125</v>
      </c>
      <c r="AP17" s="1">
        <f t="shared" si="34"/>
        <v>9860.7216796875</v>
      </c>
      <c r="AQ17" s="1">
        <f t="shared" si="35"/>
        <v>59164.330078125</v>
      </c>
      <c r="AR17" s="1">
        <f t="shared" si="36"/>
        <v>29582.1650390625</v>
      </c>
      <c r="AS17" s="1">
        <f t="shared" si="37"/>
        <v>4.9303608398437504</v>
      </c>
      <c r="AT17" s="1">
        <f t="shared" si="38"/>
        <v>4930.36083984375</v>
      </c>
      <c r="AU17" s="1">
        <f t="shared" si="39"/>
        <v>4930.36083984375</v>
      </c>
      <c r="AV17" s="1">
        <f t="shared" si="40"/>
        <v>9860.7216796875</v>
      </c>
      <c r="AW17" s="1">
        <f t="shared" si="41"/>
        <v>9860.7216796875</v>
      </c>
      <c r="AX17" s="1">
        <f t="shared" si="42"/>
        <v>4930.36083984375</v>
      </c>
      <c r="AY17" s="1">
        <f t="shared" si="43"/>
        <v>4930.36083984375</v>
      </c>
      <c r="AZ17" s="1">
        <f t="shared" si="44"/>
        <v>4.9303608398437504</v>
      </c>
      <c r="BA17" s="1">
        <f t="shared" si="45"/>
        <v>4930.36083984375</v>
      </c>
      <c r="BB17" s="1">
        <f t="shared" si="46"/>
        <v>4.9303608398437504</v>
      </c>
      <c r="BC17" s="1">
        <f t="shared" si="47"/>
        <v>24651.80419921875</v>
      </c>
      <c r="BD17" s="1">
        <f t="shared" si="48"/>
        <v>4.9303608398437504</v>
      </c>
    </row>
    <row r="18" spans="1:56" x14ac:dyDescent="0.35">
      <c r="A18">
        <v>13</v>
      </c>
      <c r="B18" s="1">
        <f t="shared" si="2"/>
        <v>7136697.3156738281</v>
      </c>
      <c r="C18" s="1">
        <f t="shared" si="3"/>
        <v>1190682.1428222656</v>
      </c>
      <c r="D18" s="1">
        <f t="shared" si="1"/>
        <v>968815.90502929688</v>
      </c>
      <c r="E18" s="1">
        <f t="shared" si="1"/>
        <v>976211.4462890625</v>
      </c>
      <c r="F18" s="1">
        <f t="shared" si="1"/>
        <v>354985.98046875</v>
      </c>
      <c r="G18" s="1">
        <f t="shared" si="1"/>
        <v>443732.4755859375</v>
      </c>
      <c r="H18" s="1">
        <f t="shared" si="1"/>
        <v>480710.18188476563</v>
      </c>
      <c r="I18" s="1">
        <f t="shared" si="1"/>
        <v>1442130.5456542969</v>
      </c>
      <c r="J18" s="1">
        <f t="shared" si="1"/>
        <v>1116726.7302246094</v>
      </c>
      <c r="K18" s="1">
        <f t="shared" si="1"/>
        <v>303217.19165039063</v>
      </c>
      <c r="L18" s="1">
        <f t="shared" si="4"/>
        <v>281030.56787109375</v>
      </c>
      <c r="M18" s="1">
        <f t="shared" si="5"/>
        <v>613829.92456054688</v>
      </c>
      <c r="N18" s="1">
        <f t="shared" si="6"/>
        <v>347590.43920898438</v>
      </c>
      <c r="O18" s="1">
        <f t="shared" si="7"/>
        <v>251448.40283203125</v>
      </c>
      <c r="P18" s="1">
        <f t="shared" si="8"/>
        <v>51768.788818359375</v>
      </c>
      <c r="Q18" s="1">
        <f t="shared" si="9"/>
        <v>214470.69653320313</v>
      </c>
      <c r="R18" s="1">
        <f t="shared" si="10"/>
        <v>236657.3203125</v>
      </c>
      <c r="S18" s="1">
        <f t="shared" si="11"/>
        <v>73955.41259765625</v>
      </c>
      <c r="T18" s="1">
        <f t="shared" si="12"/>
        <v>125724.20141601563</v>
      </c>
      <c r="U18" s="1">
        <f t="shared" si="13"/>
        <v>51768.788818359375</v>
      </c>
      <c r="V18" s="1">
        <f t="shared" si="14"/>
        <v>110933.11889648438</v>
      </c>
      <c r="W18" s="1">
        <f t="shared" si="15"/>
        <v>125724.20141601563</v>
      </c>
      <c r="X18" s="1">
        <f t="shared" si="16"/>
        <v>88746.4951171875</v>
      </c>
      <c r="Y18" s="1">
        <f t="shared" si="17"/>
        <v>162701.90771484375</v>
      </c>
      <c r="Z18" s="1">
        <f t="shared" si="18"/>
        <v>66559.871337890625</v>
      </c>
      <c r="AA18" s="1">
        <f t="shared" si="19"/>
        <v>118328.66015625</v>
      </c>
      <c r="AB18" s="1">
        <f t="shared" si="20"/>
        <v>103537.57763671875</v>
      </c>
      <c r="AC18" s="1">
        <f t="shared" si="21"/>
        <v>14791.08251953125</v>
      </c>
      <c r="AD18" s="1">
        <f t="shared" si="22"/>
        <v>96142.036376953125</v>
      </c>
      <c r="AE18" s="1">
        <f t="shared" si="23"/>
        <v>66559.871337890625</v>
      </c>
      <c r="AF18" s="1">
        <f t="shared" si="24"/>
        <v>59164.330078125</v>
      </c>
      <c r="AG18" s="1">
        <f t="shared" si="25"/>
        <v>118328.66015625</v>
      </c>
      <c r="AH18" s="1">
        <f t="shared" si="26"/>
        <v>44373.24755859375</v>
      </c>
      <c r="AI18" s="1">
        <f t="shared" si="27"/>
        <v>36977.706298828125</v>
      </c>
      <c r="AJ18" s="1">
        <f t="shared" si="28"/>
        <v>22186.623779296875</v>
      </c>
      <c r="AK18" s="1">
        <f t="shared" si="29"/>
        <v>44373.24755859375</v>
      </c>
      <c r="AL18" s="1">
        <f t="shared" si="30"/>
        <v>44373.24755859375</v>
      </c>
      <c r="AM18" s="1">
        <f t="shared" si="31"/>
        <v>22186.623779296875</v>
      </c>
      <c r="AN18" s="1">
        <f t="shared" si="32"/>
        <v>22186.623779296875</v>
      </c>
      <c r="AO18" s="1">
        <f t="shared" si="33"/>
        <v>22186.623779296875</v>
      </c>
      <c r="AP18" s="1">
        <f t="shared" si="34"/>
        <v>14791.08251953125</v>
      </c>
      <c r="AQ18" s="1">
        <f t="shared" si="35"/>
        <v>88746.4951171875</v>
      </c>
      <c r="AR18" s="1">
        <f t="shared" si="36"/>
        <v>44373.24755859375</v>
      </c>
      <c r="AS18" s="1">
        <f t="shared" si="37"/>
        <v>7.3955412597656256</v>
      </c>
      <c r="AT18" s="1">
        <f t="shared" si="38"/>
        <v>7395.541259765625</v>
      </c>
      <c r="AU18" s="1">
        <f t="shared" si="39"/>
        <v>7395.541259765625</v>
      </c>
      <c r="AV18" s="1">
        <f t="shared" si="40"/>
        <v>14791.08251953125</v>
      </c>
      <c r="AW18" s="1">
        <f t="shared" si="41"/>
        <v>14791.08251953125</v>
      </c>
      <c r="AX18" s="1">
        <f t="shared" si="42"/>
        <v>7395.541259765625</v>
      </c>
      <c r="AY18" s="1">
        <f t="shared" si="43"/>
        <v>7395.541259765625</v>
      </c>
      <c r="AZ18" s="1">
        <f t="shared" si="44"/>
        <v>7.3955412597656256</v>
      </c>
      <c r="BA18" s="1">
        <f t="shared" si="45"/>
        <v>7395.541259765625</v>
      </c>
      <c r="BB18" s="1">
        <f t="shared" si="46"/>
        <v>7.3955412597656256</v>
      </c>
      <c r="BC18" s="1">
        <f t="shared" si="47"/>
        <v>36977.706298828125</v>
      </c>
      <c r="BD18" s="1">
        <f t="shared" si="48"/>
        <v>7.3955412597656256</v>
      </c>
    </row>
    <row r="19" spans="1:56" x14ac:dyDescent="0.35">
      <c r="A19" s="3" t="s">
        <v>62</v>
      </c>
      <c r="B19" s="2">
        <f t="shared" si="2"/>
        <v>10705045.973510742</v>
      </c>
      <c r="C19" s="2">
        <f t="shared" si="3"/>
        <v>1786023.2142333984</v>
      </c>
      <c r="D19" s="2">
        <f t="shared" si="1"/>
        <v>1453223.8575439453</v>
      </c>
      <c r="E19" s="2">
        <f t="shared" si="1"/>
        <v>1464317.1694335938</v>
      </c>
      <c r="F19" s="2">
        <f t="shared" si="1"/>
        <v>532478.970703125</v>
      </c>
      <c r="G19" s="2">
        <f t="shared" si="1"/>
        <v>665598.71337890625</v>
      </c>
      <c r="H19" s="2">
        <f t="shared" si="1"/>
        <v>721065.27282714844</v>
      </c>
      <c r="I19" s="2">
        <f t="shared" si="1"/>
        <v>2163195.8184814453</v>
      </c>
      <c r="J19" s="2">
        <f t="shared" si="1"/>
        <v>1675090.0953369141</v>
      </c>
      <c r="K19" s="2">
        <f t="shared" si="1"/>
        <v>454825.78747558594</v>
      </c>
      <c r="L19" s="2">
        <f t="shared" si="4"/>
        <v>421545.85180664063</v>
      </c>
      <c r="M19" s="2">
        <f t="shared" si="5"/>
        <v>920744.88684082031</v>
      </c>
      <c r="N19" s="2">
        <f t="shared" si="6"/>
        <v>521385.65881347656</v>
      </c>
      <c r="O19" s="2">
        <f t="shared" si="7"/>
        <v>377172.60424804688</v>
      </c>
      <c r="P19" s="2">
        <f t="shared" si="8"/>
        <v>77653.183227539063</v>
      </c>
      <c r="Q19" s="2">
        <f t="shared" si="9"/>
        <v>321706.04479980469</v>
      </c>
      <c r="R19" s="2">
        <f t="shared" si="10"/>
        <v>354985.98046875</v>
      </c>
      <c r="S19" s="2">
        <f t="shared" si="11"/>
        <v>110933.11889648438</v>
      </c>
      <c r="T19" s="2">
        <f t="shared" si="12"/>
        <v>188586.30212402344</v>
      </c>
      <c r="U19" s="2">
        <f t="shared" si="13"/>
        <v>77653.183227539063</v>
      </c>
      <c r="V19" s="2">
        <f t="shared" si="14"/>
        <v>166399.67834472656</v>
      </c>
      <c r="W19" s="2">
        <f t="shared" si="15"/>
        <v>188586.30212402344</v>
      </c>
      <c r="X19" s="2">
        <f t="shared" si="16"/>
        <v>133119.74267578125</v>
      </c>
      <c r="Y19" s="2">
        <f t="shared" si="17"/>
        <v>244052.86157226563</v>
      </c>
      <c r="Z19" s="2">
        <f t="shared" si="18"/>
        <v>99839.807006835938</v>
      </c>
      <c r="AA19" s="2">
        <f t="shared" si="19"/>
        <v>177492.990234375</v>
      </c>
      <c r="AB19" s="2">
        <f t="shared" si="20"/>
        <v>155306.36645507813</v>
      </c>
      <c r="AC19" s="2">
        <f t="shared" si="21"/>
        <v>22186.623779296875</v>
      </c>
      <c r="AD19" s="2">
        <f t="shared" si="22"/>
        <v>144213.05456542969</v>
      </c>
      <c r="AE19" s="2">
        <f t="shared" si="23"/>
        <v>99839.807006835938</v>
      </c>
      <c r="AF19" s="2">
        <f t="shared" si="24"/>
        <v>88746.4951171875</v>
      </c>
      <c r="AG19" s="2">
        <f t="shared" si="25"/>
        <v>177492.990234375</v>
      </c>
      <c r="AH19" s="2">
        <f t="shared" si="26"/>
        <v>66559.871337890625</v>
      </c>
      <c r="AI19" s="2">
        <f t="shared" si="27"/>
        <v>55466.559448242188</v>
      </c>
      <c r="AJ19" s="2">
        <f t="shared" si="28"/>
        <v>33279.935668945313</v>
      </c>
      <c r="AK19" s="2">
        <f t="shared" si="29"/>
        <v>66559.871337890625</v>
      </c>
      <c r="AL19" s="2">
        <f t="shared" si="30"/>
        <v>66559.871337890625</v>
      </c>
      <c r="AM19" s="2">
        <f t="shared" si="31"/>
        <v>33279.935668945313</v>
      </c>
      <c r="AN19" s="2">
        <f t="shared" si="32"/>
        <v>33279.935668945313</v>
      </c>
      <c r="AO19" s="2">
        <f t="shared" si="33"/>
        <v>33279.935668945313</v>
      </c>
      <c r="AP19" s="2">
        <f t="shared" si="34"/>
        <v>22186.623779296875</v>
      </c>
      <c r="AQ19" s="2">
        <f t="shared" si="35"/>
        <v>133119.74267578125</v>
      </c>
      <c r="AR19" s="2">
        <f t="shared" si="36"/>
        <v>66559.871337890625</v>
      </c>
      <c r="AS19" s="2">
        <f t="shared" si="37"/>
        <v>11.093311889648438</v>
      </c>
      <c r="AT19" s="2">
        <f t="shared" si="38"/>
        <v>11093.311889648438</v>
      </c>
      <c r="AU19" s="2">
        <f t="shared" si="39"/>
        <v>11093.311889648438</v>
      </c>
      <c r="AV19" s="2">
        <f t="shared" si="40"/>
        <v>22186.623779296875</v>
      </c>
      <c r="AW19" s="2">
        <f t="shared" si="41"/>
        <v>22186.623779296875</v>
      </c>
      <c r="AX19" s="2">
        <f t="shared" si="42"/>
        <v>11093.311889648438</v>
      </c>
      <c r="AY19" s="2">
        <f t="shared" si="43"/>
        <v>11093.311889648438</v>
      </c>
      <c r="AZ19" s="2">
        <f t="shared" si="44"/>
        <v>11.093311889648438</v>
      </c>
      <c r="BA19" s="2">
        <f t="shared" si="45"/>
        <v>11093.311889648438</v>
      </c>
      <c r="BB19" s="2">
        <f t="shared" si="46"/>
        <v>11.093311889648438</v>
      </c>
      <c r="BC19" s="2">
        <f t="shared" si="47"/>
        <v>55466.559448242188</v>
      </c>
      <c r="BD19" s="2">
        <f t="shared" si="48"/>
        <v>11.093311889648438</v>
      </c>
    </row>
    <row r="21" spans="1:56" x14ac:dyDescent="0.35">
      <c r="A21" t="s">
        <v>63</v>
      </c>
      <c r="B21" s="4" t="s">
        <v>64</v>
      </c>
    </row>
  </sheetData>
  <hyperlinks>
    <hyperlink ref="B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5"/>
  <sheetViews>
    <sheetView workbookViewId="0">
      <selection activeCell="F16" sqref="F16"/>
    </sheetView>
  </sheetViews>
  <sheetFormatPr defaultColWidth="8.6328125" defaultRowHeight="14.5" x14ac:dyDescent="0.35"/>
  <cols>
    <col min="2" max="2" width="22.453125" bestFit="1" customWidth="1"/>
    <col min="3" max="4" width="11.08984375" bestFit="1" customWidth="1"/>
    <col min="5" max="10" width="12.08984375" bestFit="1" customWidth="1"/>
    <col min="11" max="15" width="13.6328125" bestFit="1" customWidth="1"/>
    <col min="16" max="16" width="14.81640625" style="3" bestFit="1" customWidth="1"/>
  </cols>
  <sheetData>
    <row r="1" spans="1:16" x14ac:dyDescent="0.35">
      <c r="A1">
        <v>1</v>
      </c>
      <c r="B1" t="s">
        <v>7</v>
      </c>
      <c r="C1" s="1">
        <v>55005</v>
      </c>
      <c r="D1" s="1">
        <v>82507.5</v>
      </c>
      <c r="E1" s="1">
        <v>123761.25</v>
      </c>
      <c r="F1" s="1">
        <v>185641.875</v>
      </c>
      <c r="G1" s="1">
        <v>278462.8125</v>
      </c>
      <c r="H1" s="1">
        <v>417694.21875</v>
      </c>
      <c r="I1" s="1">
        <v>626541.328125</v>
      </c>
      <c r="J1" s="1">
        <v>939811.9921875</v>
      </c>
      <c r="K1" s="1">
        <v>1409717.98828125</v>
      </c>
      <c r="L1" s="1">
        <v>2114576.982421875</v>
      </c>
      <c r="M1" s="1">
        <v>3171865.4736328125</v>
      </c>
      <c r="N1" s="1">
        <v>4757798.2104492188</v>
      </c>
      <c r="O1" s="1">
        <v>7136697.3156738281</v>
      </c>
      <c r="P1" s="2">
        <v>10705045.973510742</v>
      </c>
    </row>
    <row r="2" spans="1:16" x14ac:dyDescent="0.35">
      <c r="A2">
        <v>2</v>
      </c>
      <c r="B2" t="s">
        <v>16</v>
      </c>
      <c r="C2" s="1">
        <v>11115</v>
      </c>
      <c r="D2" s="1">
        <v>16672.5</v>
      </c>
      <c r="E2" s="1">
        <v>25008.75</v>
      </c>
      <c r="F2" s="1">
        <v>37513.125</v>
      </c>
      <c r="G2" s="1">
        <v>56269.6875</v>
      </c>
      <c r="H2" s="1">
        <v>84404.53125</v>
      </c>
      <c r="I2" s="1">
        <v>126606.796875</v>
      </c>
      <c r="J2" s="1">
        <v>189910.1953125</v>
      </c>
      <c r="K2" s="1">
        <v>284865.29296875</v>
      </c>
      <c r="L2" s="1">
        <v>427297.939453125</v>
      </c>
      <c r="M2" s="1">
        <v>640946.9091796875</v>
      </c>
      <c r="N2" s="1">
        <v>961420.36376953125</v>
      </c>
      <c r="O2" s="1">
        <v>1442130.5456542969</v>
      </c>
      <c r="P2" s="2">
        <v>2163195.8184814453</v>
      </c>
    </row>
    <row r="3" spans="1:16" x14ac:dyDescent="0.35">
      <c r="A3">
        <v>3</v>
      </c>
      <c r="B3" t="s">
        <v>9</v>
      </c>
      <c r="C3" s="1">
        <v>9177</v>
      </c>
      <c r="D3" s="1">
        <v>13765.5</v>
      </c>
      <c r="E3" s="1">
        <v>20648.25</v>
      </c>
      <c r="F3" s="1">
        <v>30972.375</v>
      </c>
      <c r="G3" s="1">
        <v>46458.5625</v>
      </c>
      <c r="H3" s="1">
        <v>69687.84375</v>
      </c>
      <c r="I3" s="1">
        <v>104531.765625</v>
      </c>
      <c r="J3" s="1">
        <v>156797.6484375</v>
      </c>
      <c r="K3" s="1">
        <v>235196.47265625</v>
      </c>
      <c r="L3" s="1">
        <v>352794.708984375</v>
      </c>
      <c r="M3" s="1">
        <v>529192.0634765625</v>
      </c>
      <c r="N3" s="1">
        <v>793788.09521484375</v>
      </c>
      <c r="O3" s="1">
        <v>1190682.1428222656</v>
      </c>
      <c r="P3" s="2">
        <v>1786023.2142333984</v>
      </c>
    </row>
    <row r="4" spans="1:16" x14ac:dyDescent="0.35">
      <c r="A4">
        <v>4</v>
      </c>
      <c r="B4" t="s">
        <v>17</v>
      </c>
      <c r="C4" s="1">
        <v>8607</v>
      </c>
      <c r="D4" s="1">
        <v>12910.5</v>
      </c>
      <c r="E4" s="1">
        <v>19365.75</v>
      </c>
      <c r="F4" s="1">
        <v>29048.625</v>
      </c>
      <c r="G4" s="1">
        <v>43572.9375</v>
      </c>
      <c r="H4" s="1">
        <v>65359.40625</v>
      </c>
      <c r="I4" s="1">
        <v>98039.109375</v>
      </c>
      <c r="J4" s="1">
        <v>147058.6640625</v>
      </c>
      <c r="K4" s="1">
        <v>220587.99609375</v>
      </c>
      <c r="L4" s="1">
        <v>330881.994140625</v>
      </c>
      <c r="M4" s="1">
        <v>496322.9912109375</v>
      </c>
      <c r="N4" s="1">
        <v>744484.48681640625</v>
      </c>
      <c r="O4" s="1">
        <v>1116726.7302246094</v>
      </c>
      <c r="P4" s="2">
        <v>1675090.0953369141</v>
      </c>
    </row>
    <row r="5" spans="1:16" x14ac:dyDescent="0.35">
      <c r="A5">
        <v>5</v>
      </c>
      <c r="B5" t="s">
        <v>12</v>
      </c>
      <c r="C5" s="1">
        <v>7524</v>
      </c>
      <c r="D5" s="1">
        <v>11286</v>
      </c>
      <c r="E5" s="1">
        <v>16929</v>
      </c>
      <c r="F5" s="1">
        <v>25393.5</v>
      </c>
      <c r="G5" s="1">
        <v>38090.25</v>
      </c>
      <c r="H5" s="1">
        <v>57135.375</v>
      </c>
      <c r="I5" s="1">
        <v>85703.0625</v>
      </c>
      <c r="J5" s="1">
        <v>128554.59375</v>
      </c>
      <c r="K5" s="1">
        <v>192831.890625</v>
      </c>
      <c r="L5" s="1">
        <v>289247.8359375</v>
      </c>
      <c r="M5" s="1">
        <v>433871.75390625</v>
      </c>
      <c r="N5" s="1">
        <v>650807.630859375</v>
      </c>
      <c r="O5" s="1">
        <v>976211.4462890625</v>
      </c>
      <c r="P5" s="2">
        <v>1464317.1694335938</v>
      </c>
    </row>
    <row r="6" spans="1:16" x14ac:dyDescent="0.35">
      <c r="A6">
        <v>6</v>
      </c>
      <c r="B6" t="s">
        <v>11</v>
      </c>
      <c r="C6" s="1">
        <v>7467</v>
      </c>
      <c r="D6" s="1">
        <v>11200.5</v>
      </c>
      <c r="E6" s="1">
        <v>16800.75</v>
      </c>
      <c r="F6" s="1">
        <v>25201.125</v>
      </c>
      <c r="G6" s="1">
        <v>37801.6875</v>
      </c>
      <c r="H6" s="1">
        <v>56702.53125</v>
      </c>
      <c r="I6" s="1">
        <v>85053.796875</v>
      </c>
      <c r="J6" s="1">
        <v>127580.6953125</v>
      </c>
      <c r="K6" s="1">
        <v>191371.04296875</v>
      </c>
      <c r="L6" s="1">
        <v>287056.564453125</v>
      </c>
      <c r="M6" s="1">
        <v>430584.8466796875</v>
      </c>
      <c r="N6" s="1">
        <v>645877.27001953125</v>
      </c>
      <c r="O6" s="1">
        <v>968815.90502929688</v>
      </c>
      <c r="P6" s="2">
        <v>1453223.8575439453</v>
      </c>
    </row>
    <row r="7" spans="1:16" x14ac:dyDescent="0.35">
      <c r="A7">
        <v>7</v>
      </c>
      <c r="B7" t="s">
        <v>20</v>
      </c>
      <c r="C7" s="1">
        <v>4731</v>
      </c>
      <c r="D7" s="1">
        <v>7096.5</v>
      </c>
      <c r="E7" s="1">
        <v>10644.75</v>
      </c>
      <c r="F7" s="1">
        <v>15967.125</v>
      </c>
      <c r="G7" s="1">
        <v>23950.6875</v>
      </c>
      <c r="H7" s="1">
        <v>35926.03125</v>
      </c>
      <c r="I7" s="1">
        <v>53889.046875</v>
      </c>
      <c r="J7" s="1">
        <v>80833.5703125</v>
      </c>
      <c r="K7" s="1">
        <v>121250.35546875</v>
      </c>
      <c r="L7" s="1">
        <v>181875.533203125</v>
      </c>
      <c r="M7" s="1">
        <v>272813.2998046875</v>
      </c>
      <c r="N7" s="1">
        <v>409219.94970703125</v>
      </c>
      <c r="O7" s="1">
        <v>613829.92456054688</v>
      </c>
      <c r="P7" s="2">
        <v>920744.88684082031</v>
      </c>
    </row>
    <row r="8" spans="1:16" x14ac:dyDescent="0.35">
      <c r="A8">
        <v>8</v>
      </c>
      <c r="B8" t="s">
        <v>15</v>
      </c>
      <c r="C8" s="1">
        <v>3705</v>
      </c>
      <c r="D8" s="1">
        <v>5557.5</v>
      </c>
      <c r="E8" s="1">
        <v>8336.25</v>
      </c>
      <c r="F8" s="1">
        <v>12504.375</v>
      </c>
      <c r="G8" s="1">
        <v>18756.5625</v>
      </c>
      <c r="H8" s="1">
        <v>28134.84375</v>
      </c>
      <c r="I8" s="1">
        <v>42202.265625</v>
      </c>
      <c r="J8" s="1">
        <v>63303.3984375</v>
      </c>
      <c r="K8" s="1">
        <v>94955.09765625</v>
      </c>
      <c r="L8" s="1">
        <v>142432.646484375</v>
      </c>
      <c r="M8" s="1">
        <v>213648.9697265625</v>
      </c>
      <c r="N8" s="1">
        <v>320473.45458984375</v>
      </c>
      <c r="O8" s="1">
        <v>480710.18188476563</v>
      </c>
      <c r="P8" s="2">
        <v>721065.27282714844</v>
      </c>
    </row>
    <row r="9" spans="1:16" x14ac:dyDescent="0.35">
      <c r="A9">
        <v>9</v>
      </c>
      <c r="B9" t="s">
        <v>14</v>
      </c>
      <c r="C9" s="1">
        <v>3420</v>
      </c>
      <c r="D9" s="1">
        <v>5130</v>
      </c>
      <c r="E9" s="1">
        <v>7695</v>
      </c>
      <c r="F9" s="1">
        <v>11542.5</v>
      </c>
      <c r="G9" s="1">
        <v>17313.75</v>
      </c>
      <c r="H9" s="1">
        <v>25970.625</v>
      </c>
      <c r="I9" s="1">
        <v>38955.9375</v>
      </c>
      <c r="J9" s="1">
        <v>58433.90625</v>
      </c>
      <c r="K9" s="1">
        <v>87650.859375</v>
      </c>
      <c r="L9" s="1">
        <v>131476.2890625</v>
      </c>
      <c r="M9" s="1">
        <v>197214.43359375</v>
      </c>
      <c r="N9" s="1">
        <v>295821.650390625</v>
      </c>
      <c r="O9" s="1">
        <v>443732.4755859375</v>
      </c>
      <c r="P9" s="2">
        <v>665598.71337890625</v>
      </c>
    </row>
    <row r="10" spans="1:16" x14ac:dyDescent="0.35">
      <c r="A10">
        <v>10</v>
      </c>
      <c r="B10" t="s">
        <v>13</v>
      </c>
      <c r="C10" s="1">
        <v>2736</v>
      </c>
      <c r="D10" s="1">
        <v>4104</v>
      </c>
      <c r="E10" s="1">
        <v>6156</v>
      </c>
      <c r="F10" s="1">
        <v>9234</v>
      </c>
      <c r="G10" s="1">
        <v>13851</v>
      </c>
      <c r="H10" s="1">
        <v>20776.5</v>
      </c>
      <c r="I10" s="1">
        <v>31164.75</v>
      </c>
      <c r="J10" s="1">
        <v>46747.125</v>
      </c>
      <c r="K10" s="1">
        <v>70120.6875</v>
      </c>
      <c r="L10" s="1">
        <v>105181.03125</v>
      </c>
      <c r="M10" s="1">
        <v>157771.546875</v>
      </c>
      <c r="N10" s="1">
        <v>236657.3203125</v>
      </c>
      <c r="O10" s="1">
        <v>354985.98046875</v>
      </c>
      <c r="P10" s="2">
        <v>532478.970703125</v>
      </c>
    </row>
    <row r="11" spans="1:16" x14ac:dyDescent="0.35">
      <c r="A11">
        <v>11</v>
      </c>
      <c r="B11" t="s">
        <v>21</v>
      </c>
      <c r="C11" s="1">
        <v>2679</v>
      </c>
      <c r="D11" s="1">
        <v>4018.5</v>
      </c>
      <c r="E11" s="1">
        <v>6027.75</v>
      </c>
      <c r="F11" s="1">
        <v>9041.625</v>
      </c>
      <c r="G11" s="1">
        <v>13562.4375</v>
      </c>
      <c r="H11" s="1">
        <v>20343.65625</v>
      </c>
      <c r="I11" s="1">
        <v>30515.484375</v>
      </c>
      <c r="J11" s="1">
        <v>45773.2265625</v>
      </c>
      <c r="K11" s="1">
        <v>68659.83984375</v>
      </c>
      <c r="L11" s="1">
        <v>102989.759765625</v>
      </c>
      <c r="M11" s="1">
        <v>154484.6396484375</v>
      </c>
      <c r="N11" s="1">
        <v>231726.95947265625</v>
      </c>
      <c r="O11" s="1">
        <v>347590.43920898438</v>
      </c>
      <c r="P11" s="2">
        <v>521385.65881347656</v>
      </c>
    </row>
    <row r="12" spans="1:16" x14ac:dyDescent="0.35">
      <c r="A12">
        <v>12</v>
      </c>
      <c r="B12" t="s">
        <v>18</v>
      </c>
      <c r="C12" s="1">
        <v>2337</v>
      </c>
      <c r="D12" s="1">
        <v>3505.5</v>
      </c>
      <c r="E12" s="1">
        <v>5258.25</v>
      </c>
      <c r="F12" s="1">
        <v>7887.375</v>
      </c>
      <c r="G12" s="1">
        <v>11831.0625</v>
      </c>
      <c r="H12" s="1">
        <v>17746.59375</v>
      </c>
      <c r="I12" s="1">
        <v>26619.890625</v>
      </c>
      <c r="J12" s="1">
        <v>39929.8359375</v>
      </c>
      <c r="K12" s="1">
        <v>59894.75390625</v>
      </c>
      <c r="L12" s="1">
        <v>89842.130859375</v>
      </c>
      <c r="M12" s="1">
        <v>134763.1962890625</v>
      </c>
      <c r="N12" s="1">
        <v>202144.79443359375</v>
      </c>
      <c r="O12" s="1">
        <v>303217.19165039063</v>
      </c>
      <c r="P12" s="2">
        <v>454825.78747558594</v>
      </c>
    </row>
    <row r="13" spans="1:16" x14ac:dyDescent="0.35">
      <c r="A13">
        <v>13</v>
      </c>
      <c r="B13" t="s">
        <v>19</v>
      </c>
      <c r="C13" s="1">
        <v>2166</v>
      </c>
      <c r="D13" s="1">
        <v>3249</v>
      </c>
      <c r="E13" s="1">
        <v>4873.5</v>
      </c>
      <c r="F13" s="1">
        <v>7310.25</v>
      </c>
      <c r="G13" s="1">
        <v>10965.375</v>
      </c>
      <c r="H13" s="1">
        <v>16448.0625</v>
      </c>
      <c r="I13" s="1">
        <v>24672.09375</v>
      </c>
      <c r="J13" s="1">
        <v>37008.140625</v>
      </c>
      <c r="K13" s="1">
        <v>55512.2109375</v>
      </c>
      <c r="L13" s="1">
        <v>83268.31640625</v>
      </c>
      <c r="M13" s="1">
        <v>124902.474609375</v>
      </c>
      <c r="N13" s="1">
        <v>187353.7119140625</v>
      </c>
      <c r="O13" s="1">
        <v>281030.56787109375</v>
      </c>
      <c r="P13" s="2">
        <v>421545.85180664063</v>
      </c>
    </row>
    <row r="14" spans="1:16" x14ac:dyDescent="0.35">
      <c r="A14">
        <v>14</v>
      </c>
      <c r="B14" t="s">
        <v>22</v>
      </c>
      <c r="C14" s="1">
        <v>1938</v>
      </c>
      <c r="D14" s="1">
        <v>2907</v>
      </c>
      <c r="E14" s="1">
        <v>4360.5</v>
      </c>
      <c r="F14" s="1">
        <v>6540.75</v>
      </c>
      <c r="G14" s="1">
        <v>9811.125</v>
      </c>
      <c r="H14" s="1">
        <v>14716.6875</v>
      </c>
      <c r="I14" s="1">
        <v>22075.03125</v>
      </c>
      <c r="J14" s="1">
        <v>33112.546875</v>
      </c>
      <c r="K14" s="1">
        <v>49668.8203125</v>
      </c>
      <c r="L14" s="1">
        <v>74503.23046875</v>
      </c>
      <c r="M14" s="1">
        <v>111754.845703125</v>
      </c>
      <c r="N14" s="1">
        <v>167632.2685546875</v>
      </c>
      <c r="O14" s="1">
        <v>251448.40283203125</v>
      </c>
      <c r="P14" s="2">
        <v>377172.60424804688</v>
      </c>
    </row>
    <row r="15" spans="1:16" x14ac:dyDescent="0.35">
      <c r="A15">
        <v>15</v>
      </c>
      <c r="B15" t="s">
        <v>25</v>
      </c>
      <c r="C15" s="1">
        <v>1824</v>
      </c>
      <c r="D15" s="1">
        <v>2736</v>
      </c>
      <c r="E15" s="1">
        <v>4104</v>
      </c>
      <c r="F15" s="1">
        <v>6156</v>
      </c>
      <c r="G15" s="1">
        <v>9234</v>
      </c>
      <c r="H15" s="1">
        <v>13851</v>
      </c>
      <c r="I15" s="1">
        <v>20776.5</v>
      </c>
      <c r="J15" s="1">
        <v>31164.75</v>
      </c>
      <c r="K15" s="1">
        <v>46747.125</v>
      </c>
      <c r="L15" s="1">
        <v>70120.6875</v>
      </c>
      <c r="M15" s="1">
        <v>105181.03125</v>
      </c>
      <c r="N15" s="1">
        <v>157771.546875</v>
      </c>
      <c r="O15" s="1">
        <v>236657.3203125</v>
      </c>
      <c r="P15" s="2">
        <v>354985.98046875</v>
      </c>
    </row>
    <row r="16" spans="1:16" x14ac:dyDescent="0.35">
      <c r="A16">
        <v>16</v>
      </c>
      <c r="B16" t="s">
        <v>24</v>
      </c>
      <c r="C16" s="1">
        <v>1653</v>
      </c>
      <c r="D16" s="1">
        <v>2479.5</v>
      </c>
      <c r="E16" s="1">
        <v>3719.25</v>
      </c>
      <c r="F16" s="1">
        <v>5578.875</v>
      </c>
      <c r="G16" s="1">
        <v>8368.3125</v>
      </c>
      <c r="H16" s="1">
        <v>12552.46875</v>
      </c>
      <c r="I16" s="1">
        <v>18828.703125</v>
      </c>
      <c r="J16" s="1">
        <v>28243.0546875</v>
      </c>
      <c r="K16" s="1">
        <v>42364.58203125</v>
      </c>
      <c r="L16" s="1">
        <v>63546.873046875</v>
      </c>
      <c r="M16" s="1">
        <v>95320.3095703125</v>
      </c>
      <c r="N16" s="1">
        <v>142980.46435546875</v>
      </c>
      <c r="O16" s="1">
        <v>214470.69653320313</v>
      </c>
      <c r="P16" s="2">
        <v>321706.04479980469</v>
      </c>
    </row>
    <row r="17" spans="1:16" x14ac:dyDescent="0.35">
      <c r="A17">
        <v>17</v>
      </c>
      <c r="B17" t="s">
        <v>31</v>
      </c>
      <c r="C17" s="1">
        <v>1254</v>
      </c>
      <c r="D17" s="1">
        <v>1881</v>
      </c>
      <c r="E17" s="1">
        <v>2821.5</v>
      </c>
      <c r="F17" s="1">
        <v>4232.25</v>
      </c>
      <c r="G17" s="1">
        <v>6348.375</v>
      </c>
      <c r="H17" s="1">
        <v>9522.5625</v>
      </c>
      <c r="I17" s="1">
        <v>14283.84375</v>
      </c>
      <c r="J17" s="1">
        <v>21425.765625</v>
      </c>
      <c r="K17" s="1">
        <v>32138.6484375</v>
      </c>
      <c r="L17" s="1">
        <v>48207.97265625</v>
      </c>
      <c r="M17" s="1">
        <v>72311.958984375</v>
      </c>
      <c r="N17" s="1">
        <v>108467.9384765625</v>
      </c>
      <c r="O17" s="1">
        <v>162701.90771484375</v>
      </c>
      <c r="P17" s="2">
        <v>244052.86157226563</v>
      </c>
    </row>
    <row r="18" spans="1:16" x14ac:dyDescent="0.35">
      <c r="A18">
        <v>18</v>
      </c>
      <c r="B18" t="s">
        <v>4</v>
      </c>
      <c r="C18" s="1">
        <v>969</v>
      </c>
      <c r="D18" s="1">
        <v>1453.5</v>
      </c>
      <c r="E18" s="1">
        <v>2180.25</v>
      </c>
      <c r="F18" s="1">
        <v>3270.375</v>
      </c>
      <c r="G18" s="1">
        <v>4905.5625</v>
      </c>
      <c r="H18" s="1">
        <v>7358.34375</v>
      </c>
      <c r="I18" s="1">
        <v>11037.515625</v>
      </c>
      <c r="J18" s="1">
        <v>16556.2734375</v>
      </c>
      <c r="K18" s="1">
        <v>24834.41015625</v>
      </c>
      <c r="L18" s="1">
        <v>37251.615234375</v>
      </c>
      <c r="M18" s="1">
        <v>55877.4228515625</v>
      </c>
      <c r="N18" s="1">
        <v>83816.13427734375</v>
      </c>
      <c r="O18" s="1">
        <v>125724.20141601563</v>
      </c>
      <c r="P18" s="2">
        <v>188586.30212402344</v>
      </c>
    </row>
    <row r="19" spans="1:16" x14ac:dyDescent="0.35">
      <c r="A19">
        <v>19</v>
      </c>
      <c r="B19" t="s">
        <v>29</v>
      </c>
      <c r="C19" s="1">
        <v>969</v>
      </c>
      <c r="D19" s="1">
        <v>1453.5</v>
      </c>
      <c r="E19" s="1">
        <v>2180.25</v>
      </c>
      <c r="F19" s="1">
        <v>3270.375</v>
      </c>
      <c r="G19" s="1">
        <v>4905.5625</v>
      </c>
      <c r="H19" s="1">
        <v>7358.34375</v>
      </c>
      <c r="I19" s="1">
        <v>11037.515625</v>
      </c>
      <c r="J19" s="1">
        <v>16556.2734375</v>
      </c>
      <c r="K19" s="1">
        <v>24834.41015625</v>
      </c>
      <c r="L19" s="1">
        <v>37251.615234375</v>
      </c>
      <c r="M19" s="1">
        <v>55877.4228515625</v>
      </c>
      <c r="N19" s="1">
        <v>83816.13427734375</v>
      </c>
      <c r="O19" s="1">
        <v>125724.20141601563</v>
      </c>
      <c r="P19" s="2">
        <v>188586.30212402344</v>
      </c>
    </row>
    <row r="20" spans="1:16" x14ac:dyDescent="0.35">
      <c r="A20">
        <v>20</v>
      </c>
      <c r="B20" t="s">
        <v>33</v>
      </c>
      <c r="C20" s="1">
        <v>912</v>
      </c>
      <c r="D20" s="1">
        <v>1368</v>
      </c>
      <c r="E20" s="1">
        <v>2052</v>
      </c>
      <c r="F20" s="1">
        <v>3078</v>
      </c>
      <c r="G20" s="1">
        <v>4617</v>
      </c>
      <c r="H20" s="1">
        <v>6925.5</v>
      </c>
      <c r="I20" s="1">
        <v>10388.25</v>
      </c>
      <c r="J20" s="1">
        <v>15582.375</v>
      </c>
      <c r="K20" s="1">
        <v>23373.5625</v>
      </c>
      <c r="L20" s="1">
        <v>35060.34375</v>
      </c>
      <c r="M20" s="1">
        <v>52590.515625</v>
      </c>
      <c r="N20" s="1">
        <v>78885.7734375</v>
      </c>
      <c r="O20" s="1">
        <v>118328.66015625</v>
      </c>
      <c r="P20" s="2">
        <v>177492.990234375</v>
      </c>
    </row>
    <row r="21" spans="1:16" x14ac:dyDescent="0.35">
      <c r="A21">
        <v>21</v>
      </c>
      <c r="B21" t="s">
        <v>39</v>
      </c>
      <c r="C21" s="1">
        <v>912</v>
      </c>
      <c r="D21" s="1">
        <v>1368</v>
      </c>
      <c r="E21" s="1">
        <v>2052</v>
      </c>
      <c r="F21" s="1">
        <v>3078</v>
      </c>
      <c r="G21" s="1">
        <v>4617</v>
      </c>
      <c r="H21" s="1">
        <v>6925.5</v>
      </c>
      <c r="I21" s="1">
        <v>10388.25</v>
      </c>
      <c r="J21" s="1">
        <v>15582.375</v>
      </c>
      <c r="K21" s="1">
        <v>23373.5625</v>
      </c>
      <c r="L21" s="1">
        <v>35060.34375</v>
      </c>
      <c r="M21" s="1">
        <v>52590.515625</v>
      </c>
      <c r="N21" s="1">
        <v>78885.7734375</v>
      </c>
      <c r="O21" s="1">
        <v>118328.66015625</v>
      </c>
      <c r="P21" s="2">
        <v>177492.990234375</v>
      </c>
    </row>
    <row r="22" spans="1:16" x14ac:dyDescent="0.35">
      <c r="A22">
        <v>22</v>
      </c>
      <c r="B22" t="s">
        <v>28</v>
      </c>
      <c r="C22" s="1">
        <v>855</v>
      </c>
      <c r="D22" s="1">
        <v>1282.5</v>
      </c>
      <c r="E22" s="1">
        <v>1923.75</v>
      </c>
      <c r="F22" s="1">
        <v>2885.625</v>
      </c>
      <c r="G22" s="1">
        <v>4328.4375</v>
      </c>
      <c r="H22" s="1">
        <v>6492.65625</v>
      </c>
      <c r="I22" s="1">
        <v>9738.984375</v>
      </c>
      <c r="J22" s="1">
        <v>14608.4765625</v>
      </c>
      <c r="K22" s="1">
        <v>21912.71484375</v>
      </c>
      <c r="L22" s="1">
        <v>32869.072265625</v>
      </c>
      <c r="M22" s="1">
        <v>49303.6083984375</v>
      </c>
      <c r="N22" s="1">
        <v>73955.41259765625</v>
      </c>
      <c r="O22" s="1">
        <v>110933.11889648438</v>
      </c>
      <c r="P22" s="2">
        <v>166399.67834472656</v>
      </c>
    </row>
    <row r="23" spans="1:16" x14ac:dyDescent="0.35">
      <c r="A23">
        <v>23</v>
      </c>
      <c r="B23" t="s">
        <v>34</v>
      </c>
      <c r="C23" s="1">
        <v>798</v>
      </c>
      <c r="D23" s="1">
        <v>1197</v>
      </c>
      <c r="E23" s="1">
        <v>1795.5</v>
      </c>
      <c r="F23" s="1">
        <v>2693.25</v>
      </c>
      <c r="G23" s="1">
        <v>4039.875</v>
      </c>
      <c r="H23" s="1">
        <v>6059.8125</v>
      </c>
      <c r="I23" s="1">
        <v>9089.71875</v>
      </c>
      <c r="J23" s="1">
        <v>13634.578125</v>
      </c>
      <c r="K23" s="1">
        <v>20451.8671875</v>
      </c>
      <c r="L23" s="1">
        <v>30677.80078125</v>
      </c>
      <c r="M23" s="1">
        <v>46016.701171875</v>
      </c>
      <c r="N23" s="1">
        <v>69025.0517578125</v>
      </c>
      <c r="O23" s="1">
        <v>103537.57763671875</v>
      </c>
      <c r="P23" s="2">
        <v>155306.36645507813</v>
      </c>
    </row>
    <row r="24" spans="1:16" x14ac:dyDescent="0.35">
      <c r="A24">
        <v>24</v>
      </c>
      <c r="B24" t="s">
        <v>36</v>
      </c>
      <c r="C24" s="1">
        <v>741</v>
      </c>
      <c r="D24" s="1">
        <v>1111.5</v>
      </c>
      <c r="E24" s="1">
        <v>1667.25</v>
      </c>
      <c r="F24" s="1">
        <v>2500.875</v>
      </c>
      <c r="G24" s="1">
        <v>3751.3125</v>
      </c>
      <c r="H24" s="1">
        <v>5626.96875</v>
      </c>
      <c r="I24" s="1">
        <v>8440.453125</v>
      </c>
      <c r="J24" s="1">
        <v>12660.6796875</v>
      </c>
      <c r="K24" s="1">
        <v>18991.01953125</v>
      </c>
      <c r="L24" s="1">
        <v>28486.529296875</v>
      </c>
      <c r="M24" s="1">
        <v>42729.7939453125</v>
      </c>
      <c r="N24" s="1">
        <v>64094.69091796875</v>
      </c>
      <c r="O24" s="1">
        <v>96142.036376953125</v>
      </c>
      <c r="P24" s="2">
        <v>144213.05456542969</v>
      </c>
    </row>
    <row r="25" spans="1:16" x14ac:dyDescent="0.35">
      <c r="A25">
        <v>25</v>
      </c>
      <c r="B25" t="s">
        <v>30</v>
      </c>
      <c r="C25" s="1">
        <v>684</v>
      </c>
      <c r="D25" s="1">
        <v>1026</v>
      </c>
      <c r="E25" s="1">
        <v>1539</v>
      </c>
      <c r="F25" s="1">
        <v>2308.5</v>
      </c>
      <c r="G25" s="1">
        <v>3462.75</v>
      </c>
      <c r="H25" s="1">
        <v>5194.125</v>
      </c>
      <c r="I25" s="1">
        <v>7791.1875</v>
      </c>
      <c r="J25" s="1">
        <v>11686.78125</v>
      </c>
      <c r="K25" s="1">
        <v>17530.171875</v>
      </c>
      <c r="L25" s="1">
        <v>26295.2578125</v>
      </c>
      <c r="M25" s="1">
        <v>39442.88671875</v>
      </c>
      <c r="N25" s="1">
        <v>59164.330078125</v>
      </c>
      <c r="O25" s="1">
        <v>88746.4951171875</v>
      </c>
      <c r="P25" s="2">
        <v>133119.74267578125</v>
      </c>
    </row>
    <row r="26" spans="1:16" x14ac:dyDescent="0.35">
      <c r="A26">
        <v>26</v>
      </c>
      <c r="B26" t="s">
        <v>48</v>
      </c>
      <c r="C26" s="1">
        <v>684</v>
      </c>
      <c r="D26" s="1">
        <v>1026</v>
      </c>
      <c r="E26" s="1">
        <v>1539</v>
      </c>
      <c r="F26" s="1">
        <v>2308.5</v>
      </c>
      <c r="G26" s="1">
        <v>3462.75</v>
      </c>
      <c r="H26" s="1">
        <v>5194.125</v>
      </c>
      <c r="I26" s="1">
        <v>7791.1875</v>
      </c>
      <c r="J26" s="1">
        <v>11686.78125</v>
      </c>
      <c r="K26" s="1">
        <v>17530.171875</v>
      </c>
      <c r="L26" s="1">
        <v>26295.2578125</v>
      </c>
      <c r="M26" s="1">
        <v>39442.88671875</v>
      </c>
      <c r="N26" s="1">
        <v>59164.330078125</v>
      </c>
      <c r="O26" s="1">
        <v>88746.4951171875</v>
      </c>
      <c r="P26" s="2">
        <v>133119.74267578125</v>
      </c>
    </row>
    <row r="27" spans="1:16" x14ac:dyDescent="0.35">
      <c r="A27">
        <v>27</v>
      </c>
      <c r="B27" t="s">
        <v>26</v>
      </c>
      <c r="C27" s="1">
        <v>570</v>
      </c>
      <c r="D27" s="1">
        <v>855</v>
      </c>
      <c r="E27" s="1">
        <v>1282.5</v>
      </c>
      <c r="F27" s="1">
        <v>1923.75</v>
      </c>
      <c r="G27" s="1">
        <v>2885.625</v>
      </c>
      <c r="H27" s="1">
        <v>4328.4375</v>
      </c>
      <c r="I27" s="1">
        <v>6492.65625</v>
      </c>
      <c r="J27" s="1">
        <v>9738.984375</v>
      </c>
      <c r="K27" s="1">
        <v>14608.4765625</v>
      </c>
      <c r="L27" s="1">
        <v>21912.71484375</v>
      </c>
      <c r="M27" s="1">
        <v>32869.072265625</v>
      </c>
      <c r="N27" s="1">
        <v>49303.6083984375</v>
      </c>
      <c r="O27" s="1">
        <v>73955.41259765625</v>
      </c>
      <c r="P27" s="2">
        <v>110933.11889648438</v>
      </c>
    </row>
    <row r="28" spans="1:16" x14ac:dyDescent="0.35">
      <c r="A28">
        <v>28</v>
      </c>
      <c r="B28" t="s">
        <v>32</v>
      </c>
      <c r="C28" s="1">
        <v>513</v>
      </c>
      <c r="D28" s="1">
        <v>769.5</v>
      </c>
      <c r="E28" s="1">
        <v>1154.25</v>
      </c>
      <c r="F28" s="1">
        <v>1731.375</v>
      </c>
      <c r="G28" s="1">
        <v>2597.0625</v>
      </c>
      <c r="H28" s="1">
        <v>3895.59375</v>
      </c>
      <c r="I28" s="1">
        <v>5843.390625</v>
      </c>
      <c r="J28" s="1">
        <v>8765.0859375</v>
      </c>
      <c r="K28" s="1">
        <v>13147.62890625</v>
      </c>
      <c r="L28" s="1">
        <v>19721.443359375</v>
      </c>
      <c r="M28" s="1">
        <v>29582.1650390625</v>
      </c>
      <c r="N28" s="1">
        <v>44373.24755859375</v>
      </c>
      <c r="O28" s="1">
        <v>66559.871337890625</v>
      </c>
      <c r="P28" s="2">
        <v>99839.807006835938</v>
      </c>
    </row>
    <row r="29" spans="1:16" x14ac:dyDescent="0.35">
      <c r="A29">
        <v>29</v>
      </c>
      <c r="B29" t="s">
        <v>37</v>
      </c>
      <c r="C29" s="1">
        <v>513</v>
      </c>
      <c r="D29" s="1">
        <v>769.5</v>
      </c>
      <c r="E29" s="1">
        <v>1154.25</v>
      </c>
      <c r="F29" s="1">
        <v>1731.375</v>
      </c>
      <c r="G29" s="1">
        <v>2597.0625</v>
      </c>
      <c r="H29" s="1">
        <v>3895.59375</v>
      </c>
      <c r="I29" s="1">
        <v>5843.390625</v>
      </c>
      <c r="J29" s="1">
        <v>8765.0859375</v>
      </c>
      <c r="K29" s="1">
        <v>13147.62890625</v>
      </c>
      <c r="L29" s="1">
        <v>19721.443359375</v>
      </c>
      <c r="M29" s="1">
        <v>29582.1650390625</v>
      </c>
      <c r="N29" s="1">
        <v>44373.24755859375</v>
      </c>
      <c r="O29" s="1">
        <v>66559.871337890625</v>
      </c>
      <c r="P29" s="2">
        <v>99839.807006835938</v>
      </c>
    </row>
    <row r="30" spans="1:16" x14ac:dyDescent="0.35">
      <c r="A30">
        <v>30</v>
      </c>
      <c r="B30" t="s">
        <v>38</v>
      </c>
      <c r="C30" s="1">
        <v>456</v>
      </c>
      <c r="D30" s="1">
        <v>684</v>
      </c>
      <c r="E30" s="1">
        <v>1026</v>
      </c>
      <c r="F30" s="1">
        <v>1539</v>
      </c>
      <c r="G30" s="1">
        <v>2308.5</v>
      </c>
      <c r="H30" s="1">
        <v>3462.75</v>
      </c>
      <c r="I30" s="1">
        <v>5194.125</v>
      </c>
      <c r="J30" s="1">
        <v>7791.1875</v>
      </c>
      <c r="K30" s="1">
        <v>11686.78125</v>
      </c>
      <c r="L30" s="1">
        <v>17530.171875</v>
      </c>
      <c r="M30" s="1">
        <v>26295.2578125</v>
      </c>
      <c r="N30" s="1">
        <v>39442.88671875</v>
      </c>
      <c r="O30" s="1">
        <v>59164.330078125</v>
      </c>
      <c r="P30" s="2">
        <v>88746.4951171875</v>
      </c>
    </row>
    <row r="31" spans="1:16" x14ac:dyDescent="0.35">
      <c r="A31">
        <v>31</v>
      </c>
      <c r="B31" t="s">
        <v>23</v>
      </c>
      <c r="C31" s="1">
        <v>399</v>
      </c>
      <c r="D31" s="1">
        <v>598.5</v>
      </c>
      <c r="E31" s="1">
        <v>897.75</v>
      </c>
      <c r="F31" s="1">
        <v>1346.625</v>
      </c>
      <c r="G31" s="1">
        <v>2019.9375</v>
      </c>
      <c r="H31" s="1">
        <v>3029.90625</v>
      </c>
      <c r="I31" s="1">
        <v>4544.859375</v>
      </c>
      <c r="J31" s="1">
        <v>6817.2890625</v>
      </c>
      <c r="K31" s="1">
        <v>10225.93359375</v>
      </c>
      <c r="L31" s="1">
        <v>15338.900390625</v>
      </c>
      <c r="M31" s="1">
        <v>23008.3505859375</v>
      </c>
      <c r="N31" s="1">
        <v>34512.52587890625</v>
      </c>
      <c r="O31" s="1">
        <v>51768.788818359375</v>
      </c>
      <c r="P31" s="2">
        <v>77653.183227539063</v>
      </c>
    </row>
    <row r="32" spans="1:16" x14ac:dyDescent="0.35">
      <c r="A32">
        <v>32</v>
      </c>
      <c r="B32" t="s">
        <v>27</v>
      </c>
      <c r="C32" s="1">
        <v>399</v>
      </c>
      <c r="D32" s="1">
        <v>598.5</v>
      </c>
      <c r="E32" s="1">
        <v>897.75</v>
      </c>
      <c r="F32" s="1">
        <v>1346.625</v>
      </c>
      <c r="G32" s="1">
        <v>2019.9375</v>
      </c>
      <c r="H32" s="1">
        <v>3029.90625</v>
      </c>
      <c r="I32" s="1">
        <v>4544.859375</v>
      </c>
      <c r="J32" s="1">
        <v>6817.2890625</v>
      </c>
      <c r="K32" s="1">
        <v>10225.93359375</v>
      </c>
      <c r="L32" s="1">
        <v>15338.900390625</v>
      </c>
      <c r="M32" s="1">
        <v>23008.3505859375</v>
      </c>
      <c r="N32" s="1">
        <v>34512.52587890625</v>
      </c>
      <c r="O32" s="1">
        <v>51768.788818359375</v>
      </c>
      <c r="P32" s="2">
        <v>77653.183227539063</v>
      </c>
    </row>
    <row r="33" spans="1:16" x14ac:dyDescent="0.35">
      <c r="A33">
        <v>33</v>
      </c>
      <c r="B33" t="s">
        <v>40</v>
      </c>
      <c r="C33" s="1">
        <v>342</v>
      </c>
      <c r="D33" s="1">
        <v>513</v>
      </c>
      <c r="E33" s="1">
        <v>769.5</v>
      </c>
      <c r="F33" s="1">
        <v>1154.25</v>
      </c>
      <c r="G33" s="1">
        <v>1731.375</v>
      </c>
      <c r="H33" s="1">
        <v>2597.0625</v>
      </c>
      <c r="I33" s="1">
        <v>3895.59375</v>
      </c>
      <c r="J33" s="1">
        <v>5843.390625</v>
      </c>
      <c r="K33" s="1">
        <v>8765.0859375</v>
      </c>
      <c r="L33" s="1">
        <v>13147.62890625</v>
      </c>
      <c r="M33" s="1">
        <v>19721.443359375</v>
      </c>
      <c r="N33" s="1">
        <v>29582.1650390625</v>
      </c>
      <c r="O33" s="1">
        <v>44373.24755859375</v>
      </c>
      <c r="P33" s="2">
        <v>66559.871337890625</v>
      </c>
    </row>
    <row r="34" spans="1:16" x14ac:dyDescent="0.35">
      <c r="A34">
        <v>34</v>
      </c>
      <c r="B34" t="s">
        <v>42</v>
      </c>
      <c r="C34" s="1">
        <v>342</v>
      </c>
      <c r="D34" s="1">
        <v>513</v>
      </c>
      <c r="E34" s="1">
        <v>769.5</v>
      </c>
      <c r="F34" s="1">
        <v>1154.25</v>
      </c>
      <c r="G34" s="1">
        <v>1731.375</v>
      </c>
      <c r="H34" s="1">
        <v>2597.0625</v>
      </c>
      <c r="I34" s="1">
        <v>3895.59375</v>
      </c>
      <c r="J34" s="1">
        <v>5843.390625</v>
      </c>
      <c r="K34" s="1">
        <v>8765.0859375</v>
      </c>
      <c r="L34" s="1">
        <v>13147.62890625</v>
      </c>
      <c r="M34" s="1">
        <v>19721.443359375</v>
      </c>
      <c r="N34" s="1">
        <v>29582.1650390625</v>
      </c>
      <c r="O34" s="1">
        <v>44373.24755859375</v>
      </c>
      <c r="P34" s="2">
        <v>66559.871337890625</v>
      </c>
    </row>
    <row r="35" spans="1:16" x14ac:dyDescent="0.35">
      <c r="A35">
        <v>35</v>
      </c>
      <c r="B35" t="s">
        <v>43</v>
      </c>
      <c r="C35" s="1">
        <v>342</v>
      </c>
      <c r="D35" s="1">
        <v>513</v>
      </c>
      <c r="E35" s="1">
        <v>769.5</v>
      </c>
      <c r="F35" s="1">
        <v>1154.25</v>
      </c>
      <c r="G35" s="1">
        <v>1731.375</v>
      </c>
      <c r="H35" s="1">
        <v>2597.0625</v>
      </c>
      <c r="I35" s="1">
        <v>3895.59375</v>
      </c>
      <c r="J35" s="1">
        <v>5843.390625</v>
      </c>
      <c r="K35" s="1">
        <v>8765.0859375</v>
      </c>
      <c r="L35" s="1">
        <v>13147.62890625</v>
      </c>
      <c r="M35" s="1">
        <v>19721.443359375</v>
      </c>
      <c r="N35" s="1">
        <v>29582.1650390625</v>
      </c>
      <c r="O35" s="1">
        <v>44373.24755859375</v>
      </c>
      <c r="P35" s="2">
        <v>66559.871337890625</v>
      </c>
    </row>
    <row r="36" spans="1:16" x14ac:dyDescent="0.35">
      <c r="A36">
        <v>36</v>
      </c>
      <c r="B36" t="s">
        <v>49</v>
      </c>
      <c r="C36" s="1">
        <v>342</v>
      </c>
      <c r="D36" s="1">
        <v>513</v>
      </c>
      <c r="E36" s="1">
        <v>769.5</v>
      </c>
      <c r="F36" s="1">
        <v>1154.25</v>
      </c>
      <c r="G36" s="1">
        <v>1731.375</v>
      </c>
      <c r="H36" s="1">
        <v>2597.0625</v>
      </c>
      <c r="I36" s="1">
        <v>3895.59375</v>
      </c>
      <c r="J36" s="1">
        <v>5843.390625</v>
      </c>
      <c r="K36" s="1">
        <v>8765.0859375</v>
      </c>
      <c r="L36" s="1">
        <v>13147.62890625</v>
      </c>
      <c r="M36" s="1">
        <v>19721.443359375</v>
      </c>
      <c r="N36" s="1">
        <v>29582.1650390625</v>
      </c>
      <c r="O36" s="1">
        <v>44373.24755859375</v>
      </c>
      <c r="P36" s="2">
        <v>66559.871337890625</v>
      </c>
    </row>
    <row r="37" spans="1:16" x14ac:dyDescent="0.35">
      <c r="A37">
        <v>37</v>
      </c>
      <c r="B37" t="s">
        <v>41</v>
      </c>
      <c r="C37" s="1">
        <v>285</v>
      </c>
      <c r="D37" s="1">
        <v>427.5</v>
      </c>
      <c r="E37" s="1">
        <v>641.25</v>
      </c>
      <c r="F37" s="1">
        <v>961.875</v>
      </c>
      <c r="G37" s="1">
        <v>1442.8125</v>
      </c>
      <c r="H37" s="1">
        <v>2164.21875</v>
      </c>
      <c r="I37" s="1">
        <v>3246.328125</v>
      </c>
      <c r="J37" s="1">
        <v>4869.4921875</v>
      </c>
      <c r="K37" s="1">
        <v>7304.23828125</v>
      </c>
      <c r="L37" s="1">
        <v>10956.357421875</v>
      </c>
      <c r="M37" s="1">
        <v>16434.5361328125</v>
      </c>
      <c r="N37" s="1">
        <v>24651.80419921875</v>
      </c>
      <c r="O37" s="1">
        <v>36977.706298828125</v>
      </c>
      <c r="P37" s="2">
        <v>55466.559448242188</v>
      </c>
    </row>
    <row r="38" spans="1:16" x14ac:dyDescent="0.35">
      <c r="A38">
        <v>38</v>
      </c>
      <c r="B38" t="s">
        <v>60</v>
      </c>
      <c r="C38" s="1">
        <v>285</v>
      </c>
      <c r="D38" s="1">
        <v>427.5</v>
      </c>
      <c r="E38" s="1">
        <v>641.25</v>
      </c>
      <c r="F38" s="1">
        <v>961.875</v>
      </c>
      <c r="G38" s="1">
        <v>1442.8125</v>
      </c>
      <c r="H38" s="1">
        <v>2164.21875</v>
      </c>
      <c r="I38" s="1">
        <v>3246.328125</v>
      </c>
      <c r="J38" s="1">
        <v>4869.4921875</v>
      </c>
      <c r="K38" s="1">
        <v>7304.23828125</v>
      </c>
      <c r="L38" s="1">
        <v>10956.357421875</v>
      </c>
      <c r="M38" s="1">
        <v>16434.5361328125</v>
      </c>
      <c r="N38" s="1">
        <v>24651.80419921875</v>
      </c>
      <c r="O38" s="1">
        <v>36977.706298828125</v>
      </c>
      <c r="P38" s="2">
        <v>55466.559448242188</v>
      </c>
    </row>
    <row r="39" spans="1:16" x14ac:dyDescent="0.35">
      <c r="A39">
        <v>39</v>
      </c>
      <c r="B39" t="s">
        <v>2</v>
      </c>
      <c r="C39" s="1">
        <v>171</v>
      </c>
      <c r="D39" s="1">
        <v>256.5</v>
      </c>
      <c r="E39" s="1">
        <v>384.75</v>
      </c>
      <c r="F39" s="1">
        <v>577.125</v>
      </c>
      <c r="G39" s="1">
        <v>865.6875</v>
      </c>
      <c r="H39" s="1">
        <v>1298.53125</v>
      </c>
      <c r="I39" s="1">
        <v>1947.796875</v>
      </c>
      <c r="J39" s="1">
        <v>2921.6953125</v>
      </c>
      <c r="K39" s="1">
        <v>4382.54296875</v>
      </c>
      <c r="L39" s="1">
        <v>6573.814453125</v>
      </c>
      <c r="M39" s="1">
        <v>9860.7216796875</v>
      </c>
      <c r="N39" s="1">
        <v>14791.08251953125</v>
      </c>
      <c r="O39" s="1">
        <v>22186.623779296875</v>
      </c>
      <c r="P39" s="2">
        <v>33279.935668945313</v>
      </c>
    </row>
    <row r="40" spans="1:16" x14ac:dyDescent="0.35">
      <c r="A40">
        <v>40</v>
      </c>
      <c r="B40" t="s">
        <v>44</v>
      </c>
      <c r="C40" s="1">
        <v>171</v>
      </c>
      <c r="D40" s="1">
        <v>256.5</v>
      </c>
      <c r="E40" s="1">
        <v>384.75</v>
      </c>
      <c r="F40" s="1">
        <v>577.125</v>
      </c>
      <c r="G40" s="1">
        <v>865.6875</v>
      </c>
      <c r="H40" s="1">
        <v>1298.53125</v>
      </c>
      <c r="I40" s="1">
        <v>1947.796875</v>
      </c>
      <c r="J40" s="1">
        <v>2921.6953125</v>
      </c>
      <c r="K40" s="1">
        <v>4382.54296875</v>
      </c>
      <c r="L40" s="1">
        <v>6573.814453125</v>
      </c>
      <c r="M40" s="1">
        <v>9860.7216796875</v>
      </c>
      <c r="N40" s="1">
        <v>14791.08251953125</v>
      </c>
      <c r="O40" s="1">
        <v>22186.623779296875</v>
      </c>
      <c r="P40" s="2">
        <v>33279.935668945313</v>
      </c>
    </row>
    <row r="41" spans="1:16" x14ac:dyDescent="0.35">
      <c r="A41">
        <v>41</v>
      </c>
      <c r="B41" t="s">
        <v>45</v>
      </c>
      <c r="C41" s="1">
        <v>171</v>
      </c>
      <c r="D41" s="1">
        <v>256.5</v>
      </c>
      <c r="E41" s="1">
        <v>384.75</v>
      </c>
      <c r="F41" s="1">
        <v>577.125</v>
      </c>
      <c r="G41" s="1">
        <v>865.6875</v>
      </c>
      <c r="H41" s="1">
        <v>1298.53125</v>
      </c>
      <c r="I41" s="1">
        <v>1947.796875</v>
      </c>
      <c r="J41" s="1">
        <v>2921.6953125</v>
      </c>
      <c r="K41" s="1">
        <v>4382.54296875</v>
      </c>
      <c r="L41" s="1">
        <v>6573.814453125</v>
      </c>
      <c r="M41" s="1">
        <v>9860.7216796875</v>
      </c>
      <c r="N41" s="1">
        <v>14791.08251953125</v>
      </c>
      <c r="O41" s="1">
        <v>22186.623779296875</v>
      </c>
      <c r="P41" s="2">
        <v>33279.935668945313</v>
      </c>
    </row>
    <row r="42" spans="1:16" x14ac:dyDescent="0.35">
      <c r="A42">
        <v>42</v>
      </c>
      <c r="B42" t="s">
        <v>46</v>
      </c>
      <c r="C42" s="1">
        <v>171</v>
      </c>
      <c r="D42" s="1">
        <v>256.5</v>
      </c>
      <c r="E42" s="1">
        <v>384.75</v>
      </c>
      <c r="F42" s="1">
        <v>577.125</v>
      </c>
      <c r="G42" s="1">
        <v>865.6875</v>
      </c>
      <c r="H42" s="1">
        <v>1298.53125</v>
      </c>
      <c r="I42" s="1">
        <v>1947.796875</v>
      </c>
      <c r="J42" s="1">
        <v>2921.6953125</v>
      </c>
      <c r="K42" s="1">
        <v>4382.54296875</v>
      </c>
      <c r="L42" s="1">
        <v>6573.814453125</v>
      </c>
      <c r="M42" s="1">
        <v>9860.7216796875</v>
      </c>
      <c r="N42" s="1">
        <v>14791.08251953125</v>
      </c>
      <c r="O42" s="1">
        <v>22186.623779296875</v>
      </c>
      <c r="P42" s="2">
        <v>33279.935668945313</v>
      </c>
    </row>
    <row r="43" spans="1:16" x14ac:dyDescent="0.35">
      <c r="A43">
        <v>43</v>
      </c>
      <c r="B43" t="s">
        <v>35</v>
      </c>
      <c r="C43" s="1">
        <v>114</v>
      </c>
      <c r="D43" s="1">
        <v>171</v>
      </c>
      <c r="E43" s="1">
        <v>256.5</v>
      </c>
      <c r="F43" s="1">
        <v>384.75</v>
      </c>
      <c r="G43" s="1">
        <v>577.125</v>
      </c>
      <c r="H43" s="1">
        <v>865.6875</v>
      </c>
      <c r="I43" s="1">
        <v>1298.53125</v>
      </c>
      <c r="J43" s="1">
        <v>1947.796875</v>
      </c>
      <c r="K43" s="1">
        <v>2921.6953125</v>
      </c>
      <c r="L43" s="1">
        <v>4382.54296875</v>
      </c>
      <c r="M43" s="1">
        <v>6573.814453125</v>
      </c>
      <c r="N43" s="1">
        <v>9860.7216796875</v>
      </c>
      <c r="O43" s="1">
        <v>14791.08251953125</v>
      </c>
      <c r="P43" s="2">
        <v>22186.623779296875</v>
      </c>
    </row>
    <row r="44" spans="1:16" x14ac:dyDescent="0.35">
      <c r="A44">
        <v>44</v>
      </c>
      <c r="B44" t="s">
        <v>47</v>
      </c>
      <c r="C44" s="1">
        <v>114</v>
      </c>
      <c r="D44" s="1">
        <v>171</v>
      </c>
      <c r="E44" s="1">
        <v>256.5</v>
      </c>
      <c r="F44" s="1">
        <v>384.75</v>
      </c>
      <c r="G44" s="1">
        <v>577.125</v>
      </c>
      <c r="H44" s="1">
        <v>865.6875</v>
      </c>
      <c r="I44" s="1">
        <v>1298.53125</v>
      </c>
      <c r="J44" s="1">
        <v>1947.796875</v>
      </c>
      <c r="K44" s="1">
        <v>2921.6953125</v>
      </c>
      <c r="L44" s="1">
        <v>4382.54296875</v>
      </c>
      <c r="M44" s="1">
        <v>6573.814453125</v>
      </c>
      <c r="N44" s="1">
        <v>9860.7216796875</v>
      </c>
      <c r="O44" s="1">
        <v>14791.08251953125</v>
      </c>
      <c r="P44" s="2">
        <v>22186.623779296875</v>
      </c>
    </row>
    <row r="45" spans="1:16" x14ac:dyDescent="0.35">
      <c r="A45">
        <v>45</v>
      </c>
      <c r="B45" t="s">
        <v>53</v>
      </c>
      <c r="C45" s="1">
        <v>114</v>
      </c>
      <c r="D45" s="1">
        <v>171</v>
      </c>
      <c r="E45" s="1">
        <v>256.5</v>
      </c>
      <c r="F45" s="1">
        <v>384.75</v>
      </c>
      <c r="G45" s="1">
        <v>577.125</v>
      </c>
      <c r="H45" s="1">
        <v>865.6875</v>
      </c>
      <c r="I45" s="1">
        <v>1298.53125</v>
      </c>
      <c r="J45" s="1">
        <v>1947.796875</v>
      </c>
      <c r="K45" s="1">
        <v>2921.6953125</v>
      </c>
      <c r="L45" s="1">
        <v>4382.54296875</v>
      </c>
      <c r="M45" s="1">
        <v>6573.814453125</v>
      </c>
      <c r="N45" s="1">
        <v>9860.7216796875</v>
      </c>
      <c r="O45" s="1">
        <v>14791.08251953125</v>
      </c>
      <c r="P45" s="2">
        <v>22186.623779296875</v>
      </c>
    </row>
    <row r="46" spans="1:16" x14ac:dyDescent="0.35">
      <c r="A46">
        <v>46</v>
      </c>
      <c r="B46" t="s">
        <v>54</v>
      </c>
      <c r="C46" s="1">
        <v>114</v>
      </c>
      <c r="D46" s="1">
        <v>171</v>
      </c>
      <c r="E46" s="1">
        <v>256.5</v>
      </c>
      <c r="F46" s="1">
        <v>384.75</v>
      </c>
      <c r="G46" s="1">
        <v>577.125</v>
      </c>
      <c r="H46" s="1">
        <v>865.6875</v>
      </c>
      <c r="I46" s="1">
        <v>1298.53125</v>
      </c>
      <c r="J46" s="1">
        <v>1947.796875</v>
      </c>
      <c r="K46" s="1">
        <v>2921.6953125</v>
      </c>
      <c r="L46" s="1">
        <v>4382.54296875</v>
      </c>
      <c r="M46" s="1">
        <v>6573.814453125</v>
      </c>
      <c r="N46" s="1">
        <v>9860.7216796875</v>
      </c>
      <c r="O46" s="1">
        <v>14791.08251953125</v>
      </c>
      <c r="P46" s="2">
        <v>22186.623779296875</v>
      </c>
    </row>
    <row r="47" spans="1:16" x14ac:dyDescent="0.35">
      <c r="A47">
        <v>47</v>
      </c>
      <c r="B47" t="s">
        <v>51</v>
      </c>
      <c r="C47" s="1">
        <v>57</v>
      </c>
      <c r="D47" s="1">
        <v>85.5</v>
      </c>
      <c r="E47" s="1">
        <v>128.25</v>
      </c>
      <c r="F47" s="1">
        <v>192.375</v>
      </c>
      <c r="G47" s="1">
        <v>288.5625</v>
      </c>
      <c r="H47" s="1">
        <v>432.84375</v>
      </c>
      <c r="I47" s="1">
        <v>649.265625</v>
      </c>
      <c r="J47" s="1">
        <v>973.8984375</v>
      </c>
      <c r="K47" s="1">
        <v>1460.84765625</v>
      </c>
      <c r="L47" s="1">
        <v>2191.271484375</v>
      </c>
      <c r="M47" s="1">
        <v>3286.9072265625</v>
      </c>
      <c r="N47" s="1">
        <v>4930.36083984375</v>
      </c>
      <c r="O47" s="1">
        <v>7395.541259765625</v>
      </c>
      <c r="P47" s="2">
        <v>11093.311889648438</v>
      </c>
    </row>
    <row r="48" spans="1:16" x14ac:dyDescent="0.35">
      <c r="A48">
        <v>48</v>
      </c>
      <c r="B48" t="s">
        <v>52</v>
      </c>
      <c r="C48" s="1">
        <v>57</v>
      </c>
      <c r="D48" s="1">
        <v>85.5</v>
      </c>
      <c r="E48" s="1">
        <v>128.25</v>
      </c>
      <c r="F48" s="1">
        <v>192.375</v>
      </c>
      <c r="G48" s="1">
        <v>288.5625</v>
      </c>
      <c r="H48" s="1">
        <v>432.84375</v>
      </c>
      <c r="I48" s="1">
        <v>649.265625</v>
      </c>
      <c r="J48" s="1">
        <v>973.8984375</v>
      </c>
      <c r="K48" s="1">
        <v>1460.84765625</v>
      </c>
      <c r="L48" s="1">
        <v>2191.271484375</v>
      </c>
      <c r="M48" s="1">
        <v>3286.9072265625</v>
      </c>
      <c r="N48" s="1">
        <v>4930.36083984375</v>
      </c>
      <c r="O48" s="1">
        <v>7395.541259765625</v>
      </c>
      <c r="P48" s="2">
        <v>11093.311889648438</v>
      </c>
    </row>
    <row r="49" spans="1:16" x14ac:dyDescent="0.35">
      <c r="A49">
        <v>49</v>
      </c>
      <c r="B49" t="s">
        <v>55</v>
      </c>
      <c r="C49" s="1">
        <v>57</v>
      </c>
      <c r="D49" s="1">
        <v>85.5</v>
      </c>
      <c r="E49" s="1">
        <v>128.25</v>
      </c>
      <c r="F49" s="1">
        <v>192.375</v>
      </c>
      <c r="G49" s="1">
        <v>288.5625</v>
      </c>
      <c r="H49" s="1">
        <v>432.84375</v>
      </c>
      <c r="I49" s="1">
        <v>649.265625</v>
      </c>
      <c r="J49" s="1">
        <v>973.8984375</v>
      </c>
      <c r="K49" s="1">
        <v>1460.84765625</v>
      </c>
      <c r="L49" s="1">
        <v>2191.271484375</v>
      </c>
      <c r="M49" s="1">
        <v>3286.9072265625</v>
      </c>
      <c r="N49" s="1">
        <v>4930.36083984375</v>
      </c>
      <c r="O49" s="1">
        <v>7395.541259765625</v>
      </c>
      <c r="P49" s="2">
        <v>11093.311889648438</v>
      </c>
    </row>
    <row r="50" spans="1:16" x14ac:dyDescent="0.35">
      <c r="A50">
        <v>50</v>
      </c>
      <c r="B50" t="s">
        <v>56</v>
      </c>
      <c r="C50" s="1">
        <v>57</v>
      </c>
      <c r="D50" s="1">
        <v>85.5</v>
      </c>
      <c r="E50" s="1">
        <v>128.25</v>
      </c>
      <c r="F50" s="1">
        <v>192.375</v>
      </c>
      <c r="G50" s="1">
        <v>288.5625</v>
      </c>
      <c r="H50" s="1">
        <v>432.84375</v>
      </c>
      <c r="I50" s="1">
        <v>649.265625</v>
      </c>
      <c r="J50" s="1">
        <v>973.8984375</v>
      </c>
      <c r="K50" s="1">
        <v>1460.84765625</v>
      </c>
      <c r="L50" s="1">
        <v>2191.271484375</v>
      </c>
      <c r="M50" s="1">
        <v>3286.9072265625</v>
      </c>
      <c r="N50" s="1">
        <v>4930.36083984375</v>
      </c>
      <c r="O50" s="1">
        <v>7395.541259765625</v>
      </c>
      <c r="P50" s="2">
        <v>11093.311889648438</v>
      </c>
    </row>
    <row r="51" spans="1:16" x14ac:dyDescent="0.35">
      <c r="A51">
        <v>51</v>
      </c>
      <c r="B51" t="s">
        <v>58</v>
      </c>
      <c r="C51" s="1">
        <v>57</v>
      </c>
      <c r="D51" s="1">
        <v>85.5</v>
      </c>
      <c r="E51" s="1">
        <v>128.25</v>
      </c>
      <c r="F51" s="1">
        <v>192.375</v>
      </c>
      <c r="G51" s="1">
        <v>288.5625</v>
      </c>
      <c r="H51" s="1">
        <v>432.84375</v>
      </c>
      <c r="I51" s="1">
        <v>649.265625</v>
      </c>
      <c r="J51" s="1">
        <v>973.8984375</v>
      </c>
      <c r="K51" s="1">
        <v>1460.84765625</v>
      </c>
      <c r="L51" s="1">
        <v>2191.271484375</v>
      </c>
      <c r="M51" s="1">
        <v>3286.9072265625</v>
      </c>
      <c r="N51" s="1">
        <v>4930.36083984375</v>
      </c>
      <c r="O51" s="1">
        <v>7395.541259765625</v>
      </c>
      <c r="P51" s="2">
        <v>11093.311889648438</v>
      </c>
    </row>
    <row r="52" spans="1:16" x14ac:dyDescent="0.35">
      <c r="A52">
        <v>52</v>
      </c>
      <c r="B52" t="s">
        <v>50</v>
      </c>
      <c r="C52" s="1">
        <v>5.7000000000000002E-2</v>
      </c>
      <c r="D52" s="1">
        <v>8.5500000000000007E-2</v>
      </c>
      <c r="E52" s="1">
        <v>0.12825</v>
      </c>
      <c r="F52" s="1">
        <v>0.19237500000000002</v>
      </c>
      <c r="G52" s="1">
        <v>0.28856250000000006</v>
      </c>
      <c r="H52" s="1">
        <v>0.43284375000000008</v>
      </c>
      <c r="I52" s="1">
        <v>0.64926562500000018</v>
      </c>
      <c r="J52" s="1">
        <v>0.97389843750000027</v>
      </c>
      <c r="K52" s="1">
        <v>1.4608476562500003</v>
      </c>
      <c r="L52" s="1">
        <v>2.1912714843750005</v>
      </c>
      <c r="M52" s="1">
        <v>3.2869072265625006</v>
      </c>
      <c r="N52" s="1">
        <v>4.9303608398437504</v>
      </c>
      <c r="O52" s="1">
        <v>7.3955412597656256</v>
      </c>
      <c r="P52" s="2">
        <v>11.093311889648438</v>
      </c>
    </row>
    <row r="53" spans="1:16" x14ac:dyDescent="0.35">
      <c r="A53">
        <v>53</v>
      </c>
      <c r="B53" t="s">
        <v>57</v>
      </c>
      <c r="C53" s="1">
        <v>5.7000000000000002E-2</v>
      </c>
      <c r="D53" s="1">
        <v>8.5500000000000007E-2</v>
      </c>
      <c r="E53" s="1">
        <v>0.12825</v>
      </c>
      <c r="F53" s="1">
        <v>0.19237500000000002</v>
      </c>
      <c r="G53" s="1">
        <v>0.28856250000000006</v>
      </c>
      <c r="H53" s="1">
        <v>0.43284375000000008</v>
      </c>
      <c r="I53" s="1">
        <v>0.64926562500000018</v>
      </c>
      <c r="J53" s="1">
        <v>0.97389843750000027</v>
      </c>
      <c r="K53" s="1">
        <v>1.4608476562500003</v>
      </c>
      <c r="L53" s="1">
        <v>2.1912714843750005</v>
      </c>
      <c r="M53" s="1">
        <v>3.2869072265625006</v>
      </c>
      <c r="N53" s="1">
        <v>4.9303608398437504</v>
      </c>
      <c r="O53" s="1">
        <v>7.3955412597656256</v>
      </c>
      <c r="P53" s="2">
        <v>11.093311889648438</v>
      </c>
    </row>
    <row r="54" spans="1:16" x14ac:dyDescent="0.35">
      <c r="A54">
        <v>54</v>
      </c>
      <c r="B54" t="s">
        <v>59</v>
      </c>
      <c r="C54" s="1">
        <v>5.7000000000000002E-2</v>
      </c>
      <c r="D54" s="1">
        <v>8.5500000000000007E-2</v>
      </c>
      <c r="E54" s="1">
        <v>0.12825</v>
      </c>
      <c r="F54" s="1">
        <v>0.19237500000000002</v>
      </c>
      <c r="G54" s="1">
        <v>0.28856250000000006</v>
      </c>
      <c r="H54" s="1">
        <v>0.43284375000000008</v>
      </c>
      <c r="I54" s="1">
        <v>0.64926562500000018</v>
      </c>
      <c r="J54" s="1">
        <v>0.97389843750000027</v>
      </c>
      <c r="K54" s="1">
        <v>1.4608476562500003</v>
      </c>
      <c r="L54" s="1">
        <v>2.1912714843750005</v>
      </c>
      <c r="M54" s="1">
        <v>3.2869072265625006</v>
      </c>
      <c r="N54" s="1">
        <v>4.9303608398437504</v>
      </c>
      <c r="O54" s="1">
        <v>7.3955412597656256</v>
      </c>
      <c r="P54" s="2">
        <v>11.093311889648438</v>
      </c>
    </row>
    <row r="55" spans="1:16" x14ac:dyDescent="0.35">
      <c r="A55">
        <v>55</v>
      </c>
      <c r="B55" t="s">
        <v>61</v>
      </c>
      <c r="C55" s="1">
        <v>5.7000000000000002E-2</v>
      </c>
      <c r="D55" s="1">
        <v>8.5500000000000007E-2</v>
      </c>
      <c r="E55" s="1">
        <v>0.12825</v>
      </c>
      <c r="F55" s="1">
        <v>0.19237500000000002</v>
      </c>
      <c r="G55" s="1">
        <v>0.28856250000000006</v>
      </c>
      <c r="H55" s="1">
        <v>0.43284375000000008</v>
      </c>
      <c r="I55" s="1">
        <v>0.64926562500000018</v>
      </c>
      <c r="J55" s="1">
        <v>0.97389843750000027</v>
      </c>
      <c r="K55" s="1">
        <v>1.4608476562500003</v>
      </c>
      <c r="L55" s="1">
        <v>2.1912714843750005</v>
      </c>
      <c r="M55" s="1">
        <v>3.2869072265625006</v>
      </c>
      <c r="N55" s="1">
        <v>4.9303608398437504</v>
      </c>
      <c r="O55" s="1">
        <v>7.3955412597656256</v>
      </c>
      <c r="P55" s="2">
        <v>11.093311889648438</v>
      </c>
    </row>
  </sheetData>
  <sortState ref="B1:P55">
    <sortCondition descending="1" ref="P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workbookViewId="0">
      <selection activeCell="H45" sqref="H45"/>
    </sheetView>
  </sheetViews>
  <sheetFormatPr defaultRowHeight="14.5" x14ac:dyDescent="0.35"/>
  <cols>
    <col min="1" max="1" width="22.453125" bestFit="1" customWidth="1"/>
    <col min="2" max="2" width="11.1796875" bestFit="1" customWidth="1"/>
  </cols>
  <sheetData>
    <row r="1" spans="1:2" x14ac:dyDescent="0.35">
      <c r="A1" t="s">
        <v>7</v>
      </c>
      <c r="B1" s="2">
        <v>10705045.973510742</v>
      </c>
    </row>
    <row r="2" spans="1:2" x14ac:dyDescent="0.35">
      <c r="A2" t="s">
        <v>16</v>
      </c>
      <c r="B2" s="2">
        <v>2163195.8184814453</v>
      </c>
    </row>
    <row r="3" spans="1:2" x14ac:dyDescent="0.35">
      <c r="A3" t="s">
        <v>9</v>
      </c>
      <c r="B3" s="2">
        <v>1786023.2142333984</v>
      </c>
    </row>
    <row r="4" spans="1:2" x14ac:dyDescent="0.35">
      <c r="A4" t="s">
        <v>17</v>
      </c>
      <c r="B4" s="2">
        <v>1675090.0953369141</v>
      </c>
    </row>
    <row r="5" spans="1:2" x14ac:dyDescent="0.35">
      <c r="A5" t="s">
        <v>12</v>
      </c>
      <c r="B5" s="2">
        <v>1464317.1694335938</v>
      </c>
    </row>
    <row r="6" spans="1:2" x14ac:dyDescent="0.35">
      <c r="A6" t="s">
        <v>11</v>
      </c>
      <c r="B6" s="2">
        <v>1453223.8575439453</v>
      </c>
    </row>
    <row r="7" spans="1:2" x14ac:dyDescent="0.35">
      <c r="A7" t="s">
        <v>20</v>
      </c>
      <c r="B7" s="2">
        <v>920744.88684082031</v>
      </c>
    </row>
    <row r="8" spans="1:2" x14ac:dyDescent="0.35">
      <c r="A8" t="s">
        <v>15</v>
      </c>
      <c r="B8" s="2">
        <v>721065.27282714844</v>
      </c>
    </row>
    <row r="9" spans="1:2" x14ac:dyDescent="0.35">
      <c r="A9" t="s">
        <v>14</v>
      </c>
      <c r="B9" s="2">
        <v>665598.71337890625</v>
      </c>
    </row>
    <row r="10" spans="1:2" x14ac:dyDescent="0.35">
      <c r="A10" t="s">
        <v>13</v>
      </c>
      <c r="B10" s="2">
        <v>532478.970703125</v>
      </c>
    </row>
    <row r="11" spans="1:2" x14ac:dyDescent="0.35">
      <c r="A11" t="s">
        <v>21</v>
      </c>
      <c r="B11" s="2">
        <v>521385.65881347656</v>
      </c>
    </row>
    <row r="12" spans="1:2" x14ac:dyDescent="0.35">
      <c r="A12" t="s">
        <v>18</v>
      </c>
      <c r="B12" s="2">
        <v>454825.78747558594</v>
      </c>
    </row>
    <row r="13" spans="1:2" x14ac:dyDescent="0.35">
      <c r="A13" t="s">
        <v>19</v>
      </c>
      <c r="B13" s="2">
        <v>421545.85180664063</v>
      </c>
    </row>
    <row r="14" spans="1:2" x14ac:dyDescent="0.35">
      <c r="A14" t="s">
        <v>22</v>
      </c>
      <c r="B14" s="2">
        <v>377172.60424804688</v>
      </c>
    </row>
    <row r="15" spans="1:2" x14ac:dyDescent="0.35">
      <c r="A15" t="s">
        <v>25</v>
      </c>
      <c r="B15" s="2">
        <v>354985.98046875</v>
      </c>
    </row>
    <row r="16" spans="1:2" x14ac:dyDescent="0.35">
      <c r="A16" t="s">
        <v>24</v>
      </c>
      <c r="B16" s="2">
        <v>321706.04479980469</v>
      </c>
    </row>
    <row r="17" spans="1:2" x14ac:dyDescent="0.35">
      <c r="A17" t="s">
        <v>31</v>
      </c>
      <c r="B17" s="2">
        <v>244052.86157226563</v>
      </c>
    </row>
    <row r="18" spans="1:2" x14ac:dyDescent="0.35">
      <c r="A18" t="s">
        <v>4</v>
      </c>
      <c r="B18" s="2">
        <v>188586.30212402344</v>
      </c>
    </row>
    <row r="19" spans="1:2" x14ac:dyDescent="0.35">
      <c r="A19" t="s">
        <v>29</v>
      </c>
      <c r="B19" s="2">
        <v>188586.30212402344</v>
      </c>
    </row>
    <row r="20" spans="1:2" x14ac:dyDescent="0.35">
      <c r="A20" t="s">
        <v>33</v>
      </c>
      <c r="B20" s="2">
        <v>177492.990234375</v>
      </c>
    </row>
    <row r="21" spans="1:2" x14ac:dyDescent="0.35">
      <c r="A21" t="s">
        <v>39</v>
      </c>
      <c r="B21" s="2">
        <v>177492.990234375</v>
      </c>
    </row>
    <row r="22" spans="1:2" x14ac:dyDescent="0.35">
      <c r="A22" t="s">
        <v>28</v>
      </c>
      <c r="B22" s="2">
        <v>166399.67834472656</v>
      </c>
    </row>
    <row r="23" spans="1:2" x14ac:dyDescent="0.35">
      <c r="A23" t="s">
        <v>34</v>
      </c>
      <c r="B23" s="2">
        <v>155306.36645507813</v>
      </c>
    </row>
    <row r="24" spans="1:2" x14ac:dyDescent="0.35">
      <c r="A24" t="s">
        <v>36</v>
      </c>
      <c r="B24" s="2">
        <v>144213.05456542969</v>
      </c>
    </row>
    <row r="25" spans="1:2" x14ac:dyDescent="0.35">
      <c r="A25" t="s">
        <v>30</v>
      </c>
      <c r="B25" s="2">
        <v>133119.74267578125</v>
      </c>
    </row>
    <row r="26" spans="1:2" x14ac:dyDescent="0.35">
      <c r="A26" t="s">
        <v>48</v>
      </c>
      <c r="B26" s="2">
        <v>133119.74267578125</v>
      </c>
    </row>
    <row r="27" spans="1:2" x14ac:dyDescent="0.35">
      <c r="A27" t="s">
        <v>26</v>
      </c>
      <c r="B27" s="2">
        <v>110933.11889648438</v>
      </c>
    </row>
    <row r="28" spans="1:2" x14ac:dyDescent="0.35">
      <c r="A28" t="s">
        <v>32</v>
      </c>
      <c r="B28" s="2">
        <v>99839.807006835938</v>
      </c>
    </row>
    <row r="29" spans="1:2" x14ac:dyDescent="0.35">
      <c r="A29" t="s">
        <v>37</v>
      </c>
      <c r="B29" s="2">
        <v>99839.807006835938</v>
      </c>
    </row>
    <row r="30" spans="1:2" x14ac:dyDescent="0.35">
      <c r="A30" t="s">
        <v>38</v>
      </c>
      <c r="B30" s="2">
        <v>88746.4951171875</v>
      </c>
    </row>
    <row r="31" spans="1:2" x14ac:dyDescent="0.35">
      <c r="A31" t="s">
        <v>23</v>
      </c>
      <c r="B31" s="2">
        <v>77653.183227539063</v>
      </c>
    </row>
    <row r="32" spans="1:2" x14ac:dyDescent="0.35">
      <c r="A32" t="s">
        <v>27</v>
      </c>
      <c r="B32" s="2">
        <v>77653.183227539063</v>
      </c>
    </row>
    <row r="33" spans="1:2" x14ac:dyDescent="0.35">
      <c r="A33" t="s">
        <v>40</v>
      </c>
      <c r="B33" s="2">
        <v>66559.871337890625</v>
      </c>
    </row>
    <row r="34" spans="1:2" x14ac:dyDescent="0.35">
      <c r="A34" t="s">
        <v>42</v>
      </c>
      <c r="B34" s="2">
        <v>66559.871337890625</v>
      </c>
    </row>
    <row r="35" spans="1:2" x14ac:dyDescent="0.35">
      <c r="A35" t="s">
        <v>43</v>
      </c>
      <c r="B35" s="2">
        <v>66559.871337890625</v>
      </c>
    </row>
    <row r="36" spans="1:2" x14ac:dyDescent="0.35">
      <c r="A36" t="s">
        <v>49</v>
      </c>
      <c r="B36" s="2">
        <v>66559.871337890625</v>
      </c>
    </row>
    <row r="37" spans="1:2" x14ac:dyDescent="0.35">
      <c r="A37" t="s">
        <v>41</v>
      </c>
      <c r="B37" s="2">
        <v>55466.559448242188</v>
      </c>
    </row>
    <row r="38" spans="1:2" x14ac:dyDescent="0.35">
      <c r="A38" t="s">
        <v>60</v>
      </c>
      <c r="B38" s="2">
        <v>55466.559448242188</v>
      </c>
    </row>
    <row r="39" spans="1:2" x14ac:dyDescent="0.35">
      <c r="A39" t="s">
        <v>2</v>
      </c>
      <c r="B39" s="2">
        <v>33279.935668945313</v>
      </c>
    </row>
    <row r="40" spans="1:2" x14ac:dyDescent="0.35">
      <c r="A40" t="s">
        <v>44</v>
      </c>
      <c r="B40" s="2">
        <v>33279.935668945313</v>
      </c>
    </row>
    <row r="41" spans="1:2" x14ac:dyDescent="0.35">
      <c r="A41" t="s">
        <v>45</v>
      </c>
      <c r="B41" s="2">
        <v>33279.935668945313</v>
      </c>
    </row>
    <row r="42" spans="1:2" x14ac:dyDescent="0.35">
      <c r="A42" t="s">
        <v>46</v>
      </c>
      <c r="B42" s="2">
        <v>33279.935668945313</v>
      </c>
    </row>
    <row r="43" spans="1:2" x14ac:dyDescent="0.35">
      <c r="A43" t="s">
        <v>35</v>
      </c>
      <c r="B43" s="2">
        <v>22186.623779296875</v>
      </c>
    </row>
    <row r="44" spans="1:2" x14ac:dyDescent="0.35">
      <c r="A44" t="s">
        <v>47</v>
      </c>
      <c r="B44" s="2">
        <v>22186.623779296875</v>
      </c>
    </row>
    <row r="45" spans="1:2" x14ac:dyDescent="0.35">
      <c r="A45" t="s">
        <v>53</v>
      </c>
      <c r="B45" s="2">
        <v>22186.623779296875</v>
      </c>
    </row>
    <row r="46" spans="1:2" x14ac:dyDescent="0.35">
      <c r="A46" t="s">
        <v>54</v>
      </c>
      <c r="B46" s="2">
        <v>22186.623779296875</v>
      </c>
    </row>
    <row r="47" spans="1:2" x14ac:dyDescent="0.35">
      <c r="A47" t="s">
        <v>51</v>
      </c>
      <c r="B47" s="2">
        <v>11093.311889648438</v>
      </c>
    </row>
    <row r="48" spans="1:2" x14ac:dyDescent="0.35">
      <c r="A48" t="s">
        <v>52</v>
      </c>
      <c r="B48" s="2">
        <v>11093.311889648438</v>
      </c>
    </row>
    <row r="49" spans="1:2" x14ac:dyDescent="0.35">
      <c r="A49" t="s">
        <v>55</v>
      </c>
      <c r="B49" s="2">
        <v>11093.311889648438</v>
      </c>
    </row>
    <row r="50" spans="1:2" x14ac:dyDescent="0.35">
      <c r="A50" t="s">
        <v>56</v>
      </c>
      <c r="B50" s="2">
        <v>11093.311889648438</v>
      </c>
    </row>
    <row r="51" spans="1:2" x14ac:dyDescent="0.35">
      <c r="A51" t="s">
        <v>58</v>
      </c>
      <c r="B51" s="2">
        <v>11093.311889648438</v>
      </c>
    </row>
    <row r="52" spans="1:2" x14ac:dyDescent="0.35">
      <c r="A52" t="s">
        <v>50</v>
      </c>
      <c r="B52" s="2">
        <v>11.093311889648438</v>
      </c>
    </row>
    <row r="53" spans="1:2" x14ac:dyDescent="0.35">
      <c r="A53" t="s">
        <v>57</v>
      </c>
      <c r="B53" s="2">
        <v>11.093311889648438</v>
      </c>
    </row>
    <row r="54" spans="1:2" x14ac:dyDescent="0.35">
      <c r="A54" t="s">
        <v>59</v>
      </c>
      <c r="B54" s="2">
        <v>11.093311889648438</v>
      </c>
    </row>
    <row r="55" spans="1:2" x14ac:dyDescent="0.35">
      <c r="A55" t="s">
        <v>61</v>
      </c>
      <c r="B55" s="2">
        <v>11.093311889648438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Possible</vt:lpstr>
      <vt:lpstr>Ranks</vt:lpstr>
      <vt:lpstr>Ranks2</vt:lpstr>
    </vt:vector>
  </TitlesOfParts>
  <Company>Loras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E. Rhomberg</dc:creator>
  <cp:lastModifiedBy>Alexander E. Rhomberg</cp:lastModifiedBy>
  <dcterms:created xsi:type="dcterms:W3CDTF">2020-03-29T20:12:54Z</dcterms:created>
  <dcterms:modified xsi:type="dcterms:W3CDTF">2020-04-01T21:16:15Z</dcterms:modified>
</cp:coreProperties>
</file>