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543152\Desktop\"/>
    </mc:Choice>
  </mc:AlternateContent>
  <bookViews>
    <workbookView xWindow="0" yWindow="0" windowWidth="19200" windowHeight="7050" firstSheet="4" activeTab="11"/>
  </bookViews>
  <sheets>
    <sheet name="Raw" sheetId="2" r:id="rId1"/>
    <sheet name="Clean" sheetId="3" r:id="rId2"/>
    <sheet name="Randomized" sheetId="5" r:id="rId3"/>
    <sheet name="NFLDataSet" sheetId="6" r:id="rId4"/>
    <sheet name="names" sheetId="7" r:id="rId5"/>
    <sheet name="train" sheetId="8" r:id="rId6"/>
    <sheet name="test" sheetId="9" r:id="rId7"/>
    <sheet name="NFLDataSetDiscrete2" sheetId="10" r:id="rId8"/>
    <sheet name="NFLTrain" sheetId="14" r:id="rId9"/>
    <sheet name="NFLTest" sheetId="15" r:id="rId10"/>
    <sheet name="NFLValidation" sheetId="16" r:id="rId11"/>
    <sheet name="Reference2" sheetId="11" r:id="rId12"/>
    <sheet name="NFLDataSetDiscrete" sheetId="12" r:id="rId13"/>
    <sheet name="Reference" sheetId="13" r:id="rId14"/>
  </sheets>
  <definedNames>
    <definedName name="FirstDownDiff">Reference!$A$8:$B$12</definedName>
    <definedName name="FirstDownDiff2">Reference2!$A$6:$B$8</definedName>
    <definedName name="PassYardsDiff">Reference!$G$8:$H$12</definedName>
    <definedName name="PassYardsDiff2">Reference2!$G$6:$H$8</definedName>
    <definedName name="RushYards2">Reference2!$J$6:$K$8</definedName>
    <definedName name="RushYardsDiff">Reference!$J$8:$K$12</definedName>
    <definedName name="TotalYardDiff2">Reference2!$D$6:$E$8</definedName>
    <definedName name="TotalYardsDiff">Reference!$D$8:$E$12</definedName>
    <definedName name="TurnOverDiff">Reference!$M$8:$N$12</definedName>
    <definedName name="TurnOverDiff2">Reference2!$M$6:$N$8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6" l="1"/>
  <c r="B2" i="16"/>
  <c r="C2" i="16"/>
  <c r="D2" i="16"/>
  <c r="E2" i="16"/>
  <c r="F2" i="16"/>
  <c r="G2" i="16"/>
  <c r="A3" i="16"/>
  <c r="B3" i="16"/>
  <c r="C3" i="16"/>
  <c r="D3" i="16"/>
  <c r="E3" i="16"/>
  <c r="F3" i="16"/>
  <c r="G3" i="16"/>
  <c r="A4" i="16"/>
  <c r="B4" i="16"/>
  <c r="C4" i="16"/>
  <c r="D4" i="16"/>
  <c r="E4" i="16"/>
  <c r="F4" i="16"/>
  <c r="G4" i="16"/>
  <c r="A5" i="16"/>
  <c r="B5" i="16"/>
  <c r="C5" i="16"/>
  <c r="D5" i="16"/>
  <c r="E5" i="16"/>
  <c r="F5" i="16"/>
  <c r="G5" i="16"/>
  <c r="A6" i="16"/>
  <c r="B6" i="16"/>
  <c r="C6" i="16"/>
  <c r="D6" i="16"/>
  <c r="E6" i="16"/>
  <c r="F6" i="16"/>
  <c r="G6" i="16"/>
  <c r="A7" i="16"/>
  <c r="B7" i="16"/>
  <c r="C7" i="16"/>
  <c r="D7" i="16"/>
  <c r="E7" i="16"/>
  <c r="F7" i="16"/>
  <c r="G7" i="16"/>
  <c r="A8" i="16"/>
  <c r="B8" i="16"/>
  <c r="C8" i="16"/>
  <c r="D8" i="16"/>
  <c r="E8" i="16"/>
  <c r="F8" i="16"/>
  <c r="G8" i="16"/>
  <c r="A9" i="16"/>
  <c r="B9" i="16"/>
  <c r="C9" i="16"/>
  <c r="D9" i="16"/>
  <c r="E9" i="16"/>
  <c r="F9" i="16"/>
  <c r="G9" i="16"/>
  <c r="A10" i="16"/>
  <c r="B10" i="16"/>
  <c r="C10" i="16"/>
  <c r="D10" i="16"/>
  <c r="E10" i="16"/>
  <c r="F10" i="16"/>
  <c r="G10" i="16"/>
  <c r="A11" i="16"/>
  <c r="B11" i="16"/>
  <c r="C11" i="16"/>
  <c r="D11" i="16"/>
  <c r="E11" i="16"/>
  <c r="F11" i="16"/>
  <c r="G11" i="16"/>
  <c r="A12" i="16"/>
  <c r="B12" i="16"/>
  <c r="C12" i="16"/>
  <c r="D12" i="16"/>
  <c r="E12" i="16"/>
  <c r="F12" i="16"/>
  <c r="G12" i="16"/>
  <c r="A13" i="16"/>
  <c r="B13" i="16"/>
  <c r="C13" i="16"/>
  <c r="D13" i="16"/>
  <c r="E13" i="16"/>
  <c r="F13" i="16"/>
  <c r="G13" i="16"/>
  <c r="A14" i="16"/>
  <c r="B14" i="16"/>
  <c r="C14" i="16"/>
  <c r="D14" i="16"/>
  <c r="E14" i="16"/>
  <c r="F14" i="16"/>
  <c r="G14" i="16"/>
  <c r="A15" i="16"/>
  <c r="B15" i="16"/>
  <c r="C15" i="16"/>
  <c r="D15" i="16"/>
  <c r="E15" i="16"/>
  <c r="F15" i="16"/>
  <c r="G15" i="16"/>
  <c r="A16" i="16"/>
  <c r="B16" i="16"/>
  <c r="C16" i="16"/>
  <c r="D16" i="16"/>
  <c r="E16" i="16"/>
  <c r="F16" i="16"/>
  <c r="G16" i="16"/>
  <c r="A17" i="16"/>
  <c r="B17" i="16"/>
  <c r="C17" i="16"/>
  <c r="D17" i="16"/>
  <c r="E17" i="16"/>
  <c r="F17" i="16"/>
  <c r="G17" i="16"/>
  <c r="A18" i="16"/>
  <c r="B18" i="16"/>
  <c r="C18" i="16"/>
  <c r="D18" i="16"/>
  <c r="E18" i="16"/>
  <c r="F18" i="16"/>
  <c r="G18" i="16"/>
  <c r="A19" i="16"/>
  <c r="B19" i="16"/>
  <c r="C19" i="16"/>
  <c r="D19" i="16"/>
  <c r="E19" i="16"/>
  <c r="F19" i="16"/>
  <c r="G19" i="16"/>
  <c r="A20" i="16"/>
  <c r="B20" i="16"/>
  <c r="C20" i="16"/>
  <c r="D20" i="16"/>
  <c r="E20" i="16"/>
  <c r="F20" i="16"/>
  <c r="G20" i="16"/>
  <c r="A21" i="16"/>
  <c r="B21" i="16"/>
  <c r="C21" i="16"/>
  <c r="D21" i="16"/>
  <c r="E21" i="16"/>
  <c r="F21" i="16"/>
  <c r="G21" i="16"/>
  <c r="A22" i="16"/>
  <c r="B22" i="16"/>
  <c r="C22" i="16"/>
  <c r="D22" i="16"/>
  <c r="E22" i="16"/>
  <c r="F22" i="16"/>
  <c r="G22" i="16"/>
  <c r="A23" i="16"/>
  <c r="B23" i="16"/>
  <c r="C23" i="16"/>
  <c r="D23" i="16"/>
  <c r="E23" i="16"/>
  <c r="F23" i="16"/>
  <c r="G23" i="16"/>
  <c r="A24" i="16"/>
  <c r="B24" i="16"/>
  <c r="C24" i="16"/>
  <c r="D24" i="16"/>
  <c r="E24" i="16"/>
  <c r="F24" i="16"/>
  <c r="G24" i="16"/>
  <c r="A25" i="16"/>
  <c r="B25" i="16"/>
  <c r="C25" i="16"/>
  <c r="D25" i="16"/>
  <c r="E25" i="16"/>
  <c r="F25" i="16"/>
  <c r="G25" i="16"/>
  <c r="A26" i="16"/>
  <c r="B26" i="16"/>
  <c r="C26" i="16"/>
  <c r="D26" i="16"/>
  <c r="E26" i="16"/>
  <c r="F26" i="16"/>
  <c r="G26" i="16"/>
  <c r="A27" i="16"/>
  <c r="B27" i="16"/>
  <c r="C27" i="16"/>
  <c r="D27" i="16"/>
  <c r="E27" i="16"/>
  <c r="F27" i="16"/>
  <c r="G27" i="16"/>
  <c r="A28" i="16"/>
  <c r="B28" i="16"/>
  <c r="C28" i="16"/>
  <c r="D28" i="16"/>
  <c r="E28" i="16"/>
  <c r="F28" i="16"/>
  <c r="G28" i="16"/>
  <c r="A29" i="16"/>
  <c r="B29" i="16"/>
  <c r="C29" i="16"/>
  <c r="D29" i="16"/>
  <c r="E29" i="16"/>
  <c r="F29" i="16"/>
  <c r="G29" i="16"/>
  <c r="A30" i="16"/>
  <c r="B30" i="16"/>
  <c r="C30" i="16"/>
  <c r="D30" i="16"/>
  <c r="E30" i="16"/>
  <c r="F30" i="16"/>
  <c r="G30" i="16"/>
  <c r="A31" i="16"/>
  <c r="B31" i="16"/>
  <c r="C31" i="16"/>
  <c r="D31" i="16"/>
  <c r="E31" i="16"/>
  <c r="F31" i="16"/>
  <c r="G31" i="16"/>
  <c r="A32" i="16"/>
  <c r="B32" i="16"/>
  <c r="C32" i="16"/>
  <c r="D32" i="16"/>
  <c r="E32" i="16"/>
  <c r="F32" i="16"/>
  <c r="G32" i="16"/>
  <c r="A33" i="16"/>
  <c r="B33" i="16"/>
  <c r="C33" i="16"/>
  <c r="D33" i="16"/>
  <c r="E33" i="16"/>
  <c r="F33" i="16"/>
  <c r="G33" i="16"/>
  <c r="A34" i="16"/>
  <c r="B34" i="16"/>
  <c r="C34" i="16"/>
  <c r="D34" i="16"/>
  <c r="E34" i="16"/>
  <c r="F34" i="16"/>
  <c r="G34" i="16"/>
  <c r="A35" i="16"/>
  <c r="B35" i="16"/>
  <c r="C35" i="16"/>
  <c r="D35" i="16"/>
  <c r="E35" i="16"/>
  <c r="F35" i="16"/>
  <c r="G35" i="16"/>
  <c r="A36" i="16"/>
  <c r="B36" i="16"/>
  <c r="C36" i="16"/>
  <c r="D36" i="16"/>
  <c r="E36" i="16"/>
  <c r="F36" i="16"/>
  <c r="G36" i="16"/>
  <c r="A37" i="16"/>
  <c r="B37" i="16"/>
  <c r="C37" i="16"/>
  <c r="D37" i="16"/>
  <c r="E37" i="16"/>
  <c r="F37" i="16"/>
  <c r="G37" i="16"/>
  <c r="A38" i="16"/>
  <c r="B38" i="16"/>
  <c r="C38" i="16"/>
  <c r="D38" i="16"/>
  <c r="E38" i="16"/>
  <c r="F38" i="16"/>
  <c r="G38" i="16"/>
  <c r="A39" i="16"/>
  <c r="B39" i="16"/>
  <c r="C39" i="16"/>
  <c r="D39" i="16"/>
  <c r="E39" i="16"/>
  <c r="F39" i="16"/>
  <c r="G39" i="16"/>
  <c r="A40" i="16"/>
  <c r="B40" i="16"/>
  <c r="C40" i="16"/>
  <c r="D40" i="16"/>
  <c r="E40" i="16"/>
  <c r="F40" i="16"/>
  <c r="G40" i="16"/>
  <c r="A41" i="16"/>
  <c r="B41" i="16"/>
  <c r="C41" i="16"/>
  <c r="D41" i="16"/>
  <c r="E41" i="16"/>
  <c r="F41" i="16"/>
  <c r="G41" i="16"/>
  <c r="A42" i="16"/>
  <c r="B42" i="16"/>
  <c r="C42" i="16"/>
  <c r="D42" i="16"/>
  <c r="E42" i="16"/>
  <c r="F42" i="16"/>
  <c r="G42" i="16"/>
  <c r="A43" i="16"/>
  <c r="B43" i="16"/>
  <c r="C43" i="16"/>
  <c r="D43" i="16"/>
  <c r="E43" i="16"/>
  <c r="F43" i="16"/>
  <c r="G43" i="16"/>
  <c r="A44" i="16"/>
  <c r="B44" i="16"/>
  <c r="C44" i="16"/>
  <c r="D44" i="16"/>
  <c r="E44" i="16"/>
  <c r="F44" i="16"/>
  <c r="G44" i="16"/>
  <c r="A45" i="16"/>
  <c r="B45" i="16"/>
  <c r="C45" i="16"/>
  <c r="D45" i="16"/>
  <c r="E45" i="16"/>
  <c r="F45" i="16"/>
  <c r="G45" i="16"/>
  <c r="A46" i="16"/>
  <c r="B46" i="16"/>
  <c r="C46" i="16"/>
  <c r="D46" i="16"/>
  <c r="E46" i="16"/>
  <c r="F46" i="16"/>
  <c r="G46" i="16"/>
  <c r="A47" i="16"/>
  <c r="B47" i="16"/>
  <c r="C47" i="16"/>
  <c r="D47" i="16"/>
  <c r="E47" i="16"/>
  <c r="F47" i="16"/>
  <c r="G47" i="16"/>
  <c r="A48" i="16"/>
  <c r="B48" i="16"/>
  <c r="C48" i="16"/>
  <c r="D48" i="16"/>
  <c r="E48" i="16"/>
  <c r="F48" i="16"/>
  <c r="G48" i="16"/>
  <c r="A49" i="16"/>
  <c r="B49" i="16"/>
  <c r="C49" i="16"/>
  <c r="D49" i="16"/>
  <c r="E49" i="16"/>
  <c r="F49" i="16"/>
  <c r="G49" i="16"/>
  <c r="A50" i="16"/>
  <c r="B50" i="16"/>
  <c r="C50" i="16"/>
  <c r="D50" i="16"/>
  <c r="E50" i="16"/>
  <c r="F50" i="16"/>
  <c r="G50" i="16"/>
  <c r="A51" i="16"/>
  <c r="B51" i="16"/>
  <c r="C51" i="16"/>
  <c r="D51" i="16"/>
  <c r="E51" i="16"/>
  <c r="F51" i="16"/>
  <c r="G51" i="16"/>
  <c r="A52" i="16"/>
  <c r="B52" i="16"/>
  <c r="C52" i="16"/>
  <c r="D52" i="16"/>
  <c r="E52" i="16"/>
  <c r="F52" i="16"/>
  <c r="G52" i="16"/>
  <c r="A53" i="16"/>
  <c r="B53" i="16"/>
  <c r="C53" i="16"/>
  <c r="D53" i="16"/>
  <c r="E53" i="16"/>
  <c r="F53" i="16"/>
  <c r="G53" i="16"/>
  <c r="F1" i="16"/>
  <c r="E1" i="16"/>
  <c r="D1" i="16"/>
  <c r="C1" i="16"/>
  <c r="B1" i="16"/>
  <c r="G1" i="16"/>
  <c r="A1" i="16"/>
  <c r="B2" i="15"/>
  <c r="C2" i="15"/>
  <c r="D2" i="15"/>
  <c r="E2" i="15"/>
  <c r="F2" i="15"/>
  <c r="B3" i="15"/>
  <c r="C3" i="15"/>
  <c r="D3" i="15"/>
  <c r="E3" i="15"/>
  <c r="F3" i="15"/>
  <c r="B4" i="15"/>
  <c r="C4" i="15"/>
  <c r="D4" i="15"/>
  <c r="E4" i="15"/>
  <c r="F4" i="15"/>
  <c r="B5" i="15"/>
  <c r="C5" i="15"/>
  <c r="D5" i="15"/>
  <c r="E5" i="15"/>
  <c r="F5" i="15"/>
  <c r="B6" i="15"/>
  <c r="C6" i="15"/>
  <c r="D6" i="15"/>
  <c r="E6" i="15"/>
  <c r="F6" i="15"/>
  <c r="B7" i="15"/>
  <c r="C7" i="15"/>
  <c r="D7" i="15"/>
  <c r="E7" i="15"/>
  <c r="F7" i="15"/>
  <c r="B8" i="15"/>
  <c r="C8" i="15"/>
  <c r="D8" i="15"/>
  <c r="E8" i="15"/>
  <c r="F8" i="15"/>
  <c r="B9" i="15"/>
  <c r="C9" i="15"/>
  <c r="D9" i="15"/>
  <c r="E9" i="15"/>
  <c r="F9" i="15"/>
  <c r="B10" i="15"/>
  <c r="C10" i="15"/>
  <c r="D10" i="15"/>
  <c r="E10" i="15"/>
  <c r="F10" i="15"/>
  <c r="B11" i="15"/>
  <c r="C11" i="15"/>
  <c r="D11" i="15"/>
  <c r="E11" i="15"/>
  <c r="F11" i="15"/>
  <c r="B12" i="15"/>
  <c r="C12" i="15"/>
  <c r="D12" i="15"/>
  <c r="E12" i="15"/>
  <c r="F12" i="15"/>
  <c r="B13" i="15"/>
  <c r="C13" i="15"/>
  <c r="D13" i="15"/>
  <c r="E13" i="15"/>
  <c r="F13" i="15"/>
  <c r="B14" i="15"/>
  <c r="C14" i="15"/>
  <c r="D14" i="15"/>
  <c r="E14" i="15"/>
  <c r="F14" i="15"/>
  <c r="B15" i="15"/>
  <c r="C15" i="15"/>
  <c r="D15" i="15"/>
  <c r="E15" i="15"/>
  <c r="F15" i="15"/>
  <c r="B16" i="15"/>
  <c r="C16" i="15"/>
  <c r="D16" i="15"/>
  <c r="E16" i="15"/>
  <c r="F16" i="15"/>
  <c r="B17" i="15"/>
  <c r="C17" i="15"/>
  <c r="D17" i="15"/>
  <c r="E17" i="15"/>
  <c r="F17" i="15"/>
  <c r="B18" i="15"/>
  <c r="C18" i="15"/>
  <c r="D18" i="15"/>
  <c r="E18" i="15"/>
  <c r="F18" i="15"/>
  <c r="B19" i="15"/>
  <c r="C19" i="15"/>
  <c r="D19" i="15"/>
  <c r="E19" i="15"/>
  <c r="F19" i="15"/>
  <c r="B20" i="15"/>
  <c r="C20" i="15"/>
  <c r="D20" i="15"/>
  <c r="E20" i="15"/>
  <c r="F20" i="15"/>
  <c r="B21" i="15"/>
  <c r="C21" i="15"/>
  <c r="D21" i="15"/>
  <c r="E21" i="15"/>
  <c r="F21" i="15"/>
  <c r="B22" i="15"/>
  <c r="C22" i="15"/>
  <c r="D22" i="15"/>
  <c r="E22" i="15"/>
  <c r="F22" i="15"/>
  <c r="B23" i="15"/>
  <c r="C23" i="15"/>
  <c r="D23" i="15"/>
  <c r="E23" i="15"/>
  <c r="F23" i="15"/>
  <c r="B24" i="15"/>
  <c r="C24" i="15"/>
  <c r="D24" i="15"/>
  <c r="E24" i="15"/>
  <c r="F24" i="15"/>
  <c r="B25" i="15"/>
  <c r="C25" i="15"/>
  <c r="D25" i="15"/>
  <c r="E25" i="15"/>
  <c r="F25" i="15"/>
  <c r="B26" i="15"/>
  <c r="C26" i="15"/>
  <c r="D26" i="15"/>
  <c r="E26" i="15"/>
  <c r="F26" i="15"/>
  <c r="B27" i="15"/>
  <c r="C27" i="15"/>
  <c r="D27" i="15"/>
  <c r="E27" i="15"/>
  <c r="F27" i="15"/>
  <c r="B28" i="15"/>
  <c r="C28" i="15"/>
  <c r="D28" i="15"/>
  <c r="E28" i="15"/>
  <c r="F28" i="15"/>
  <c r="B29" i="15"/>
  <c r="C29" i="15"/>
  <c r="D29" i="15"/>
  <c r="E29" i="15"/>
  <c r="F29" i="15"/>
  <c r="B30" i="15"/>
  <c r="C30" i="15"/>
  <c r="D30" i="15"/>
  <c r="E30" i="15"/>
  <c r="F30" i="15"/>
  <c r="B31" i="15"/>
  <c r="C31" i="15"/>
  <c r="D31" i="15"/>
  <c r="E31" i="15"/>
  <c r="F31" i="15"/>
  <c r="B32" i="15"/>
  <c r="C32" i="15"/>
  <c r="D32" i="15"/>
  <c r="E32" i="15"/>
  <c r="F32" i="15"/>
  <c r="B33" i="15"/>
  <c r="C33" i="15"/>
  <c r="D33" i="15"/>
  <c r="E33" i="15"/>
  <c r="F33" i="15"/>
  <c r="B34" i="15"/>
  <c r="C34" i="15"/>
  <c r="D34" i="15"/>
  <c r="E34" i="15"/>
  <c r="F34" i="15"/>
  <c r="B35" i="15"/>
  <c r="C35" i="15"/>
  <c r="D35" i="15"/>
  <c r="E35" i="15"/>
  <c r="F35" i="15"/>
  <c r="B36" i="15"/>
  <c r="C36" i="15"/>
  <c r="D36" i="15"/>
  <c r="E36" i="15"/>
  <c r="F36" i="15"/>
  <c r="B37" i="15"/>
  <c r="C37" i="15"/>
  <c r="D37" i="15"/>
  <c r="E37" i="15"/>
  <c r="F37" i="15"/>
  <c r="B38" i="15"/>
  <c r="C38" i="15"/>
  <c r="D38" i="15"/>
  <c r="E38" i="15"/>
  <c r="F38" i="15"/>
  <c r="B39" i="15"/>
  <c r="C39" i="15"/>
  <c r="D39" i="15"/>
  <c r="E39" i="15"/>
  <c r="F39" i="15"/>
  <c r="B40" i="15"/>
  <c r="C40" i="15"/>
  <c r="D40" i="15"/>
  <c r="E40" i="15"/>
  <c r="F40" i="15"/>
  <c r="B41" i="15"/>
  <c r="C41" i="15"/>
  <c r="D41" i="15"/>
  <c r="E41" i="15"/>
  <c r="F41" i="15"/>
  <c r="B42" i="15"/>
  <c r="C42" i="15"/>
  <c r="D42" i="15"/>
  <c r="E42" i="15"/>
  <c r="F42" i="15"/>
  <c r="B43" i="15"/>
  <c r="C43" i="15"/>
  <c r="D43" i="15"/>
  <c r="E43" i="15"/>
  <c r="F43" i="15"/>
  <c r="B44" i="15"/>
  <c r="C44" i="15"/>
  <c r="D44" i="15"/>
  <c r="E44" i="15"/>
  <c r="F44" i="15"/>
  <c r="B45" i="15"/>
  <c r="C45" i="15"/>
  <c r="D45" i="15"/>
  <c r="E45" i="15"/>
  <c r="F45" i="15"/>
  <c r="B46" i="15"/>
  <c r="C46" i="15"/>
  <c r="D46" i="15"/>
  <c r="E46" i="15"/>
  <c r="F46" i="15"/>
  <c r="B47" i="15"/>
  <c r="C47" i="15"/>
  <c r="D47" i="15"/>
  <c r="E47" i="15"/>
  <c r="F47" i="15"/>
  <c r="B48" i="15"/>
  <c r="C48" i="15"/>
  <c r="D48" i="15"/>
  <c r="E48" i="15"/>
  <c r="F48" i="15"/>
  <c r="B49" i="15"/>
  <c r="C49" i="15"/>
  <c r="D49" i="15"/>
  <c r="E49" i="15"/>
  <c r="F49" i="15"/>
  <c r="B50" i="15"/>
  <c r="C50" i="15"/>
  <c r="D50" i="15"/>
  <c r="E50" i="15"/>
  <c r="F50" i="15"/>
  <c r="B51" i="15"/>
  <c r="C51" i="15"/>
  <c r="D51" i="15"/>
  <c r="E51" i="15"/>
  <c r="F51" i="15"/>
  <c r="B52" i="15"/>
  <c r="C52" i="15"/>
  <c r="D52" i="15"/>
  <c r="E52" i="15"/>
  <c r="F52" i="15"/>
  <c r="B53" i="15"/>
  <c r="C53" i="15"/>
  <c r="D53" i="15"/>
  <c r="E53" i="15"/>
  <c r="F53" i="15"/>
  <c r="B54" i="15"/>
  <c r="C54" i="15"/>
  <c r="D54" i="15"/>
  <c r="E54" i="15"/>
  <c r="F54" i="15"/>
  <c r="F1" i="15"/>
  <c r="E1" i="15"/>
  <c r="D1" i="15"/>
  <c r="C1" i="15"/>
  <c r="B1" i="15"/>
  <c r="B2" i="14"/>
  <c r="C2" i="14"/>
  <c r="D2" i="14"/>
  <c r="E2" i="14"/>
  <c r="F2" i="14"/>
  <c r="B3" i="14"/>
  <c r="C3" i="14"/>
  <c r="D3" i="14"/>
  <c r="E3" i="14"/>
  <c r="F3" i="14"/>
  <c r="B4" i="14"/>
  <c r="C4" i="14"/>
  <c r="D4" i="14"/>
  <c r="E4" i="14"/>
  <c r="F4" i="14"/>
  <c r="B5" i="14"/>
  <c r="C5" i="14"/>
  <c r="D5" i="14"/>
  <c r="E5" i="14"/>
  <c r="F5" i="14"/>
  <c r="B6" i="14"/>
  <c r="C6" i="14"/>
  <c r="D6" i="14"/>
  <c r="E6" i="14"/>
  <c r="F6" i="14"/>
  <c r="B7" i="14"/>
  <c r="C7" i="14"/>
  <c r="D7" i="14"/>
  <c r="E7" i="14"/>
  <c r="F7" i="14"/>
  <c r="B8" i="14"/>
  <c r="C8" i="14"/>
  <c r="D8" i="14"/>
  <c r="E8" i="14"/>
  <c r="F8" i="14"/>
  <c r="B9" i="14"/>
  <c r="C9" i="14"/>
  <c r="D9" i="14"/>
  <c r="E9" i="14"/>
  <c r="F9" i="14"/>
  <c r="B10" i="14"/>
  <c r="C10" i="14"/>
  <c r="D10" i="14"/>
  <c r="E10" i="14"/>
  <c r="F10" i="14"/>
  <c r="B11" i="14"/>
  <c r="C11" i="14"/>
  <c r="D11" i="14"/>
  <c r="E11" i="14"/>
  <c r="F11" i="14"/>
  <c r="B12" i="14"/>
  <c r="C12" i="14"/>
  <c r="D12" i="14"/>
  <c r="E12" i="14"/>
  <c r="F12" i="14"/>
  <c r="B13" i="14"/>
  <c r="C13" i="14"/>
  <c r="D13" i="14"/>
  <c r="E13" i="14"/>
  <c r="F13" i="14"/>
  <c r="B14" i="14"/>
  <c r="C14" i="14"/>
  <c r="D14" i="14"/>
  <c r="E14" i="14"/>
  <c r="F14" i="14"/>
  <c r="B15" i="14"/>
  <c r="C15" i="14"/>
  <c r="D15" i="14"/>
  <c r="E15" i="14"/>
  <c r="F15" i="14"/>
  <c r="B16" i="14"/>
  <c r="C16" i="14"/>
  <c r="D16" i="14"/>
  <c r="E16" i="14"/>
  <c r="F16" i="14"/>
  <c r="B17" i="14"/>
  <c r="C17" i="14"/>
  <c r="D17" i="14"/>
  <c r="E17" i="14"/>
  <c r="F17" i="14"/>
  <c r="B18" i="14"/>
  <c r="C18" i="14"/>
  <c r="D18" i="14"/>
  <c r="E18" i="14"/>
  <c r="F18" i="14"/>
  <c r="B19" i="14"/>
  <c r="C19" i="14"/>
  <c r="D19" i="14"/>
  <c r="E19" i="14"/>
  <c r="F19" i="14"/>
  <c r="B20" i="14"/>
  <c r="C20" i="14"/>
  <c r="D20" i="14"/>
  <c r="E20" i="14"/>
  <c r="F20" i="14"/>
  <c r="B21" i="14"/>
  <c r="C21" i="14"/>
  <c r="D21" i="14"/>
  <c r="E21" i="14"/>
  <c r="F21" i="14"/>
  <c r="B22" i="14"/>
  <c r="C22" i="14"/>
  <c r="D22" i="14"/>
  <c r="E22" i="14"/>
  <c r="F22" i="14"/>
  <c r="B23" i="14"/>
  <c r="C23" i="14"/>
  <c r="D23" i="14"/>
  <c r="E23" i="14"/>
  <c r="F23" i="14"/>
  <c r="B24" i="14"/>
  <c r="C24" i="14"/>
  <c r="D24" i="14"/>
  <c r="E24" i="14"/>
  <c r="F24" i="14"/>
  <c r="B25" i="14"/>
  <c r="C25" i="14"/>
  <c r="D25" i="14"/>
  <c r="E25" i="14"/>
  <c r="F25" i="14"/>
  <c r="B26" i="14"/>
  <c r="C26" i="14"/>
  <c r="D26" i="14"/>
  <c r="E26" i="14"/>
  <c r="F26" i="14"/>
  <c r="B27" i="14"/>
  <c r="C27" i="14"/>
  <c r="D27" i="14"/>
  <c r="E27" i="14"/>
  <c r="F27" i="14"/>
  <c r="B28" i="14"/>
  <c r="C28" i="14"/>
  <c r="D28" i="14"/>
  <c r="E28" i="14"/>
  <c r="F28" i="14"/>
  <c r="B29" i="14"/>
  <c r="C29" i="14"/>
  <c r="D29" i="14"/>
  <c r="E29" i="14"/>
  <c r="F29" i="14"/>
  <c r="B30" i="14"/>
  <c r="C30" i="14"/>
  <c r="D30" i="14"/>
  <c r="E30" i="14"/>
  <c r="F30" i="14"/>
  <c r="B31" i="14"/>
  <c r="C31" i="14"/>
  <c r="D31" i="14"/>
  <c r="E31" i="14"/>
  <c r="F31" i="14"/>
  <c r="B32" i="14"/>
  <c r="C32" i="14"/>
  <c r="D32" i="14"/>
  <c r="E32" i="14"/>
  <c r="F32" i="14"/>
  <c r="B33" i="14"/>
  <c r="C33" i="14"/>
  <c r="D33" i="14"/>
  <c r="E33" i="14"/>
  <c r="F33" i="14"/>
  <c r="B34" i="14"/>
  <c r="C34" i="14"/>
  <c r="D34" i="14"/>
  <c r="E34" i="14"/>
  <c r="F34" i="14"/>
  <c r="B35" i="14"/>
  <c r="C35" i="14"/>
  <c r="D35" i="14"/>
  <c r="E35" i="14"/>
  <c r="F35" i="14"/>
  <c r="B36" i="14"/>
  <c r="C36" i="14"/>
  <c r="D36" i="14"/>
  <c r="E36" i="14"/>
  <c r="F36" i="14"/>
  <c r="B37" i="14"/>
  <c r="C37" i="14"/>
  <c r="D37" i="14"/>
  <c r="E37" i="14"/>
  <c r="F37" i="14"/>
  <c r="B38" i="14"/>
  <c r="C38" i="14"/>
  <c r="D38" i="14"/>
  <c r="E38" i="14"/>
  <c r="F38" i="14"/>
  <c r="B39" i="14"/>
  <c r="C39" i="14"/>
  <c r="D39" i="14"/>
  <c r="E39" i="14"/>
  <c r="F39" i="14"/>
  <c r="B40" i="14"/>
  <c r="C40" i="14"/>
  <c r="D40" i="14"/>
  <c r="E40" i="14"/>
  <c r="F40" i="14"/>
  <c r="B41" i="14"/>
  <c r="C41" i="14"/>
  <c r="D41" i="14"/>
  <c r="E41" i="14"/>
  <c r="F41" i="14"/>
  <c r="B42" i="14"/>
  <c r="C42" i="14"/>
  <c r="D42" i="14"/>
  <c r="E42" i="14"/>
  <c r="F42" i="14"/>
  <c r="B43" i="14"/>
  <c r="C43" i="14"/>
  <c r="D43" i="14"/>
  <c r="E43" i="14"/>
  <c r="F43" i="14"/>
  <c r="B44" i="14"/>
  <c r="C44" i="14"/>
  <c r="D44" i="14"/>
  <c r="E44" i="14"/>
  <c r="F44" i="14"/>
  <c r="B45" i="14"/>
  <c r="C45" i="14"/>
  <c r="D45" i="14"/>
  <c r="E45" i="14"/>
  <c r="F45" i="14"/>
  <c r="B46" i="14"/>
  <c r="C46" i="14"/>
  <c r="D46" i="14"/>
  <c r="E46" i="14"/>
  <c r="F46" i="14"/>
  <c r="B47" i="14"/>
  <c r="C47" i="14"/>
  <c r="D47" i="14"/>
  <c r="E47" i="14"/>
  <c r="F47" i="14"/>
  <c r="B48" i="14"/>
  <c r="C48" i="14"/>
  <c r="D48" i="14"/>
  <c r="E48" i="14"/>
  <c r="F48" i="14"/>
  <c r="B49" i="14"/>
  <c r="C49" i="14"/>
  <c r="D49" i="14"/>
  <c r="E49" i="14"/>
  <c r="F49" i="14"/>
  <c r="B50" i="14"/>
  <c r="C50" i="14"/>
  <c r="D50" i="14"/>
  <c r="E50" i="14"/>
  <c r="F50" i="14"/>
  <c r="B51" i="14"/>
  <c r="C51" i="14"/>
  <c r="D51" i="14"/>
  <c r="E51" i="14"/>
  <c r="F51" i="14"/>
  <c r="B52" i="14"/>
  <c r="C52" i="14"/>
  <c r="D52" i="14"/>
  <c r="E52" i="14"/>
  <c r="F52" i="14"/>
  <c r="B53" i="14"/>
  <c r="C53" i="14"/>
  <c r="D53" i="14"/>
  <c r="E53" i="14"/>
  <c r="F53" i="14"/>
  <c r="B54" i="14"/>
  <c r="C54" i="14"/>
  <c r="D54" i="14"/>
  <c r="E54" i="14"/>
  <c r="F54" i="14"/>
  <c r="B55" i="14"/>
  <c r="C55" i="14"/>
  <c r="D55" i="14"/>
  <c r="E55" i="14"/>
  <c r="F55" i="14"/>
  <c r="B56" i="14"/>
  <c r="C56" i="14"/>
  <c r="D56" i="14"/>
  <c r="E56" i="14"/>
  <c r="F56" i="14"/>
  <c r="B57" i="14"/>
  <c r="C57" i="14"/>
  <c r="D57" i="14"/>
  <c r="E57" i="14"/>
  <c r="F57" i="14"/>
  <c r="B58" i="14"/>
  <c r="C58" i="14"/>
  <c r="D58" i="14"/>
  <c r="E58" i="14"/>
  <c r="F58" i="14"/>
  <c r="B59" i="14"/>
  <c r="C59" i="14"/>
  <c r="D59" i="14"/>
  <c r="E59" i="14"/>
  <c r="F59" i="14"/>
  <c r="B60" i="14"/>
  <c r="C60" i="14"/>
  <c r="D60" i="14"/>
  <c r="E60" i="14"/>
  <c r="F60" i="14"/>
  <c r="B61" i="14"/>
  <c r="C61" i="14"/>
  <c r="D61" i="14"/>
  <c r="E61" i="14"/>
  <c r="F61" i="14"/>
  <c r="B62" i="14"/>
  <c r="C62" i="14"/>
  <c r="D62" i="14"/>
  <c r="E62" i="14"/>
  <c r="F62" i="14"/>
  <c r="B63" i="14"/>
  <c r="C63" i="14"/>
  <c r="D63" i="14"/>
  <c r="E63" i="14"/>
  <c r="F63" i="14"/>
  <c r="B64" i="14"/>
  <c r="C64" i="14"/>
  <c r="D64" i="14"/>
  <c r="E64" i="14"/>
  <c r="F64" i="14"/>
  <c r="B65" i="14"/>
  <c r="C65" i="14"/>
  <c r="D65" i="14"/>
  <c r="E65" i="14"/>
  <c r="F65" i="14"/>
  <c r="B66" i="14"/>
  <c r="C66" i="14"/>
  <c r="D66" i="14"/>
  <c r="E66" i="14"/>
  <c r="F66" i="14"/>
  <c r="B67" i="14"/>
  <c r="C67" i="14"/>
  <c r="D67" i="14"/>
  <c r="E67" i="14"/>
  <c r="F67" i="14"/>
  <c r="B68" i="14"/>
  <c r="C68" i="14"/>
  <c r="D68" i="14"/>
  <c r="E68" i="14"/>
  <c r="F68" i="14"/>
  <c r="B69" i="14"/>
  <c r="C69" i="14"/>
  <c r="D69" i="14"/>
  <c r="E69" i="14"/>
  <c r="F69" i="14"/>
  <c r="B70" i="14"/>
  <c r="C70" i="14"/>
  <c r="D70" i="14"/>
  <c r="E70" i="14"/>
  <c r="F70" i="14"/>
  <c r="B71" i="14"/>
  <c r="C71" i="14"/>
  <c r="D71" i="14"/>
  <c r="E71" i="14"/>
  <c r="F71" i="14"/>
  <c r="B72" i="14"/>
  <c r="C72" i="14"/>
  <c r="D72" i="14"/>
  <c r="E72" i="14"/>
  <c r="F72" i="14"/>
  <c r="B73" i="14"/>
  <c r="C73" i="14"/>
  <c r="D73" i="14"/>
  <c r="E73" i="14"/>
  <c r="F73" i="14"/>
  <c r="B74" i="14"/>
  <c r="C74" i="14"/>
  <c r="D74" i="14"/>
  <c r="E74" i="14"/>
  <c r="F74" i="14"/>
  <c r="B75" i="14"/>
  <c r="C75" i="14"/>
  <c r="D75" i="14"/>
  <c r="E75" i="14"/>
  <c r="F75" i="14"/>
  <c r="B76" i="14"/>
  <c r="C76" i="14"/>
  <c r="D76" i="14"/>
  <c r="E76" i="14"/>
  <c r="F76" i="14"/>
  <c r="B77" i="14"/>
  <c r="C77" i="14"/>
  <c r="D77" i="14"/>
  <c r="E77" i="14"/>
  <c r="F77" i="14"/>
  <c r="B78" i="14"/>
  <c r="C78" i="14"/>
  <c r="D78" i="14"/>
  <c r="E78" i="14"/>
  <c r="F78" i="14"/>
  <c r="B79" i="14"/>
  <c r="C79" i="14"/>
  <c r="D79" i="14"/>
  <c r="E79" i="14"/>
  <c r="F79" i="14"/>
  <c r="B80" i="14"/>
  <c r="C80" i="14"/>
  <c r="D80" i="14"/>
  <c r="E80" i="14"/>
  <c r="F80" i="14"/>
  <c r="B81" i="14"/>
  <c r="C81" i="14"/>
  <c r="D81" i="14"/>
  <c r="E81" i="14"/>
  <c r="F81" i="14"/>
  <c r="B82" i="14"/>
  <c r="C82" i="14"/>
  <c r="D82" i="14"/>
  <c r="E82" i="14"/>
  <c r="F82" i="14"/>
  <c r="B83" i="14"/>
  <c r="C83" i="14"/>
  <c r="D83" i="14"/>
  <c r="E83" i="14"/>
  <c r="F83" i="14"/>
  <c r="B84" i="14"/>
  <c r="C84" i="14"/>
  <c r="D84" i="14"/>
  <c r="E84" i="14"/>
  <c r="F84" i="14"/>
  <c r="B85" i="14"/>
  <c r="C85" i="14"/>
  <c r="D85" i="14"/>
  <c r="E85" i="14"/>
  <c r="F85" i="14"/>
  <c r="B86" i="14"/>
  <c r="C86" i="14"/>
  <c r="D86" i="14"/>
  <c r="E86" i="14"/>
  <c r="F86" i="14"/>
  <c r="B87" i="14"/>
  <c r="C87" i="14"/>
  <c r="D87" i="14"/>
  <c r="E87" i="14"/>
  <c r="F87" i="14"/>
  <c r="B88" i="14"/>
  <c r="C88" i="14"/>
  <c r="D88" i="14"/>
  <c r="E88" i="14"/>
  <c r="F88" i="14"/>
  <c r="B89" i="14"/>
  <c r="C89" i="14"/>
  <c r="D89" i="14"/>
  <c r="E89" i="14"/>
  <c r="F89" i="14"/>
  <c r="B90" i="14"/>
  <c r="C90" i="14"/>
  <c r="D90" i="14"/>
  <c r="E90" i="14"/>
  <c r="F90" i="14"/>
  <c r="B91" i="14"/>
  <c r="C91" i="14"/>
  <c r="D91" i="14"/>
  <c r="E91" i="14"/>
  <c r="F91" i="14"/>
  <c r="B92" i="14"/>
  <c r="C92" i="14"/>
  <c r="D92" i="14"/>
  <c r="E92" i="14"/>
  <c r="F92" i="14"/>
  <c r="B93" i="14"/>
  <c r="C93" i="14"/>
  <c r="D93" i="14"/>
  <c r="E93" i="14"/>
  <c r="F93" i="14"/>
  <c r="B94" i="14"/>
  <c r="C94" i="14"/>
  <c r="D94" i="14"/>
  <c r="E94" i="14"/>
  <c r="F94" i="14"/>
  <c r="B95" i="14"/>
  <c r="C95" i="14"/>
  <c r="D95" i="14"/>
  <c r="E95" i="14"/>
  <c r="F95" i="14"/>
  <c r="B96" i="14"/>
  <c r="C96" i="14"/>
  <c r="D96" i="14"/>
  <c r="E96" i="14"/>
  <c r="F96" i="14"/>
  <c r="B97" i="14"/>
  <c r="C97" i="14"/>
  <c r="D97" i="14"/>
  <c r="E97" i="14"/>
  <c r="F97" i="14"/>
  <c r="B98" i="14"/>
  <c r="C98" i="14"/>
  <c r="D98" i="14"/>
  <c r="E98" i="14"/>
  <c r="F98" i="14"/>
  <c r="B99" i="14"/>
  <c r="C99" i="14"/>
  <c r="D99" i="14"/>
  <c r="E99" i="14"/>
  <c r="F99" i="14"/>
  <c r="B100" i="14"/>
  <c r="C100" i="14"/>
  <c r="D100" i="14"/>
  <c r="E100" i="14"/>
  <c r="F100" i="14"/>
  <c r="B101" i="14"/>
  <c r="C101" i="14"/>
  <c r="D101" i="14"/>
  <c r="E101" i="14"/>
  <c r="F101" i="14"/>
  <c r="B102" i="14"/>
  <c r="C102" i="14"/>
  <c r="D102" i="14"/>
  <c r="E102" i="14"/>
  <c r="F102" i="14"/>
  <c r="B103" i="14"/>
  <c r="C103" i="14"/>
  <c r="D103" i="14"/>
  <c r="E103" i="14"/>
  <c r="F103" i="14"/>
  <c r="B104" i="14"/>
  <c r="C104" i="14"/>
  <c r="D104" i="14"/>
  <c r="E104" i="14"/>
  <c r="F104" i="14"/>
  <c r="B105" i="14"/>
  <c r="C105" i="14"/>
  <c r="D105" i="14"/>
  <c r="E105" i="14"/>
  <c r="F105" i="14"/>
  <c r="B106" i="14"/>
  <c r="C106" i="14"/>
  <c r="D106" i="14"/>
  <c r="E106" i="14"/>
  <c r="F106" i="14"/>
  <c r="B107" i="14"/>
  <c r="C107" i="14"/>
  <c r="D107" i="14"/>
  <c r="E107" i="14"/>
  <c r="F107" i="14"/>
  <c r="B108" i="14"/>
  <c r="C108" i="14"/>
  <c r="D108" i="14"/>
  <c r="E108" i="14"/>
  <c r="F108" i="14"/>
  <c r="B109" i="14"/>
  <c r="C109" i="14"/>
  <c r="D109" i="14"/>
  <c r="E109" i="14"/>
  <c r="F109" i="14"/>
  <c r="B110" i="14"/>
  <c r="C110" i="14"/>
  <c r="D110" i="14"/>
  <c r="E110" i="14"/>
  <c r="F110" i="14"/>
  <c r="B111" i="14"/>
  <c r="C111" i="14"/>
  <c r="D111" i="14"/>
  <c r="E111" i="14"/>
  <c r="F111" i="14"/>
  <c r="B112" i="14"/>
  <c r="C112" i="14"/>
  <c r="D112" i="14"/>
  <c r="E112" i="14"/>
  <c r="F112" i="14"/>
  <c r="B113" i="14"/>
  <c r="C113" i="14"/>
  <c r="D113" i="14"/>
  <c r="E113" i="14"/>
  <c r="F113" i="14"/>
  <c r="B114" i="14"/>
  <c r="C114" i="14"/>
  <c r="D114" i="14"/>
  <c r="E114" i="14"/>
  <c r="F114" i="14"/>
  <c r="B115" i="14"/>
  <c r="C115" i="14"/>
  <c r="D115" i="14"/>
  <c r="E115" i="14"/>
  <c r="F115" i="14"/>
  <c r="B116" i="14"/>
  <c r="C116" i="14"/>
  <c r="D116" i="14"/>
  <c r="E116" i="14"/>
  <c r="F116" i="14"/>
  <c r="B117" i="14"/>
  <c r="C117" i="14"/>
  <c r="D117" i="14"/>
  <c r="E117" i="14"/>
  <c r="F117" i="14"/>
  <c r="B118" i="14"/>
  <c r="C118" i="14"/>
  <c r="D118" i="14"/>
  <c r="E118" i="14"/>
  <c r="F118" i="14"/>
  <c r="B119" i="14"/>
  <c r="C119" i="14"/>
  <c r="D119" i="14"/>
  <c r="E119" i="14"/>
  <c r="F119" i="14"/>
  <c r="B120" i="14"/>
  <c r="C120" i="14"/>
  <c r="D120" i="14"/>
  <c r="E120" i="14"/>
  <c r="F120" i="14"/>
  <c r="B121" i="14"/>
  <c r="C121" i="14"/>
  <c r="D121" i="14"/>
  <c r="E121" i="14"/>
  <c r="F121" i="14"/>
  <c r="B122" i="14"/>
  <c r="C122" i="14"/>
  <c r="D122" i="14"/>
  <c r="E122" i="14"/>
  <c r="F122" i="14"/>
  <c r="B123" i="14"/>
  <c r="C123" i="14"/>
  <c r="D123" i="14"/>
  <c r="E123" i="14"/>
  <c r="F123" i="14"/>
  <c r="B124" i="14"/>
  <c r="C124" i="14"/>
  <c r="D124" i="14"/>
  <c r="E124" i="14"/>
  <c r="F124" i="14"/>
  <c r="B125" i="14"/>
  <c r="C125" i="14"/>
  <c r="D125" i="14"/>
  <c r="E125" i="14"/>
  <c r="F125" i="14"/>
  <c r="B126" i="14"/>
  <c r="C126" i="14"/>
  <c r="D126" i="14"/>
  <c r="E126" i="14"/>
  <c r="F126" i="14"/>
  <c r="B127" i="14"/>
  <c r="C127" i="14"/>
  <c r="D127" i="14"/>
  <c r="E127" i="14"/>
  <c r="F127" i="14"/>
  <c r="B128" i="14"/>
  <c r="C128" i="14"/>
  <c r="D128" i="14"/>
  <c r="E128" i="14"/>
  <c r="F128" i="14"/>
  <c r="B129" i="14"/>
  <c r="C129" i="14"/>
  <c r="D129" i="14"/>
  <c r="E129" i="14"/>
  <c r="F129" i="14"/>
  <c r="B130" i="14"/>
  <c r="C130" i="14"/>
  <c r="D130" i="14"/>
  <c r="E130" i="14"/>
  <c r="F130" i="14"/>
  <c r="B131" i="14"/>
  <c r="C131" i="14"/>
  <c r="D131" i="14"/>
  <c r="E131" i="14"/>
  <c r="F131" i="14"/>
  <c r="B132" i="14"/>
  <c r="C132" i="14"/>
  <c r="D132" i="14"/>
  <c r="E132" i="14"/>
  <c r="F132" i="14"/>
  <c r="B133" i="14"/>
  <c r="C133" i="14"/>
  <c r="D133" i="14"/>
  <c r="E133" i="14"/>
  <c r="F133" i="14"/>
  <c r="B134" i="14"/>
  <c r="C134" i="14"/>
  <c r="D134" i="14"/>
  <c r="E134" i="14"/>
  <c r="F134" i="14"/>
  <c r="B135" i="14"/>
  <c r="C135" i="14"/>
  <c r="D135" i="14"/>
  <c r="E135" i="14"/>
  <c r="F135" i="14"/>
  <c r="B136" i="14"/>
  <c r="C136" i="14"/>
  <c r="D136" i="14"/>
  <c r="E136" i="14"/>
  <c r="F136" i="14"/>
  <c r="B137" i="14"/>
  <c r="C137" i="14"/>
  <c r="D137" i="14"/>
  <c r="E137" i="14"/>
  <c r="F137" i="14"/>
  <c r="B138" i="14"/>
  <c r="C138" i="14"/>
  <c r="D138" i="14"/>
  <c r="E138" i="14"/>
  <c r="F138" i="14"/>
  <c r="B139" i="14"/>
  <c r="C139" i="14"/>
  <c r="D139" i="14"/>
  <c r="E139" i="14"/>
  <c r="F139" i="14"/>
  <c r="B140" i="14"/>
  <c r="C140" i="14"/>
  <c r="D140" i="14"/>
  <c r="E140" i="14"/>
  <c r="F140" i="14"/>
  <c r="B141" i="14"/>
  <c r="C141" i="14"/>
  <c r="D141" i="14"/>
  <c r="E141" i="14"/>
  <c r="F141" i="14"/>
  <c r="B142" i="14"/>
  <c r="C142" i="14"/>
  <c r="D142" i="14"/>
  <c r="E142" i="14"/>
  <c r="F142" i="14"/>
  <c r="B143" i="14"/>
  <c r="C143" i="14"/>
  <c r="D143" i="14"/>
  <c r="E143" i="14"/>
  <c r="F143" i="14"/>
  <c r="B144" i="14"/>
  <c r="C144" i="14"/>
  <c r="D144" i="14"/>
  <c r="E144" i="14"/>
  <c r="F144" i="14"/>
  <c r="B145" i="14"/>
  <c r="C145" i="14"/>
  <c r="D145" i="14"/>
  <c r="E145" i="14"/>
  <c r="F145" i="14"/>
  <c r="B146" i="14"/>
  <c r="C146" i="14"/>
  <c r="D146" i="14"/>
  <c r="E146" i="14"/>
  <c r="F146" i="14"/>
  <c r="B147" i="14"/>
  <c r="C147" i="14"/>
  <c r="D147" i="14"/>
  <c r="E147" i="14"/>
  <c r="F147" i="14"/>
  <c r="B148" i="14"/>
  <c r="C148" i="14"/>
  <c r="D148" i="14"/>
  <c r="E148" i="14"/>
  <c r="F148" i="14"/>
  <c r="B149" i="14"/>
  <c r="C149" i="14"/>
  <c r="D149" i="14"/>
  <c r="E149" i="14"/>
  <c r="F149" i="14"/>
  <c r="B150" i="14"/>
  <c r="C150" i="14"/>
  <c r="D150" i="14"/>
  <c r="E150" i="14"/>
  <c r="F150" i="14"/>
  <c r="B151" i="14"/>
  <c r="C151" i="14"/>
  <c r="D151" i="14"/>
  <c r="E151" i="14"/>
  <c r="F151" i="14"/>
  <c r="B152" i="14"/>
  <c r="C152" i="14"/>
  <c r="D152" i="14"/>
  <c r="E152" i="14"/>
  <c r="F152" i="14"/>
  <c r="B153" i="14"/>
  <c r="C153" i="14"/>
  <c r="D153" i="14"/>
  <c r="E153" i="14"/>
  <c r="F153" i="14"/>
  <c r="B154" i="14"/>
  <c r="C154" i="14"/>
  <c r="D154" i="14"/>
  <c r="E154" i="14"/>
  <c r="F154" i="14"/>
  <c r="B155" i="14"/>
  <c r="C155" i="14"/>
  <c r="D155" i="14"/>
  <c r="E155" i="14"/>
  <c r="F155" i="14"/>
  <c r="B156" i="14"/>
  <c r="C156" i="14"/>
  <c r="D156" i="14"/>
  <c r="E156" i="14"/>
  <c r="F156" i="14"/>
  <c r="B157" i="14"/>
  <c r="C157" i="14"/>
  <c r="D157" i="14"/>
  <c r="E157" i="14"/>
  <c r="F157" i="14"/>
  <c r="B158" i="14"/>
  <c r="C158" i="14"/>
  <c r="D158" i="14"/>
  <c r="E158" i="14"/>
  <c r="F158" i="14"/>
  <c r="B159" i="14"/>
  <c r="C159" i="14"/>
  <c r="D159" i="14"/>
  <c r="E159" i="14"/>
  <c r="F159" i="14"/>
  <c r="B160" i="14"/>
  <c r="C160" i="14"/>
  <c r="D160" i="14"/>
  <c r="E160" i="14"/>
  <c r="F160" i="14"/>
  <c r="B161" i="14"/>
  <c r="C161" i="14"/>
  <c r="D161" i="14"/>
  <c r="E161" i="14"/>
  <c r="F161" i="14"/>
  <c r="B162" i="14"/>
  <c r="C162" i="14"/>
  <c r="D162" i="14"/>
  <c r="E162" i="14"/>
  <c r="F162" i="14"/>
  <c r="B163" i="14"/>
  <c r="C163" i="14"/>
  <c r="D163" i="14"/>
  <c r="E163" i="14"/>
  <c r="F163" i="14"/>
  <c r="B164" i="14"/>
  <c r="C164" i="14"/>
  <c r="D164" i="14"/>
  <c r="E164" i="14"/>
  <c r="F164" i="14"/>
  <c r="B165" i="14"/>
  <c r="C165" i="14"/>
  <c r="D165" i="14"/>
  <c r="E165" i="14"/>
  <c r="F165" i="14"/>
  <c r="B166" i="14"/>
  <c r="C166" i="14"/>
  <c r="D166" i="14"/>
  <c r="E166" i="14"/>
  <c r="F166" i="14"/>
  <c r="B167" i="14"/>
  <c r="C167" i="14"/>
  <c r="D167" i="14"/>
  <c r="E167" i="14"/>
  <c r="F167" i="14"/>
  <c r="B168" i="14"/>
  <c r="C168" i="14"/>
  <c r="D168" i="14"/>
  <c r="E168" i="14"/>
  <c r="F168" i="14"/>
  <c r="B169" i="14"/>
  <c r="C169" i="14"/>
  <c r="D169" i="14"/>
  <c r="E169" i="14"/>
  <c r="F169" i="14"/>
  <c r="B170" i="14"/>
  <c r="C170" i="14"/>
  <c r="D170" i="14"/>
  <c r="E170" i="14"/>
  <c r="F170" i="14"/>
  <c r="B171" i="14"/>
  <c r="C171" i="14"/>
  <c r="D171" i="14"/>
  <c r="E171" i="14"/>
  <c r="F171" i="14"/>
  <c r="B172" i="14"/>
  <c r="C172" i="14"/>
  <c r="D172" i="14"/>
  <c r="E172" i="14"/>
  <c r="F172" i="14"/>
  <c r="B173" i="14"/>
  <c r="C173" i="14"/>
  <c r="D173" i="14"/>
  <c r="E173" i="14"/>
  <c r="F173" i="14"/>
  <c r="B174" i="14"/>
  <c r="C174" i="14"/>
  <c r="D174" i="14"/>
  <c r="E174" i="14"/>
  <c r="F174" i="14"/>
  <c r="B175" i="14"/>
  <c r="C175" i="14"/>
  <c r="D175" i="14"/>
  <c r="E175" i="14"/>
  <c r="F175" i="14"/>
  <c r="B176" i="14"/>
  <c r="C176" i="14"/>
  <c r="D176" i="14"/>
  <c r="E176" i="14"/>
  <c r="F176" i="14"/>
  <c r="B177" i="14"/>
  <c r="C177" i="14"/>
  <c r="D177" i="14"/>
  <c r="E177" i="14"/>
  <c r="F177" i="14"/>
  <c r="B178" i="14"/>
  <c r="C178" i="14"/>
  <c r="D178" i="14"/>
  <c r="E178" i="14"/>
  <c r="F178" i="14"/>
  <c r="B179" i="14"/>
  <c r="C179" i="14"/>
  <c r="D179" i="14"/>
  <c r="E179" i="14"/>
  <c r="F179" i="14"/>
  <c r="B180" i="14"/>
  <c r="C180" i="14"/>
  <c r="D180" i="14"/>
  <c r="E180" i="14"/>
  <c r="F180" i="14"/>
  <c r="B181" i="14"/>
  <c r="C181" i="14"/>
  <c r="D181" i="14"/>
  <c r="E181" i="14"/>
  <c r="F181" i="14"/>
  <c r="B182" i="14"/>
  <c r="C182" i="14"/>
  <c r="D182" i="14"/>
  <c r="E182" i="14"/>
  <c r="F182" i="14"/>
  <c r="B183" i="14"/>
  <c r="C183" i="14"/>
  <c r="D183" i="14"/>
  <c r="E183" i="14"/>
  <c r="F183" i="14"/>
  <c r="B184" i="14"/>
  <c r="C184" i="14"/>
  <c r="D184" i="14"/>
  <c r="E184" i="14"/>
  <c r="F184" i="14"/>
  <c r="B185" i="14"/>
  <c r="C185" i="14"/>
  <c r="D185" i="14"/>
  <c r="E185" i="14"/>
  <c r="F185" i="14"/>
  <c r="B186" i="14"/>
  <c r="C186" i="14"/>
  <c r="D186" i="14"/>
  <c r="E186" i="14"/>
  <c r="F186" i="14"/>
  <c r="B187" i="14"/>
  <c r="C187" i="14"/>
  <c r="D187" i="14"/>
  <c r="E187" i="14"/>
  <c r="F187" i="14"/>
  <c r="B188" i="14"/>
  <c r="C188" i="14"/>
  <c r="D188" i="14"/>
  <c r="E188" i="14"/>
  <c r="F188" i="14"/>
  <c r="B189" i="14"/>
  <c r="C189" i="14"/>
  <c r="D189" i="14"/>
  <c r="E189" i="14"/>
  <c r="F189" i="14"/>
  <c r="B190" i="14"/>
  <c r="C190" i="14"/>
  <c r="D190" i="14"/>
  <c r="E190" i="14"/>
  <c r="F190" i="14"/>
  <c r="B191" i="14"/>
  <c r="C191" i="14"/>
  <c r="D191" i="14"/>
  <c r="E191" i="14"/>
  <c r="F191" i="14"/>
  <c r="B192" i="14"/>
  <c r="C192" i="14"/>
  <c r="D192" i="14"/>
  <c r="E192" i="14"/>
  <c r="F192" i="14"/>
  <c r="B193" i="14"/>
  <c r="C193" i="14"/>
  <c r="D193" i="14"/>
  <c r="E193" i="14"/>
  <c r="F193" i="14"/>
  <c r="B194" i="14"/>
  <c r="C194" i="14"/>
  <c r="D194" i="14"/>
  <c r="E194" i="14"/>
  <c r="F194" i="14"/>
  <c r="B195" i="14"/>
  <c r="C195" i="14"/>
  <c r="D195" i="14"/>
  <c r="E195" i="14"/>
  <c r="F195" i="14"/>
  <c r="B196" i="14"/>
  <c r="C196" i="14"/>
  <c r="D196" i="14"/>
  <c r="E196" i="14"/>
  <c r="F196" i="14"/>
  <c r="B197" i="14"/>
  <c r="C197" i="14"/>
  <c r="D197" i="14"/>
  <c r="E197" i="14"/>
  <c r="F197" i="14"/>
  <c r="B198" i="14"/>
  <c r="C198" i="14"/>
  <c r="D198" i="14"/>
  <c r="E198" i="14"/>
  <c r="F198" i="14"/>
  <c r="B199" i="14"/>
  <c r="C199" i="14"/>
  <c r="D199" i="14"/>
  <c r="E199" i="14"/>
  <c r="F199" i="14"/>
  <c r="B200" i="14"/>
  <c r="C200" i="14"/>
  <c r="D200" i="14"/>
  <c r="E200" i="14"/>
  <c r="F200" i="14"/>
  <c r="B201" i="14"/>
  <c r="C201" i="14"/>
  <c r="D201" i="14"/>
  <c r="E201" i="14"/>
  <c r="F201" i="14"/>
  <c r="B202" i="14"/>
  <c r="C202" i="14"/>
  <c r="D202" i="14"/>
  <c r="E202" i="14"/>
  <c r="F202" i="14"/>
  <c r="B203" i="14"/>
  <c r="C203" i="14"/>
  <c r="D203" i="14"/>
  <c r="E203" i="14"/>
  <c r="F203" i="14"/>
  <c r="B204" i="14"/>
  <c r="C204" i="14"/>
  <c r="D204" i="14"/>
  <c r="E204" i="14"/>
  <c r="F204" i="14"/>
  <c r="B205" i="14"/>
  <c r="C205" i="14"/>
  <c r="D205" i="14"/>
  <c r="E205" i="14"/>
  <c r="F205" i="14"/>
  <c r="B206" i="14"/>
  <c r="C206" i="14"/>
  <c r="D206" i="14"/>
  <c r="E206" i="14"/>
  <c r="F206" i="14"/>
  <c r="B207" i="14"/>
  <c r="C207" i="14"/>
  <c r="D207" i="14"/>
  <c r="E207" i="14"/>
  <c r="F207" i="14"/>
  <c r="B208" i="14"/>
  <c r="C208" i="14"/>
  <c r="D208" i="14"/>
  <c r="E208" i="14"/>
  <c r="F208" i="14"/>
  <c r="B209" i="14"/>
  <c r="C209" i="14"/>
  <c r="D209" i="14"/>
  <c r="E209" i="14"/>
  <c r="F209" i="14"/>
  <c r="B210" i="14"/>
  <c r="C210" i="14"/>
  <c r="D210" i="14"/>
  <c r="E210" i="14"/>
  <c r="F210" i="14"/>
  <c r="B211" i="14"/>
  <c r="C211" i="14"/>
  <c r="D211" i="14"/>
  <c r="E211" i="14"/>
  <c r="F211" i="14"/>
  <c r="B212" i="14"/>
  <c r="C212" i="14"/>
  <c r="D212" i="14"/>
  <c r="E212" i="14"/>
  <c r="F212" i="14"/>
  <c r="B213" i="14"/>
  <c r="C213" i="14"/>
  <c r="D213" i="14"/>
  <c r="E213" i="14"/>
  <c r="F213" i="14"/>
  <c r="B214" i="14"/>
  <c r="C214" i="14"/>
  <c r="D214" i="14"/>
  <c r="E214" i="14"/>
  <c r="F214" i="14"/>
  <c r="B215" i="14"/>
  <c r="C215" i="14"/>
  <c r="D215" i="14"/>
  <c r="E215" i="14"/>
  <c r="F215" i="14"/>
  <c r="B216" i="14"/>
  <c r="C216" i="14"/>
  <c r="D216" i="14"/>
  <c r="E216" i="14"/>
  <c r="F216" i="14"/>
  <c r="B217" i="14"/>
  <c r="C217" i="14"/>
  <c r="D217" i="14"/>
  <c r="E217" i="14"/>
  <c r="F217" i="14"/>
  <c r="B218" i="14"/>
  <c r="C218" i="14"/>
  <c r="D218" i="14"/>
  <c r="E218" i="14"/>
  <c r="F218" i="14"/>
  <c r="B219" i="14"/>
  <c r="C219" i="14"/>
  <c r="D219" i="14"/>
  <c r="E219" i="14"/>
  <c r="F219" i="14"/>
  <c r="B220" i="14"/>
  <c r="C220" i="14"/>
  <c r="D220" i="14"/>
  <c r="E220" i="14"/>
  <c r="F220" i="14"/>
  <c r="B221" i="14"/>
  <c r="C221" i="14"/>
  <c r="D221" i="14"/>
  <c r="E221" i="14"/>
  <c r="F221" i="14"/>
  <c r="B222" i="14"/>
  <c r="C222" i="14"/>
  <c r="D222" i="14"/>
  <c r="E222" i="14"/>
  <c r="F222" i="14"/>
  <c r="B223" i="14"/>
  <c r="C223" i="14"/>
  <c r="D223" i="14"/>
  <c r="E223" i="14"/>
  <c r="F223" i="14"/>
  <c r="B224" i="14"/>
  <c r="C224" i="14"/>
  <c r="D224" i="14"/>
  <c r="E224" i="14"/>
  <c r="F224" i="14"/>
  <c r="B225" i="14"/>
  <c r="C225" i="14"/>
  <c r="D225" i="14"/>
  <c r="E225" i="14"/>
  <c r="F225" i="14"/>
  <c r="B226" i="14"/>
  <c r="C226" i="14"/>
  <c r="D226" i="14"/>
  <c r="E226" i="14"/>
  <c r="F226" i="14"/>
  <c r="B227" i="14"/>
  <c r="C227" i="14"/>
  <c r="D227" i="14"/>
  <c r="E227" i="14"/>
  <c r="F227" i="14"/>
  <c r="B228" i="14"/>
  <c r="C228" i="14"/>
  <c r="D228" i="14"/>
  <c r="E228" i="14"/>
  <c r="F228" i="14"/>
  <c r="B229" i="14"/>
  <c r="C229" i="14"/>
  <c r="D229" i="14"/>
  <c r="E229" i="14"/>
  <c r="F229" i="14"/>
  <c r="B230" i="14"/>
  <c r="C230" i="14"/>
  <c r="D230" i="14"/>
  <c r="E230" i="14"/>
  <c r="F230" i="14"/>
  <c r="B231" i="14"/>
  <c r="C231" i="14"/>
  <c r="D231" i="14"/>
  <c r="E231" i="14"/>
  <c r="F231" i="14"/>
  <c r="B232" i="14"/>
  <c r="C232" i="14"/>
  <c r="D232" i="14"/>
  <c r="E232" i="14"/>
  <c r="F232" i="14"/>
  <c r="B233" i="14"/>
  <c r="C233" i="14"/>
  <c r="D233" i="14"/>
  <c r="E233" i="14"/>
  <c r="F233" i="14"/>
  <c r="B234" i="14"/>
  <c r="C234" i="14"/>
  <c r="D234" i="14"/>
  <c r="E234" i="14"/>
  <c r="F234" i="14"/>
  <c r="B235" i="14"/>
  <c r="C235" i="14"/>
  <c r="D235" i="14"/>
  <c r="E235" i="14"/>
  <c r="F235" i="14"/>
  <c r="B236" i="14"/>
  <c r="C236" i="14"/>
  <c r="D236" i="14"/>
  <c r="E236" i="14"/>
  <c r="F236" i="14"/>
  <c r="B237" i="14"/>
  <c r="C237" i="14"/>
  <c r="D237" i="14"/>
  <c r="E237" i="14"/>
  <c r="F237" i="14"/>
  <c r="B238" i="14"/>
  <c r="C238" i="14"/>
  <c r="D238" i="14"/>
  <c r="E238" i="14"/>
  <c r="F238" i="14"/>
  <c r="B239" i="14"/>
  <c r="C239" i="14"/>
  <c r="D239" i="14"/>
  <c r="E239" i="14"/>
  <c r="F239" i="14"/>
  <c r="B240" i="14"/>
  <c r="C240" i="14"/>
  <c r="D240" i="14"/>
  <c r="E240" i="14"/>
  <c r="F240" i="14"/>
  <c r="B241" i="14"/>
  <c r="C241" i="14"/>
  <c r="D241" i="14"/>
  <c r="E241" i="14"/>
  <c r="F241" i="14"/>
  <c r="B242" i="14"/>
  <c r="C242" i="14"/>
  <c r="D242" i="14"/>
  <c r="E242" i="14"/>
  <c r="F242" i="14"/>
  <c r="B243" i="14"/>
  <c r="C243" i="14"/>
  <c r="D243" i="14"/>
  <c r="E243" i="14"/>
  <c r="F243" i="14"/>
  <c r="B244" i="14"/>
  <c r="C244" i="14"/>
  <c r="D244" i="14"/>
  <c r="E244" i="14"/>
  <c r="F244" i="14"/>
  <c r="B245" i="14"/>
  <c r="C245" i="14"/>
  <c r="D245" i="14"/>
  <c r="E245" i="14"/>
  <c r="F245" i="14"/>
  <c r="B246" i="14"/>
  <c r="C246" i="14"/>
  <c r="D246" i="14"/>
  <c r="E246" i="14"/>
  <c r="F246" i="14"/>
  <c r="B247" i="14"/>
  <c r="C247" i="14"/>
  <c r="D247" i="14"/>
  <c r="E247" i="14"/>
  <c r="F247" i="14"/>
  <c r="B248" i="14"/>
  <c r="C248" i="14"/>
  <c r="D248" i="14"/>
  <c r="E248" i="14"/>
  <c r="F248" i="14"/>
  <c r="B249" i="14"/>
  <c r="C249" i="14"/>
  <c r="D249" i="14"/>
  <c r="E249" i="14"/>
  <c r="F249" i="14"/>
  <c r="B250" i="14"/>
  <c r="C250" i="14"/>
  <c r="D250" i="14"/>
  <c r="E250" i="14"/>
  <c r="F250" i="14"/>
  <c r="B251" i="14"/>
  <c r="C251" i="14"/>
  <c r="D251" i="14"/>
  <c r="E251" i="14"/>
  <c r="F251" i="14"/>
  <c r="B252" i="14"/>
  <c r="C252" i="14"/>
  <c r="D252" i="14"/>
  <c r="E252" i="14"/>
  <c r="F252" i="14"/>
  <c r="B253" i="14"/>
  <c r="C253" i="14"/>
  <c r="D253" i="14"/>
  <c r="E253" i="14"/>
  <c r="F253" i="14"/>
  <c r="B254" i="14"/>
  <c r="C254" i="14"/>
  <c r="D254" i="14"/>
  <c r="E254" i="14"/>
  <c r="F254" i="14"/>
  <c r="B255" i="14"/>
  <c r="C255" i="14"/>
  <c r="D255" i="14"/>
  <c r="E255" i="14"/>
  <c r="F255" i="14"/>
  <c r="B256" i="14"/>
  <c r="C256" i="14"/>
  <c r="D256" i="14"/>
  <c r="E256" i="14"/>
  <c r="F256" i="14"/>
  <c r="B257" i="14"/>
  <c r="C257" i="14"/>
  <c r="D257" i="14"/>
  <c r="E257" i="14"/>
  <c r="F257" i="14"/>
  <c r="B258" i="14"/>
  <c r="C258" i="14"/>
  <c r="D258" i="14"/>
  <c r="E258" i="14"/>
  <c r="F258" i="14"/>
  <c r="B259" i="14"/>
  <c r="C259" i="14"/>
  <c r="D259" i="14"/>
  <c r="E259" i="14"/>
  <c r="F259" i="14"/>
  <c r="B260" i="14"/>
  <c r="C260" i="14"/>
  <c r="D260" i="14"/>
  <c r="E260" i="14"/>
  <c r="F260" i="14"/>
  <c r="B261" i="14"/>
  <c r="C261" i="14"/>
  <c r="D261" i="14"/>
  <c r="E261" i="14"/>
  <c r="F261" i="14"/>
  <c r="B262" i="14"/>
  <c r="C262" i="14"/>
  <c r="D262" i="14"/>
  <c r="E262" i="14"/>
  <c r="F262" i="14"/>
  <c r="B263" i="14"/>
  <c r="C263" i="14"/>
  <c r="D263" i="14"/>
  <c r="E263" i="14"/>
  <c r="F263" i="14"/>
  <c r="B264" i="14"/>
  <c r="C264" i="14"/>
  <c r="D264" i="14"/>
  <c r="E264" i="14"/>
  <c r="F264" i="14"/>
  <c r="B265" i="14"/>
  <c r="C265" i="14"/>
  <c r="D265" i="14"/>
  <c r="E265" i="14"/>
  <c r="F265" i="14"/>
  <c r="B266" i="14"/>
  <c r="C266" i="14"/>
  <c r="D266" i="14"/>
  <c r="E266" i="14"/>
  <c r="F266" i="14"/>
  <c r="B267" i="14"/>
  <c r="C267" i="14"/>
  <c r="D267" i="14"/>
  <c r="E267" i="14"/>
  <c r="F267" i="14"/>
  <c r="B268" i="14"/>
  <c r="C268" i="14"/>
  <c r="D268" i="14"/>
  <c r="E268" i="14"/>
  <c r="F268" i="14"/>
  <c r="B269" i="14"/>
  <c r="C269" i="14"/>
  <c r="D269" i="14"/>
  <c r="E269" i="14"/>
  <c r="F269" i="14"/>
  <c r="B270" i="14"/>
  <c r="C270" i="14"/>
  <c r="D270" i="14"/>
  <c r="E270" i="14"/>
  <c r="F270" i="14"/>
  <c r="B271" i="14"/>
  <c r="C271" i="14"/>
  <c r="D271" i="14"/>
  <c r="E271" i="14"/>
  <c r="F271" i="14"/>
  <c r="B272" i="14"/>
  <c r="C272" i="14"/>
  <c r="D272" i="14"/>
  <c r="E272" i="14"/>
  <c r="F272" i="14"/>
  <c r="B273" i="14"/>
  <c r="C273" i="14"/>
  <c r="D273" i="14"/>
  <c r="E273" i="14"/>
  <c r="F273" i="14"/>
  <c r="B274" i="14"/>
  <c r="C274" i="14"/>
  <c r="D274" i="14"/>
  <c r="E274" i="14"/>
  <c r="F274" i="14"/>
  <c r="B275" i="14"/>
  <c r="C275" i="14"/>
  <c r="D275" i="14"/>
  <c r="E275" i="14"/>
  <c r="F275" i="14"/>
  <c r="B276" i="14"/>
  <c r="C276" i="14"/>
  <c r="D276" i="14"/>
  <c r="E276" i="14"/>
  <c r="F276" i="14"/>
  <c r="B277" i="14"/>
  <c r="C277" i="14"/>
  <c r="D277" i="14"/>
  <c r="E277" i="14"/>
  <c r="F277" i="14"/>
  <c r="B278" i="14"/>
  <c r="C278" i="14"/>
  <c r="D278" i="14"/>
  <c r="E278" i="14"/>
  <c r="F278" i="14"/>
  <c r="B279" i="14"/>
  <c r="C279" i="14"/>
  <c r="D279" i="14"/>
  <c r="E279" i="14"/>
  <c r="F279" i="14"/>
  <c r="B280" i="14"/>
  <c r="C280" i="14"/>
  <c r="D280" i="14"/>
  <c r="E280" i="14"/>
  <c r="F280" i="14"/>
  <c r="B281" i="14"/>
  <c r="C281" i="14"/>
  <c r="D281" i="14"/>
  <c r="E281" i="14"/>
  <c r="F281" i="14"/>
  <c r="B282" i="14"/>
  <c r="C282" i="14"/>
  <c r="D282" i="14"/>
  <c r="E282" i="14"/>
  <c r="F282" i="14"/>
  <c r="B283" i="14"/>
  <c r="C283" i="14"/>
  <c r="D283" i="14"/>
  <c r="E283" i="14"/>
  <c r="F283" i="14"/>
  <c r="B284" i="14"/>
  <c r="C284" i="14"/>
  <c r="D284" i="14"/>
  <c r="E284" i="14"/>
  <c r="F284" i="14"/>
  <c r="B285" i="14"/>
  <c r="C285" i="14"/>
  <c r="D285" i="14"/>
  <c r="E285" i="14"/>
  <c r="F285" i="14"/>
  <c r="B286" i="14"/>
  <c r="C286" i="14"/>
  <c r="D286" i="14"/>
  <c r="E286" i="14"/>
  <c r="F286" i="14"/>
  <c r="B287" i="14"/>
  <c r="C287" i="14"/>
  <c r="D287" i="14"/>
  <c r="E287" i="14"/>
  <c r="F287" i="14"/>
  <c r="B288" i="14"/>
  <c r="C288" i="14"/>
  <c r="D288" i="14"/>
  <c r="E288" i="14"/>
  <c r="F288" i="14"/>
  <c r="B289" i="14"/>
  <c r="C289" i="14"/>
  <c r="D289" i="14"/>
  <c r="E289" i="14"/>
  <c r="F289" i="14"/>
  <c r="B290" i="14"/>
  <c r="C290" i="14"/>
  <c r="D290" i="14"/>
  <c r="E290" i="14"/>
  <c r="F290" i="14"/>
  <c r="B291" i="14"/>
  <c r="C291" i="14"/>
  <c r="D291" i="14"/>
  <c r="E291" i="14"/>
  <c r="F291" i="14"/>
  <c r="B292" i="14"/>
  <c r="C292" i="14"/>
  <c r="D292" i="14"/>
  <c r="E292" i="14"/>
  <c r="F292" i="14"/>
  <c r="B293" i="14"/>
  <c r="C293" i="14"/>
  <c r="D293" i="14"/>
  <c r="E293" i="14"/>
  <c r="F293" i="14"/>
  <c r="B294" i="14"/>
  <c r="C294" i="14"/>
  <c r="D294" i="14"/>
  <c r="E294" i="14"/>
  <c r="F294" i="14"/>
  <c r="B295" i="14"/>
  <c r="C295" i="14"/>
  <c r="D295" i="14"/>
  <c r="E295" i="14"/>
  <c r="F295" i="14"/>
  <c r="B296" i="14"/>
  <c r="C296" i="14"/>
  <c r="D296" i="14"/>
  <c r="E296" i="14"/>
  <c r="F296" i="14"/>
  <c r="B297" i="14"/>
  <c r="C297" i="14"/>
  <c r="D297" i="14"/>
  <c r="E297" i="14"/>
  <c r="F297" i="14"/>
  <c r="B298" i="14"/>
  <c r="C298" i="14"/>
  <c r="D298" i="14"/>
  <c r="E298" i="14"/>
  <c r="F298" i="14"/>
  <c r="B299" i="14"/>
  <c r="C299" i="14"/>
  <c r="D299" i="14"/>
  <c r="E299" i="14"/>
  <c r="F299" i="14"/>
  <c r="B300" i="14"/>
  <c r="C300" i="14"/>
  <c r="D300" i="14"/>
  <c r="E300" i="14"/>
  <c r="F300" i="14"/>
  <c r="B301" i="14"/>
  <c r="C301" i="14"/>
  <c r="D301" i="14"/>
  <c r="E301" i="14"/>
  <c r="F301" i="14"/>
  <c r="B302" i="14"/>
  <c r="C302" i="14"/>
  <c r="D302" i="14"/>
  <c r="E302" i="14"/>
  <c r="F302" i="14"/>
  <c r="B303" i="14"/>
  <c r="C303" i="14"/>
  <c r="D303" i="14"/>
  <c r="E303" i="14"/>
  <c r="F303" i="14"/>
  <c r="B304" i="14"/>
  <c r="C304" i="14"/>
  <c r="D304" i="14"/>
  <c r="E304" i="14"/>
  <c r="F304" i="14"/>
  <c r="B305" i="14"/>
  <c r="C305" i="14"/>
  <c r="D305" i="14"/>
  <c r="E305" i="14"/>
  <c r="F305" i="14"/>
  <c r="B306" i="14"/>
  <c r="C306" i="14"/>
  <c r="D306" i="14"/>
  <c r="E306" i="14"/>
  <c r="F306" i="14"/>
  <c r="B307" i="14"/>
  <c r="C307" i="14"/>
  <c r="D307" i="14"/>
  <c r="E307" i="14"/>
  <c r="F307" i="14"/>
  <c r="B308" i="14"/>
  <c r="C308" i="14"/>
  <c r="D308" i="14"/>
  <c r="E308" i="14"/>
  <c r="F308" i="14"/>
  <c r="B309" i="14"/>
  <c r="C309" i="14"/>
  <c r="D309" i="14"/>
  <c r="E309" i="14"/>
  <c r="F309" i="14"/>
  <c r="B310" i="14"/>
  <c r="C310" i="14"/>
  <c r="D310" i="14"/>
  <c r="E310" i="14"/>
  <c r="F310" i="14"/>
  <c r="B311" i="14"/>
  <c r="C311" i="14"/>
  <c r="D311" i="14"/>
  <c r="E311" i="14"/>
  <c r="F311" i="14"/>
  <c r="B312" i="14"/>
  <c r="C312" i="14"/>
  <c r="D312" i="14"/>
  <c r="E312" i="14"/>
  <c r="F312" i="14"/>
  <c r="B313" i="14"/>
  <c r="C313" i="14"/>
  <c r="D313" i="14"/>
  <c r="E313" i="14"/>
  <c r="F313" i="14"/>
  <c r="B314" i="14"/>
  <c r="C314" i="14"/>
  <c r="D314" i="14"/>
  <c r="E314" i="14"/>
  <c r="F314" i="14"/>
  <c r="B315" i="14"/>
  <c r="C315" i="14"/>
  <c r="D315" i="14"/>
  <c r="E315" i="14"/>
  <c r="F315" i="14"/>
  <c r="B316" i="14"/>
  <c r="C316" i="14"/>
  <c r="D316" i="14"/>
  <c r="E316" i="14"/>
  <c r="F316" i="14"/>
  <c r="B317" i="14"/>
  <c r="C317" i="14"/>
  <c r="D317" i="14"/>
  <c r="E317" i="14"/>
  <c r="F317" i="14"/>
  <c r="B318" i="14"/>
  <c r="C318" i="14"/>
  <c r="D318" i="14"/>
  <c r="E318" i="14"/>
  <c r="F318" i="14"/>
  <c r="B319" i="14"/>
  <c r="C319" i="14"/>
  <c r="D319" i="14"/>
  <c r="E319" i="14"/>
  <c r="F319" i="14"/>
  <c r="B320" i="14"/>
  <c r="C320" i="14"/>
  <c r="D320" i="14"/>
  <c r="E320" i="14"/>
  <c r="F320" i="14"/>
  <c r="B321" i="14"/>
  <c r="C321" i="14"/>
  <c r="D321" i="14"/>
  <c r="E321" i="14"/>
  <c r="F321" i="14"/>
  <c r="B322" i="14"/>
  <c r="C322" i="14"/>
  <c r="D322" i="14"/>
  <c r="E322" i="14"/>
  <c r="F322" i="14"/>
  <c r="B323" i="14"/>
  <c r="C323" i="14"/>
  <c r="D323" i="14"/>
  <c r="E323" i="14"/>
  <c r="F323" i="14"/>
  <c r="B324" i="14"/>
  <c r="C324" i="14"/>
  <c r="D324" i="14"/>
  <c r="E324" i="14"/>
  <c r="F324" i="14"/>
  <c r="B325" i="14"/>
  <c r="C325" i="14"/>
  <c r="D325" i="14"/>
  <c r="E325" i="14"/>
  <c r="F325" i="14"/>
  <c r="B326" i="14"/>
  <c r="C326" i="14"/>
  <c r="D326" i="14"/>
  <c r="E326" i="14"/>
  <c r="F326" i="14"/>
  <c r="B327" i="14"/>
  <c r="C327" i="14"/>
  <c r="D327" i="14"/>
  <c r="E327" i="14"/>
  <c r="F327" i="14"/>
  <c r="B328" i="14"/>
  <c r="C328" i="14"/>
  <c r="D328" i="14"/>
  <c r="E328" i="14"/>
  <c r="F328" i="14"/>
  <c r="B329" i="14"/>
  <c r="C329" i="14"/>
  <c r="D329" i="14"/>
  <c r="E329" i="14"/>
  <c r="F329" i="14"/>
  <c r="B330" i="14"/>
  <c r="C330" i="14"/>
  <c r="D330" i="14"/>
  <c r="E330" i="14"/>
  <c r="F330" i="14"/>
  <c r="B331" i="14"/>
  <c r="C331" i="14"/>
  <c r="D331" i="14"/>
  <c r="E331" i="14"/>
  <c r="F331" i="14"/>
  <c r="B332" i="14"/>
  <c r="C332" i="14"/>
  <c r="D332" i="14"/>
  <c r="E332" i="14"/>
  <c r="F332" i="14"/>
  <c r="B333" i="14"/>
  <c r="C333" i="14"/>
  <c r="D333" i="14"/>
  <c r="E333" i="14"/>
  <c r="F333" i="14"/>
  <c r="B334" i="14"/>
  <c r="C334" i="14"/>
  <c r="D334" i="14"/>
  <c r="E334" i="14"/>
  <c r="F334" i="14"/>
  <c r="B335" i="14"/>
  <c r="C335" i="14"/>
  <c r="D335" i="14"/>
  <c r="E335" i="14"/>
  <c r="F335" i="14"/>
  <c r="B336" i="14"/>
  <c r="C336" i="14"/>
  <c r="D336" i="14"/>
  <c r="E336" i="14"/>
  <c r="F336" i="14"/>
  <c r="B337" i="14"/>
  <c r="C337" i="14"/>
  <c r="D337" i="14"/>
  <c r="E337" i="14"/>
  <c r="F337" i="14"/>
  <c r="B338" i="14"/>
  <c r="C338" i="14"/>
  <c r="D338" i="14"/>
  <c r="E338" i="14"/>
  <c r="F338" i="14"/>
  <c r="B339" i="14"/>
  <c r="C339" i="14"/>
  <c r="D339" i="14"/>
  <c r="E339" i="14"/>
  <c r="F339" i="14"/>
  <c r="B340" i="14"/>
  <c r="C340" i="14"/>
  <c r="D340" i="14"/>
  <c r="E340" i="14"/>
  <c r="F340" i="14"/>
  <c r="B341" i="14"/>
  <c r="C341" i="14"/>
  <c r="D341" i="14"/>
  <c r="E341" i="14"/>
  <c r="F341" i="14"/>
  <c r="B342" i="14"/>
  <c r="C342" i="14"/>
  <c r="D342" i="14"/>
  <c r="E342" i="14"/>
  <c r="F342" i="14"/>
  <c r="B343" i="14"/>
  <c r="C343" i="14"/>
  <c r="D343" i="14"/>
  <c r="E343" i="14"/>
  <c r="F343" i="14"/>
  <c r="B344" i="14"/>
  <c r="C344" i="14"/>
  <c r="D344" i="14"/>
  <c r="E344" i="14"/>
  <c r="F344" i="14"/>
  <c r="B345" i="14"/>
  <c r="C345" i="14"/>
  <c r="D345" i="14"/>
  <c r="E345" i="14"/>
  <c r="F345" i="14"/>
  <c r="B346" i="14"/>
  <c r="C346" i="14"/>
  <c r="D346" i="14"/>
  <c r="E346" i="14"/>
  <c r="F346" i="14"/>
  <c r="B347" i="14"/>
  <c r="C347" i="14"/>
  <c r="D347" i="14"/>
  <c r="E347" i="14"/>
  <c r="F347" i="14"/>
  <c r="B348" i="14"/>
  <c r="C348" i="14"/>
  <c r="D348" i="14"/>
  <c r="E348" i="14"/>
  <c r="F348" i="14"/>
  <c r="B349" i="14"/>
  <c r="C349" i="14"/>
  <c r="D349" i="14"/>
  <c r="E349" i="14"/>
  <c r="F349" i="14"/>
  <c r="B350" i="14"/>
  <c r="C350" i="14"/>
  <c r="D350" i="14"/>
  <c r="E350" i="14"/>
  <c r="F350" i="14"/>
  <c r="B351" i="14"/>
  <c r="C351" i="14"/>
  <c r="D351" i="14"/>
  <c r="E351" i="14"/>
  <c r="F351" i="14"/>
  <c r="B352" i="14"/>
  <c r="C352" i="14"/>
  <c r="D352" i="14"/>
  <c r="E352" i="14"/>
  <c r="F352" i="14"/>
  <c r="B353" i="14"/>
  <c r="C353" i="14"/>
  <c r="D353" i="14"/>
  <c r="E353" i="14"/>
  <c r="F353" i="14"/>
  <c r="B354" i="14"/>
  <c r="C354" i="14"/>
  <c r="D354" i="14"/>
  <c r="E354" i="14"/>
  <c r="F354" i="14"/>
  <c r="B355" i="14"/>
  <c r="C355" i="14"/>
  <c r="D355" i="14"/>
  <c r="E355" i="14"/>
  <c r="F355" i="14"/>
  <c r="B356" i="14"/>
  <c r="C356" i="14"/>
  <c r="D356" i="14"/>
  <c r="E356" i="14"/>
  <c r="F356" i="14"/>
  <c r="B357" i="14"/>
  <c r="C357" i="14"/>
  <c r="D357" i="14"/>
  <c r="E357" i="14"/>
  <c r="F357" i="14"/>
  <c r="B358" i="14"/>
  <c r="C358" i="14"/>
  <c r="D358" i="14"/>
  <c r="E358" i="14"/>
  <c r="F358" i="14"/>
  <c r="B359" i="14"/>
  <c r="C359" i="14"/>
  <c r="D359" i="14"/>
  <c r="E359" i="14"/>
  <c r="F359" i="14"/>
  <c r="B360" i="14"/>
  <c r="C360" i="14"/>
  <c r="D360" i="14"/>
  <c r="E360" i="14"/>
  <c r="F360" i="14"/>
  <c r="B361" i="14"/>
  <c r="C361" i="14"/>
  <c r="D361" i="14"/>
  <c r="E361" i="14"/>
  <c r="F361" i="14"/>
  <c r="B362" i="14"/>
  <c r="C362" i="14"/>
  <c r="D362" i="14"/>
  <c r="E362" i="14"/>
  <c r="F362" i="14"/>
  <c r="B363" i="14"/>
  <c r="C363" i="14"/>
  <c r="D363" i="14"/>
  <c r="E363" i="14"/>
  <c r="F363" i="14"/>
  <c r="B364" i="14"/>
  <c r="C364" i="14"/>
  <c r="D364" i="14"/>
  <c r="E364" i="14"/>
  <c r="F364" i="14"/>
  <c r="B365" i="14"/>
  <c r="C365" i="14"/>
  <c r="D365" i="14"/>
  <c r="E365" i="14"/>
  <c r="F365" i="14"/>
  <c r="B366" i="14"/>
  <c r="C366" i="14"/>
  <c r="D366" i="14"/>
  <c r="E366" i="14"/>
  <c r="F366" i="14"/>
  <c r="B367" i="14"/>
  <c r="C367" i="14"/>
  <c r="D367" i="14"/>
  <c r="E367" i="14"/>
  <c r="F367" i="14"/>
  <c r="B368" i="14"/>
  <c r="C368" i="14"/>
  <c r="D368" i="14"/>
  <c r="E368" i="14"/>
  <c r="F368" i="14"/>
  <c r="B369" i="14"/>
  <c r="C369" i="14"/>
  <c r="D369" i="14"/>
  <c r="E369" i="14"/>
  <c r="F369" i="14"/>
  <c r="B370" i="14"/>
  <c r="C370" i="14"/>
  <c r="D370" i="14"/>
  <c r="E370" i="14"/>
  <c r="F370" i="14"/>
  <c r="B371" i="14"/>
  <c r="C371" i="14"/>
  <c r="D371" i="14"/>
  <c r="E371" i="14"/>
  <c r="F371" i="14"/>
  <c r="B372" i="14"/>
  <c r="C372" i="14"/>
  <c r="D372" i="14"/>
  <c r="E372" i="14"/>
  <c r="F372" i="14"/>
  <c r="B373" i="14"/>
  <c r="C373" i="14"/>
  <c r="D373" i="14"/>
  <c r="E373" i="14"/>
  <c r="F373" i="14"/>
  <c r="B374" i="14"/>
  <c r="C374" i="14"/>
  <c r="D374" i="14"/>
  <c r="E374" i="14"/>
  <c r="F374" i="14"/>
  <c r="B375" i="14"/>
  <c r="C375" i="14"/>
  <c r="D375" i="14"/>
  <c r="E375" i="14"/>
  <c r="F375" i="14"/>
  <c r="B376" i="14"/>
  <c r="C376" i="14"/>
  <c r="D376" i="14"/>
  <c r="E376" i="14"/>
  <c r="F376" i="14"/>
  <c r="B377" i="14"/>
  <c r="C377" i="14"/>
  <c r="D377" i="14"/>
  <c r="E377" i="14"/>
  <c r="F377" i="14"/>
  <c r="B378" i="14"/>
  <c r="C378" i="14"/>
  <c r="D378" i="14"/>
  <c r="E378" i="14"/>
  <c r="F378" i="14"/>
  <c r="B379" i="14"/>
  <c r="C379" i="14"/>
  <c r="D379" i="14"/>
  <c r="E379" i="14"/>
  <c r="F379" i="14"/>
  <c r="B380" i="14"/>
  <c r="C380" i="14"/>
  <c r="D380" i="14"/>
  <c r="E380" i="14"/>
  <c r="F380" i="14"/>
  <c r="B381" i="14"/>
  <c r="C381" i="14"/>
  <c r="D381" i="14"/>
  <c r="E381" i="14"/>
  <c r="F381" i="14"/>
  <c r="B382" i="14"/>
  <c r="C382" i="14"/>
  <c r="D382" i="14"/>
  <c r="E382" i="14"/>
  <c r="F382" i="14"/>
  <c r="B383" i="14"/>
  <c r="C383" i="14"/>
  <c r="D383" i="14"/>
  <c r="E383" i="14"/>
  <c r="F383" i="14"/>
  <c r="B384" i="14"/>
  <c r="C384" i="14"/>
  <c r="D384" i="14"/>
  <c r="E384" i="14"/>
  <c r="F384" i="14"/>
  <c r="B385" i="14"/>
  <c r="C385" i="14"/>
  <c r="D385" i="14"/>
  <c r="E385" i="14"/>
  <c r="F385" i="14"/>
  <c r="B386" i="14"/>
  <c r="C386" i="14"/>
  <c r="D386" i="14"/>
  <c r="E386" i="14"/>
  <c r="F386" i="14"/>
  <c r="B387" i="14"/>
  <c r="C387" i="14"/>
  <c r="D387" i="14"/>
  <c r="E387" i="14"/>
  <c r="F387" i="14"/>
  <c r="B388" i="14"/>
  <c r="C388" i="14"/>
  <c r="D388" i="14"/>
  <c r="E388" i="14"/>
  <c r="F388" i="14"/>
  <c r="B389" i="14"/>
  <c r="C389" i="14"/>
  <c r="D389" i="14"/>
  <c r="E389" i="14"/>
  <c r="F389" i="14"/>
  <c r="B390" i="14"/>
  <c r="C390" i="14"/>
  <c r="D390" i="14"/>
  <c r="E390" i="14"/>
  <c r="F390" i="14"/>
  <c r="B391" i="14"/>
  <c r="C391" i="14"/>
  <c r="D391" i="14"/>
  <c r="E391" i="14"/>
  <c r="F391" i="14"/>
  <c r="B392" i="14"/>
  <c r="C392" i="14"/>
  <c r="D392" i="14"/>
  <c r="E392" i="14"/>
  <c r="F392" i="14"/>
  <c r="B393" i="14"/>
  <c r="C393" i="14"/>
  <c r="D393" i="14"/>
  <c r="E393" i="14"/>
  <c r="F393" i="14"/>
  <c r="B394" i="14"/>
  <c r="C394" i="14"/>
  <c r="D394" i="14"/>
  <c r="E394" i="14"/>
  <c r="F394" i="14"/>
  <c r="B395" i="14"/>
  <c r="C395" i="14"/>
  <c r="D395" i="14"/>
  <c r="E395" i="14"/>
  <c r="F395" i="14"/>
  <c r="B396" i="14"/>
  <c r="C396" i="14"/>
  <c r="D396" i="14"/>
  <c r="E396" i="14"/>
  <c r="F396" i="14"/>
  <c r="B397" i="14"/>
  <c r="C397" i="14"/>
  <c r="D397" i="14"/>
  <c r="E397" i="14"/>
  <c r="F397" i="14"/>
  <c r="B398" i="14"/>
  <c r="C398" i="14"/>
  <c r="D398" i="14"/>
  <c r="E398" i="14"/>
  <c r="F398" i="14"/>
  <c r="B399" i="14"/>
  <c r="C399" i="14"/>
  <c r="D399" i="14"/>
  <c r="E399" i="14"/>
  <c r="F399" i="14"/>
  <c r="B400" i="14"/>
  <c r="C400" i="14"/>
  <c r="D400" i="14"/>
  <c r="E400" i="14"/>
  <c r="F400" i="14"/>
  <c r="B401" i="14"/>
  <c r="C401" i="14"/>
  <c r="D401" i="14"/>
  <c r="E401" i="14"/>
  <c r="F401" i="14"/>
  <c r="B402" i="14"/>
  <c r="C402" i="14"/>
  <c r="D402" i="14"/>
  <c r="E402" i="14"/>
  <c r="F402" i="14"/>
  <c r="B403" i="14"/>
  <c r="C403" i="14"/>
  <c r="D403" i="14"/>
  <c r="E403" i="14"/>
  <c r="F403" i="14"/>
  <c r="B404" i="14"/>
  <c r="C404" i="14"/>
  <c r="D404" i="14"/>
  <c r="E404" i="14"/>
  <c r="F404" i="14"/>
  <c r="B405" i="14"/>
  <c r="C405" i="14"/>
  <c r="D405" i="14"/>
  <c r="E405" i="14"/>
  <c r="F405" i="14"/>
  <c r="B406" i="14"/>
  <c r="C406" i="14"/>
  <c r="D406" i="14"/>
  <c r="E406" i="14"/>
  <c r="F406" i="14"/>
  <c r="B407" i="14"/>
  <c r="C407" i="14"/>
  <c r="D407" i="14"/>
  <c r="E407" i="14"/>
  <c r="F407" i="14"/>
  <c r="B408" i="14"/>
  <c r="C408" i="14"/>
  <c r="D408" i="14"/>
  <c r="E408" i="14"/>
  <c r="F408" i="14"/>
  <c r="B409" i="14"/>
  <c r="C409" i="14"/>
  <c r="D409" i="14"/>
  <c r="E409" i="14"/>
  <c r="F409" i="14"/>
  <c r="B410" i="14"/>
  <c r="C410" i="14"/>
  <c r="D410" i="14"/>
  <c r="E410" i="14"/>
  <c r="F410" i="14"/>
  <c r="B411" i="14"/>
  <c r="C411" i="14"/>
  <c r="D411" i="14"/>
  <c r="E411" i="14"/>
  <c r="F411" i="14"/>
  <c r="B412" i="14"/>
  <c r="C412" i="14"/>
  <c r="D412" i="14"/>
  <c r="E412" i="14"/>
  <c r="F412" i="14"/>
  <c r="B413" i="14"/>
  <c r="C413" i="14"/>
  <c r="D413" i="14"/>
  <c r="E413" i="14"/>
  <c r="F413" i="14"/>
  <c r="B414" i="14"/>
  <c r="C414" i="14"/>
  <c r="D414" i="14"/>
  <c r="E414" i="14"/>
  <c r="F414" i="14"/>
  <c r="B415" i="14"/>
  <c r="C415" i="14"/>
  <c r="D415" i="14"/>
  <c r="E415" i="14"/>
  <c r="F415" i="14"/>
  <c r="B416" i="14"/>
  <c r="C416" i="14"/>
  <c r="D416" i="14"/>
  <c r="E416" i="14"/>
  <c r="F416" i="14"/>
  <c r="B417" i="14"/>
  <c r="C417" i="14"/>
  <c r="D417" i="14"/>
  <c r="E417" i="14"/>
  <c r="F417" i="14"/>
  <c r="B418" i="14"/>
  <c r="C418" i="14"/>
  <c r="D418" i="14"/>
  <c r="E418" i="14"/>
  <c r="F418" i="14"/>
  <c r="B419" i="14"/>
  <c r="C419" i="14"/>
  <c r="D419" i="14"/>
  <c r="E419" i="14"/>
  <c r="F419" i="14"/>
  <c r="B420" i="14"/>
  <c r="C420" i="14"/>
  <c r="D420" i="14"/>
  <c r="E420" i="14"/>
  <c r="F420" i="14"/>
  <c r="B421" i="14"/>
  <c r="C421" i="14"/>
  <c r="D421" i="14"/>
  <c r="E421" i="14"/>
  <c r="F421" i="14"/>
  <c r="B422" i="14"/>
  <c r="C422" i="14"/>
  <c r="D422" i="14"/>
  <c r="E422" i="14"/>
  <c r="F422" i="14"/>
  <c r="B423" i="14"/>
  <c r="C423" i="14"/>
  <c r="D423" i="14"/>
  <c r="E423" i="14"/>
  <c r="F423" i="14"/>
  <c r="B424" i="14"/>
  <c r="C424" i="14"/>
  <c r="D424" i="14"/>
  <c r="E424" i="14"/>
  <c r="F424" i="14"/>
  <c r="B425" i="14"/>
  <c r="C425" i="14"/>
  <c r="D425" i="14"/>
  <c r="E425" i="14"/>
  <c r="F425" i="14"/>
  <c r="B426" i="14"/>
  <c r="C426" i="14"/>
  <c r="D426" i="14"/>
  <c r="E426" i="14"/>
  <c r="F426" i="14"/>
  <c r="F1" i="14"/>
  <c r="E1" i="14"/>
  <c r="D1" i="14"/>
  <c r="C1" i="14"/>
  <c r="B1" i="14"/>
  <c r="G2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1" i="15"/>
  <c r="G2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G370" i="14"/>
  <c r="G371" i="14"/>
  <c r="G372" i="14"/>
  <c r="G373" i="14"/>
  <c r="G374" i="14"/>
  <c r="G375" i="14"/>
  <c r="G376" i="14"/>
  <c r="G377" i="14"/>
  <c r="G378" i="14"/>
  <c r="G379" i="14"/>
  <c r="G380" i="14"/>
  <c r="G381" i="14"/>
  <c r="G382" i="14"/>
  <c r="G383" i="14"/>
  <c r="G384" i="14"/>
  <c r="G385" i="14"/>
  <c r="G386" i="14"/>
  <c r="G387" i="14"/>
  <c r="G388" i="14"/>
  <c r="G389" i="14"/>
  <c r="G390" i="14"/>
  <c r="G391" i="14"/>
  <c r="G392" i="14"/>
  <c r="G393" i="14"/>
  <c r="G394" i="14"/>
  <c r="G395" i="14"/>
  <c r="G396" i="14"/>
  <c r="G397" i="14"/>
  <c r="G398" i="14"/>
  <c r="G399" i="14"/>
  <c r="G400" i="14"/>
  <c r="G401" i="14"/>
  <c r="G402" i="14"/>
  <c r="G403" i="14"/>
  <c r="G404" i="14"/>
  <c r="G405" i="14"/>
  <c r="G406" i="14"/>
  <c r="G407" i="14"/>
  <c r="G408" i="14"/>
  <c r="G409" i="14"/>
  <c r="G410" i="14"/>
  <c r="G411" i="14"/>
  <c r="G412" i="14"/>
  <c r="G413" i="14"/>
  <c r="G414" i="14"/>
  <c r="G415" i="14"/>
  <c r="G416" i="14"/>
  <c r="G417" i="14"/>
  <c r="G418" i="14"/>
  <c r="G419" i="14"/>
  <c r="G420" i="14"/>
  <c r="G421" i="14"/>
  <c r="G422" i="14"/>
  <c r="G423" i="14"/>
  <c r="G424" i="14"/>
  <c r="G425" i="14"/>
  <c r="G426" i="14"/>
  <c r="G1" i="14"/>
  <c r="A2" i="14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5" i="14"/>
  <c r="A276" i="14"/>
  <c r="A277" i="14"/>
  <c r="A278" i="14"/>
  <c r="A279" i="14"/>
  <c r="A280" i="14"/>
  <c r="A281" i="14"/>
  <c r="A282" i="14"/>
  <c r="A283" i="14"/>
  <c r="A284" i="14"/>
  <c r="A285" i="14"/>
  <c r="A286" i="14"/>
  <c r="A287" i="14"/>
  <c r="A288" i="14"/>
  <c r="A289" i="14"/>
  <c r="A290" i="14"/>
  <c r="A291" i="14"/>
  <c r="A292" i="14"/>
  <c r="A293" i="14"/>
  <c r="A294" i="14"/>
  <c r="A295" i="14"/>
  <c r="A296" i="14"/>
  <c r="A297" i="14"/>
  <c r="A298" i="14"/>
  <c r="A299" i="14"/>
  <c r="A300" i="14"/>
  <c r="A301" i="14"/>
  <c r="A302" i="14"/>
  <c r="A303" i="14"/>
  <c r="A304" i="14"/>
  <c r="A305" i="14"/>
  <c r="A306" i="14"/>
  <c r="A307" i="14"/>
  <c r="A308" i="14"/>
  <c r="A309" i="14"/>
  <c r="A310" i="14"/>
  <c r="A311" i="14"/>
  <c r="A312" i="14"/>
  <c r="A313" i="14"/>
  <c r="A314" i="14"/>
  <c r="A315" i="14"/>
  <c r="A316" i="14"/>
  <c r="A317" i="14"/>
  <c r="A318" i="14"/>
  <c r="A319" i="14"/>
  <c r="A320" i="14"/>
  <c r="A321" i="14"/>
  <c r="A322" i="14"/>
  <c r="A323" i="14"/>
  <c r="A324" i="14"/>
  <c r="A325" i="14"/>
  <c r="A326" i="14"/>
  <c r="A327" i="14"/>
  <c r="A328" i="14"/>
  <c r="A329" i="14"/>
  <c r="A330" i="14"/>
  <c r="A331" i="14"/>
  <c r="A332" i="14"/>
  <c r="A333" i="14"/>
  <c r="A334" i="14"/>
  <c r="A335" i="14"/>
  <c r="A336" i="14"/>
  <c r="A337" i="14"/>
  <c r="A338" i="14"/>
  <c r="A339" i="14"/>
  <c r="A340" i="14"/>
  <c r="A341" i="14"/>
  <c r="A342" i="14"/>
  <c r="A343" i="14"/>
  <c r="A344" i="14"/>
  <c r="A345" i="14"/>
  <c r="A346" i="14"/>
  <c r="A347" i="14"/>
  <c r="A348" i="14"/>
  <c r="A349" i="14"/>
  <c r="A350" i="14"/>
  <c r="A351" i="14"/>
  <c r="A352" i="14"/>
  <c r="A353" i="14"/>
  <c r="A354" i="14"/>
  <c r="A355" i="14"/>
  <c r="A356" i="14"/>
  <c r="A357" i="14"/>
  <c r="A358" i="14"/>
  <c r="A359" i="14"/>
  <c r="A360" i="14"/>
  <c r="A361" i="14"/>
  <c r="A362" i="14"/>
  <c r="A363" i="14"/>
  <c r="A364" i="14"/>
  <c r="A365" i="14"/>
  <c r="A366" i="14"/>
  <c r="A367" i="14"/>
  <c r="A368" i="14"/>
  <c r="A369" i="14"/>
  <c r="A370" i="14"/>
  <c r="A371" i="14"/>
  <c r="A372" i="14"/>
  <c r="A373" i="14"/>
  <c r="A374" i="14"/>
  <c r="A375" i="14"/>
  <c r="A376" i="14"/>
  <c r="A377" i="14"/>
  <c r="A378" i="14"/>
  <c r="A379" i="14"/>
  <c r="A380" i="14"/>
  <c r="A381" i="14"/>
  <c r="A382" i="14"/>
  <c r="A383" i="14"/>
  <c r="A384" i="14"/>
  <c r="A385" i="14"/>
  <c r="A386" i="14"/>
  <c r="A387" i="14"/>
  <c r="A388" i="14"/>
  <c r="A389" i="14"/>
  <c r="A390" i="14"/>
  <c r="A391" i="14"/>
  <c r="A392" i="14"/>
  <c r="A393" i="14"/>
  <c r="A394" i="14"/>
  <c r="A395" i="14"/>
  <c r="A396" i="14"/>
  <c r="A397" i="14"/>
  <c r="A398" i="14"/>
  <c r="A399" i="14"/>
  <c r="A400" i="14"/>
  <c r="A401" i="14"/>
  <c r="A402" i="14"/>
  <c r="A403" i="14"/>
  <c r="A404" i="14"/>
  <c r="A405" i="14"/>
  <c r="A406" i="14"/>
  <c r="A407" i="14"/>
  <c r="A408" i="14"/>
  <c r="A409" i="14"/>
  <c r="A410" i="14"/>
  <c r="A411" i="14"/>
  <c r="A412" i="14"/>
  <c r="A413" i="14"/>
  <c r="A414" i="14"/>
  <c r="A415" i="14"/>
  <c r="A416" i="14"/>
  <c r="A417" i="14"/>
  <c r="A418" i="14"/>
  <c r="A419" i="14"/>
  <c r="A420" i="14"/>
  <c r="A421" i="14"/>
  <c r="A422" i="14"/>
  <c r="A423" i="14"/>
  <c r="A424" i="14"/>
  <c r="A425" i="14"/>
  <c r="A426" i="14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2" i="15"/>
  <c r="A3" i="15"/>
  <c r="A4" i="15"/>
  <c r="A5" i="15"/>
  <c r="A6" i="15"/>
  <c r="A7" i="15"/>
  <c r="A8" i="15"/>
  <c r="A1" i="15"/>
  <c r="A1" i="14"/>
  <c r="P238" i="5" l="1"/>
  <c r="O238" i="5"/>
  <c r="N238" i="5"/>
  <c r="M238" i="5"/>
  <c r="L238" i="5"/>
  <c r="P487" i="5"/>
  <c r="O487" i="5"/>
  <c r="N487" i="5"/>
  <c r="M487" i="5"/>
  <c r="L487" i="5"/>
  <c r="P55" i="5"/>
  <c r="O55" i="5"/>
  <c r="N55" i="5"/>
  <c r="M55" i="5"/>
  <c r="L55" i="5"/>
  <c r="P228" i="5"/>
  <c r="O228" i="5"/>
  <c r="N228" i="5"/>
  <c r="M228" i="5"/>
  <c r="L228" i="5"/>
  <c r="P200" i="5"/>
  <c r="O200" i="5"/>
  <c r="N200" i="5"/>
  <c r="M200" i="5"/>
  <c r="L200" i="5"/>
  <c r="P429" i="5"/>
  <c r="O429" i="5"/>
  <c r="N429" i="5"/>
  <c r="M429" i="5"/>
  <c r="L429" i="5"/>
  <c r="P102" i="5"/>
  <c r="O102" i="5"/>
  <c r="N102" i="5"/>
  <c r="M102" i="5"/>
  <c r="L102" i="5"/>
  <c r="P63" i="5"/>
  <c r="O63" i="5"/>
  <c r="N63" i="5"/>
  <c r="M63" i="5"/>
  <c r="L63" i="5"/>
  <c r="P509" i="5"/>
  <c r="O509" i="5"/>
  <c r="N509" i="5"/>
  <c r="M509" i="5"/>
  <c r="L509" i="5"/>
  <c r="P210" i="5"/>
  <c r="O210" i="5"/>
  <c r="N210" i="5"/>
  <c r="M210" i="5"/>
  <c r="L210" i="5"/>
  <c r="P40" i="5"/>
  <c r="O40" i="5"/>
  <c r="N40" i="5"/>
  <c r="M40" i="5"/>
  <c r="L40" i="5"/>
  <c r="P237" i="5"/>
  <c r="O237" i="5"/>
  <c r="N237" i="5"/>
  <c r="M237" i="5"/>
  <c r="L237" i="5"/>
  <c r="P167" i="5"/>
  <c r="O167" i="5"/>
  <c r="N167" i="5"/>
  <c r="M167" i="5"/>
  <c r="L167" i="5"/>
  <c r="P203" i="5"/>
  <c r="O203" i="5"/>
  <c r="N203" i="5"/>
  <c r="M203" i="5"/>
  <c r="L203" i="5"/>
  <c r="P385" i="5"/>
  <c r="O385" i="5"/>
  <c r="N385" i="5"/>
  <c r="M385" i="5"/>
  <c r="L385" i="5"/>
  <c r="P93" i="5"/>
  <c r="O93" i="5"/>
  <c r="N93" i="5"/>
  <c r="M93" i="5"/>
  <c r="L93" i="5"/>
  <c r="P271" i="5"/>
  <c r="O271" i="5"/>
  <c r="N271" i="5"/>
  <c r="M271" i="5"/>
  <c r="L271" i="5"/>
  <c r="P528" i="5"/>
  <c r="O528" i="5"/>
  <c r="N528" i="5"/>
  <c r="M528" i="5"/>
  <c r="L528" i="5"/>
  <c r="P464" i="5"/>
  <c r="O464" i="5"/>
  <c r="N464" i="5"/>
  <c r="M464" i="5"/>
  <c r="L464" i="5"/>
  <c r="P14" i="5"/>
  <c r="O14" i="5"/>
  <c r="N14" i="5"/>
  <c r="M14" i="5"/>
  <c r="L14" i="5"/>
  <c r="P396" i="5"/>
  <c r="O396" i="5"/>
  <c r="N396" i="5"/>
  <c r="M396" i="5"/>
  <c r="L396" i="5"/>
  <c r="P370" i="5"/>
  <c r="O370" i="5"/>
  <c r="N370" i="5"/>
  <c r="M370" i="5"/>
  <c r="L370" i="5"/>
  <c r="P73" i="5"/>
  <c r="O73" i="5"/>
  <c r="N73" i="5"/>
  <c r="M73" i="5"/>
  <c r="L73" i="5"/>
  <c r="P327" i="5"/>
  <c r="O327" i="5"/>
  <c r="N327" i="5"/>
  <c r="M327" i="5"/>
  <c r="L327" i="5"/>
  <c r="P106" i="5"/>
  <c r="O106" i="5"/>
  <c r="N106" i="5"/>
  <c r="M106" i="5"/>
  <c r="L106" i="5"/>
  <c r="P139" i="5"/>
  <c r="O139" i="5"/>
  <c r="N139" i="5"/>
  <c r="M139" i="5"/>
  <c r="L139" i="5"/>
  <c r="P449" i="5"/>
  <c r="O449" i="5"/>
  <c r="N449" i="5"/>
  <c r="M449" i="5"/>
  <c r="L449" i="5"/>
  <c r="P360" i="5"/>
  <c r="O360" i="5"/>
  <c r="N360" i="5"/>
  <c r="M360" i="5"/>
  <c r="L360" i="5"/>
  <c r="P465" i="5"/>
  <c r="O465" i="5"/>
  <c r="N465" i="5"/>
  <c r="M465" i="5"/>
  <c r="L465" i="5"/>
  <c r="P99" i="5"/>
  <c r="O99" i="5"/>
  <c r="N99" i="5"/>
  <c r="M99" i="5"/>
  <c r="L99" i="5"/>
  <c r="P442" i="5"/>
  <c r="O442" i="5"/>
  <c r="N442" i="5"/>
  <c r="M442" i="5"/>
  <c r="L442" i="5"/>
  <c r="P463" i="5"/>
  <c r="O463" i="5"/>
  <c r="N463" i="5"/>
  <c r="M463" i="5"/>
  <c r="L463" i="5"/>
  <c r="P457" i="5"/>
  <c r="O457" i="5"/>
  <c r="N457" i="5"/>
  <c r="M457" i="5"/>
  <c r="L457" i="5"/>
  <c r="P39" i="5"/>
  <c r="O39" i="5"/>
  <c r="N39" i="5"/>
  <c r="M39" i="5"/>
  <c r="L39" i="5"/>
  <c r="P430" i="5"/>
  <c r="O430" i="5"/>
  <c r="N430" i="5"/>
  <c r="M430" i="5"/>
  <c r="L430" i="5"/>
  <c r="P97" i="5"/>
  <c r="O97" i="5"/>
  <c r="N97" i="5"/>
  <c r="M97" i="5"/>
  <c r="L97" i="5"/>
  <c r="P75" i="5"/>
  <c r="O75" i="5"/>
  <c r="N75" i="5"/>
  <c r="M75" i="5"/>
  <c r="L75" i="5"/>
  <c r="P400" i="5"/>
  <c r="O400" i="5"/>
  <c r="N400" i="5"/>
  <c r="M400" i="5"/>
  <c r="L400" i="5"/>
  <c r="P175" i="5"/>
  <c r="O175" i="5"/>
  <c r="N175" i="5"/>
  <c r="M175" i="5"/>
  <c r="L175" i="5"/>
  <c r="P212" i="5"/>
  <c r="O212" i="5"/>
  <c r="N212" i="5"/>
  <c r="M212" i="5"/>
  <c r="L212" i="5"/>
  <c r="P181" i="5"/>
  <c r="O181" i="5"/>
  <c r="N181" i="5"/>
  <c r="M181" i="5"/>
  <c r="L181" i="5"/>
  <c r="P338" i="5"/>
  <c r="O338" i="5"/>
  <c r="N338" i="5"/>
  <c r="M338" i="5"/>
  <c r="L338" i="5"/>
  <c r="P392" i="5"/>
  <c r="O392" i="5"/>
  <c r="N392" i="5"/>
  <c r="M392" i="5"/>
  <c r="L392" i="5"/>
  <c r="P5" i="5"/>
  <c r="O5" i="5"/>
  <c r="N5" i="5"/>
  <c r="M5" i="5"/>
  <c r="L5" i="5"/>
  <c r="P303" i="5"/>
  <c r="O303" i="5"/>
  <c r="N303" i="5"/>
  <c r="M303" i="5"/>
  <c r="L303" i="5"/>
  <c r="P162" i="5"/>
  <c r="O162" i="5"/>
  <c r="N162" i="5"/>
  <c r="M162" i="5"/>
  <c r="L162" i="5"/>
  <c r="P270" i="5"/>
  <c r="O270" i="5"/>
  <c r="N270" i="5"/>
  <c r="M270" i="5"/>
  <c r="L270" i="5"/>
  <c r="P423" i="5"/>
  <c r="O423" i="5"/>
  <c r="N423" i="5"/>
  <c r="M423" i="5"/>
  <c r="L423" i="5"/>
  <c r="P437" i="5"/>
  <c r="O437" i="5"/>
  <c r="N437" i="5"/>
  <c r="M437" i="5"/>
  <c r="L437" i="5"/>
  <c r="P78" i="5"/>
  <c r="O78" i="5"/>
  <c r="N78" i="5"/>
  <c r="M78" i="5"/>
  <c r="L78" i="5"/>
  <c r="P177" i="5"/>
  <c r="O177" i="5"/>
  <c r="N177" i="5"/>
  <c r="M177" i="5"/>
  <c r="L177" i="5"/>
  <c r="P389" i="5"/>
  <c r="O389" i="5"/>
  <c r="N389" i="5"/>
  <c r="M389" i="5"/>
  <c r="L389" i="5"/>
  <c r="P384" i="5"/>
  <c r="O384" i="5"/>
  <c r="N384" i="5"/>
  <c r="M384" i="5"/>
  <c r="L384" i="5"/>
  <c r="P90" i="5"/>
  <c r="O90" i="5"/>
  <c r="N90" i="5"/>
  <c r="M90" i="5"/>
  <c r="L90" i="5"/>
  <c r="P79" i="5"/>
  <c r="O79" i="5"/>
  <c r="N79" i="5"/>
  <c r="M79" i="5"/>
  <c r="L79" i="5"/>
  <c r="P414" i="5"/>
  <c r="O414" i="5"/>
  <c r="N414" i="5"/>
  <c r="M414" i="5"/>
  <c r="L414" i="5"/>
  <c r="P191" i="5"/>
  <c r="O191" i="5"/>
  <c r="N191" i="5"/>
  <c r="M191" i="5"/>
  <c r="L191" i="5"/>
  <c r="P34" i="5"/>
  <c r="O34" i="5"/>
  <c r="N34" i="5"/>
  <c r="M34" i="5"/>
  <c r="L34" i="5"/>
  <c r="P494" i="5"/>
  <c r="O494" i="5"/>
  <c r="N494" i="5"/>
  <c r="M494" i="5"/>
  <c r="L494" i="5"/>
  <c r="P221" i="5"/>
  <c r="O221" i="5"/>
  <c r="N221" i="5"/>
  <c r="M221" i="5"/>
  <c r="L221" i="5"/>
  <c r="P69" i="5"/>
  <c r="O69" i="5"/>
  <c r="N69" i="5"/>
  <c r="M69" i="5"/>
  <c r="L69" i="5"/>
  <c r="P513" i="5"/>
  <c r="O513" i="5"/>
  <c r="N513" i="5"/>
  <c r="M513" i="5"/>
  <c r="L513" i="5"/>
  <c r="P398" i="5"/>
  <c r="O398" i="5"/>
  <c r="N398" i="5"/>
  <c r="M398" i="5"/>
  <c r="L398" i="5"/>
  <c r="P472" i="5"/>
  <c r="O472" i="5"/>
  <c r="N472" i="5"/>
  <c r="M472" i="5"/>
  <c r="L472" i="5"/>
  <c r="P394" i="5"/>
  <c r="O394" i="5"/>
  <c r="N394" i="5"/>
  <c r="M394" i="5"/>
  <c r="L394" i="5"/>
  <c r="P524" i="5"/>
  <c r="O524" i="5"/>
  <c r="N524" i="5"/>
  <c r="M524" i="5"/>
  <c r="L524" i="5"/>
  <c r="P326" i="5"/>
  <c r="O326" i="5"/>
  <c r="N326" i="5"/>
  <c r="M326" i="5"/>
  <c r="L326" i="5"/>
  <c r="P47" i="5"/>
  <c r="O47" i="5"/>
  <c r="N47" i="5"/>
  <c r="M47" i="5"/>
  <c r="L47" i="5"/>
  <c r="P13" i="5"/>
  <c r="O13" i="5"/>
  <c r="N13" i="5"/>
  <c r="M13" i="5"/>
  <c r="L13" i="5"/>
  <c r="P43" i="5"/>
  <c r="O43" i="5"/>
  <c r="N43" i="5"/>
  <c r="M43" i="5"/>
  <c r="L43" i="5"/>
  <c r="P432" i="5"/>
  <c r="O432" i="5"/>
  <c r="N432" i="5"/>
  <c r="M432" i="5"/>
  <c r="L432" i="5"/>
  <c r="P502" i="5"/>
  <c r="O502" i="5"/>
  <c r="N502" i="5"/>
  <c r="M502" i="5"/>
  <c r="L502" i="5"/>
  <c r="P314" i="5"/>
  <c r="O314" i="5"/>
  <c r="N314" i="5"/>
  <c r="M314" i="5"/>
  <c r="L314" i="5"/>
  <c r="P129" i="5"/>
  <c r="O129" i="5"/>
  <c r="N129" i="5"/>
  <c r="M129" i="5"/>
  <c r="L129" i="5"/>
  <c r="P115" i="5"/>
  <c r="O115" i="5"/>
  <c r="N115" i="5"/>
  <c r="M115" i="5"/>
  <c r="L115" i="5"/>
  <c r="P282" i="5"/>
  <c r="O282" i="5"/>
  <c r="N282" i="5"/>
  <c r="M282" i="5"/>
  <c r="L282" i="5"/>
  <c r="P140" i="5"/>
  <c r="O140" i="5"/>
  <c r="N140" i="5"/>
  <c r="M140" i="5"/>
  <c r="L140" i="5"/>
  <c r="P486" i="5"/>
  <c r="O486" i="5"/>
  <c r="N486" i="5"/>
  <c r="M486" i="5"/>
  <c r="L486" i="5"/>
  <c r="P333" i="5"/>
  <c r="O333" i="5"/>
  <c r="N333" i="5"/>
  <c r="M333" i="5"/>
  <c r="L333" i="5"/>
  <c r="P456" i="5"/>
  <c r="O456" i="5"/>
  <c r="N456" i="5"/>
  <c r="M456" i="5"/>
  <c r="L456" i="5"/>
  <c r="P363" i="5"/>
  <c r="O363" i="5"/>
  <c r="N363" i="5"/>
  <c r="M363" i="5"/>
  <c r="L363" i="5"/>
  <c r="P84" i="5"/>
  <c r="O84" i="5"/>
  <c r="N84" i="5"/>
  <c r="M84" i="5"/>
  <c r="L84" i="5"/>
  <c r="P199" i="5"/>
  <c r="O199" i="5"/>
  <c r="N199" i="5"/>
  <c r="M199" i="5"/>
  <c r="L199" i="5"/>
  <c r="P142" i="5"/>
  <c r="O142" i="5"/>
  <c r="N142" i="5"/>
  <c r="M142" i="5"/>
  <c r="L142" i="5"/>
  <c r="P322" i="5"/>
  <c r="O322" i="5"/>
  <c r="N322" i="5"/>
  <c r="M322" i="5"/>
  <c r="L322" i="5"/>
  <c r="P520" i="5"/>
  <c r="O520" i="5"/>
  <c r="N520" i="5"/>
  <c r="M520" i="5"/>
  <c r="L520" i="5"/>
  <c r="P29" i="5"/>
  <c r="O29" i="5"/>
  <c r="N29" i="5"/>
  <c r="M29" i="5"/>
  <c r="L29" i="5"/>
  <c r="P439" i="5"/>
  <c r="O439" i="5"/>
  <c r="N439" i="5"/>
  <c r="M439" i="5"/>
  <c r="L439" i="5"/>
  <c r="P8" i="5"/>
  <c r="O8" i="5"/>
  <c r="N8" i="5"/>
  <c r="M8" i="5"/>
  <c r="L8" i="5"/>
  <c r="P397" i="5"/>
  <c r="O397" i="5"/>
  <c r="N397" i="5"/>
  <c r="M397" i="5"/>
  <c r="L397" i="5"/>
  <c r="P334" i="5"/>
  <c r="O334" i="5"/>
  <c r="N334" i="5"/>
  <c r="M334" i="5"/>
  <c r="L334" i="5"/>
  <c r="P95" i="5"/>
  <c r="O95" i="5"/>
  <c r="N95" i="5"/>
  <c r="M95" i="5"/>
  <c r="L95" i="5"/>
  <c r="P86" i="5"/>
  <c r="O86" i="5"/>
  <c r="N86" i="5"/>
  <c r="M86" i="5"/>
  <c r="L86" i="5"/>
  <c r="P445" i="5"/>
  <c r="O445" i="5"/>
  <c r="N445" i="5"/>
  <c r="M445" i="5"/>
  <c r="L445" i="5"/>
  <c r="P51" i="5"/>
  <c r="O51" i="5"/>
  <c r="N51" i="5"/>
  <c r="M51" i="5"/>
  <c r="L51" i="5"/>
  <c r="P444" i="5"/>
  <c r="O444" i="5"/>
  <c r="N444" i="5"/>
  <c r="M444" i="5"/>
  <c r="L444" i="5"/>
  <c r="P168" i="5"/>
  <c r="O168" i="5"/>
  <c r="N168" i="5"/>
  <c r="M168" i="5"/>
  <c r="L168" i="5"/>
  <c r="P121" i="5"/>
  <c r="O121" i="5"/>
  <c r="N121" i="5"/>
  <c r="M121" i="5"/>
  <c r="L121" i="5"/>
  <c r="P292" i="5"/>
  <c r="O292" i="5"/>
  <c r="N292" i="5"/>
  <c r="M292" i="5"/>
  <c r="L292" i="5"/>
  <c r="P201" i="5"/>
  <c r="O201" i="5"/>
  <c r="N201" i="5"/>
  <c r="M201" i="5"/>
  <c r="L201" i="5"/>
  <c r="P240" i="5"/>
  <c r="O240" i="5"/>
  <c r="N240" i="5"/>
  <c r="M240" i="5"/>
  <c r="L240" i="5"/>
  <c r="P471" i="5"/>
  <c r="O471" i="5"/>
  <c r="N471" i="5"/>
  <c r="M471" i="5"/>
  <c r="L471" i="5"/>
  <c r="P473" i="5"/>
  <c r="O473" i="5"/>
  <c r="N473" i="5"/>
  <c r="M473" i="5"/>
  <c r="L473" i="5"/>
  <c r="P244" i="5"/>
  <c r="O244" i="5"/>
  <c r="N244" i="5"/>
  <c r="M244" i="5"/>
  <c r="L244" i="5"/>
  <c r="P515" i="5"/>
  <c r="O515" i="5"/>
  <c r="N515" i="5"/>
  <c r="M515" i="5"/>
  <c r="L515" i="5"/>
  <c r="P352" i="5"/>
  <c r="O352" i="5"/>
  <c r="N352" i="5"/>
  <c r="M352" i="5"/>
  <c r="L352" i="5"/>
  <c r="P529" i="5"/>
  <c r="O529" i="5"/>
  <c r="N529" i="5"/>
  <c r="M529" i="5"/>
  <c r="L529" i="5"/>
  <c r="P404" i="5"/>
  <c r="O404" i="5"/>
  <c r="N404" i="5"/>
  <c r="M404" i="5"/>
  <c r="L404" i="5"/>
  <c r="P94" i="5"/>
  <c r="O94" i="5"/>
  <c r="N94" i="5"/>
  <c r="M94" i="5"/>
  <c r="L94" i="5"/>
  <c r="P151" i="5"/>
  <c r="O151" i="5"/>
  <c r="N151" i="5"/>
  <c r="M151" i="5"/>
  <c r="L151" i="5"/>
  <c r="P489" i="5"/>
  <c r="O489" i="5"/>
  <c r="N489" i="5"/>
  <c r="M489" i="5"/>
  <c r="L489" i="5"/>
  <c r="P330" i="5"/>
  <c r="O330" i="5"/>
  <c r="N330" i="5"/>
  <c r="M330" i="5"/>
  <c r="L330" i="5"/>
  <c r="P41" i="5"/>
  <c r="O41" i="5"/>
  <c r="N41" i="5"/>
  <c r="M41" i="5"/>
  <c r="L41" i="5"/>
  <c r="P337" i="5"/>
  <c r="O337" i="5"/>
  <c r="N337" i="5"/>
  <c r="M337" i="5"/>
  <c r="L337" i="5"/>
  <c r="P231" i="5"/>
  <c r="O231" i="5"/>
  <c r="N231" i="5"/>
  <c r="M231" i="5"/>
  <c r="L231" i="5"/>
  <c r="P169" i="5"/>
  <c r="O169" i="5"/>
  <c r="N169" i="5"/>
  <c r="M169" i="5"/>
  <c r="L169" i="5"/>
  <c r="P234" i="5"/>
  <c r="O234" i="5"/>
  <c r="N234" i="5"/>
  <c r="M234" i="5"/>
  <c r="L234" i="5"/>
  <c r="P373" i="5"/>
  <c r="O373" i="5"/>
  <c r="N373" i="5"/>
  <c r="M373" i="5"/>
  <c r="L373" i="5"/>
  <c r="P318" i="5"/>
  <c r="O318" i="5"/>
  <c r="N318" i="5"/>
  <c r="M318" i="5"/>
  <c r="L318" i="5"/>
  <c r="P387" i="5"/>
  <c r="O387" i="5"/>
  <c r="N387" i="5"/>
  <c r="M387" i="5"/>
  <c r="L387" i="5"/>
  <c r="P505" i="5"/>
  <c r="O505" i="5"/>
  <c r="N505" i="5"/>
  <c r="M505" i="5"/>
  <c r="L505" i="5"/>
  <c r="P532" i="5"/>
  <c r="O532" i="5"/>
  <c r="N532" i="5"/>
  <c r="M532" i="5"/>
  <c r="L532" i="5"/>
  <c r="P261" i="5"/>
  <c r="O261" i="5"/>
  <c r="N261" i="5"/>
  <c r="M261" i="5"/>
  <c r="L261" i="5"/>
  <c r="P495" i="5"/>
  <c r="O495" i="5"/>
  <c r="N495" i="5"/>
  <c r="M495" i="5"/>
  <c r="L495" i="5"/>
  <c r="P466" i="5"/>
  <c r="O466" i="5"/>
  <c r="N466" i="5"/>
  <c r="M466" i="5"/>
  <c r="L466" i="5"/>
  <c r="P190" i="5"/>
  <c r="O190" i="5"/>
  <c r="N190" i="5"/>
  <c r="M190" i="5"/>
  <c r="L190" i="5"/>
  <c r="P493" i="5"/>
  <c r="O493" i="5"/>
  <c r="N493" i="5"/>
  <c r="M493" i="5"/>
  <c r="L493" i="5"/>
  <c r="P468" i="5"/>
  <c r="O468" i="5"/>
  <c r="N468" i="5"/>
  <c r="M468" i="5"/>
  <c r="L468" i="5"/>
  <c r="P447" i="5"/>
  <c r="O447" i="5"/>
  <c r="N447" i="5"/>
  <c r="M447" i="5"/>
  <c r="L447" i="5"/>
  <c r="P374" i="5"/>
  <c r="O374" i="5"/>
  <c r="N374" i="5"/>
  <c r="M374" i="5"/>
  <c r="L374" i="5"/>
  <c r="P12" i="5"/>
  <c r="O12" i="5"/>
  <c r="N12" i="5"/>
  <c r="M12" i="5"/>
  <c r="L12" i="5"/>
  <c r="P88" i="5"/>
  <c r="O88" i="5"/>
  <c r="N88" i="5"/>
  <c r="M88" i="5"/>
  <c r="L88" i="5"/>
  <c r="P101" i="5"/>
  <c r="O101" i="5"/>
  <c r="N101" i="5"/>
  <c r="M101" i="5"/>
  <c r="L101" i="5"/>
  <c r="P242" i="5"/>
  <c r="O242" i="5"/>
  <c r="N242" i="5"/>
  <c r="M242" i="5"/>
  <c r="L242" i="5"/>
  <c r="P340" i="5"/>
  <c r="O340" i="5"/>
  <c r="N340" i="5"/>
  <c r="M340" i="5"/>
  <c r="L340" i="5"/>
  <c r="P458" i="5"/>
  <c r="O458" i="5"/>
  <c r="N458" i="5"/>
  <c r="M458" i="5"/>
  <c r="L458" i="5"/>
  <c r="P213" i="5"/>
  <c r="O213" i="5"/>
  <c r="N213" i="5"/>
  <c r="M213" i="5"/>
  <c r="L213" i="5"/>
  <c r="P436" i="5"/>
  <c r="O436" i="5"/>
  <c r="N436" i="5"/>
  <c r="M436" i="5"/>
  <c r="L436" i="5"/>
  <c r="P37" i="5"/>
  <c r="O37" i="5"/>
  <c r="N37" i="5"/>
  <c r="M37" i="5"/>
  <c r="L37" i="5"/>
  <c r="P307" i="5"/>
  <c r="O307" i="5"/>
  <c r="N307" i="5"/>
  <c r="M307" i="5"/>
  <c r="L307" i="5"/>
  <c r="P82" i="5"/>
  <c r="O82" i="5"/>
  <c r="N82" i="5"/>
  <c r="M82" i="5"/>
  <c r="L82" i="5"/>
  <c r="P193" i="5"/>
  <c r="O193" i="5"/>
  <c r="N193" i="5"/>
  <c r="M193" i="5"/>
  <c r="L193" i="5"/>
  <c r="P406" i="5"/>
  <c r="O406" i="5"/>
  <c r="N406" i="5"/>
  <c r="M406" i="5"/>
  <c r="L406" i="5"/>
  <c r="P446" i="5"/>
  <c r="O446" i="5"/>
  <c r="N446" i="5"/>
  <c r="M446" i="5"/>
  <c r="L446" i="5"/>
  <c r="P18" i="5"/>
  <c r="O18" i="5"/>
  <c r="N18" i="5"/>
  <c r="M18" i="5"/>
  <c r="L18" i="5"/>
  <c r="P229" i="5"/>
  <c r="O229" i="5"/>
  <c r="N229" i="5"/>
  <c r="M229" i="5"/>
  <c r="L229" i="5"/>
  <c r="P114" i="5"/>
  <c r="O114" i="5"/>
  <c r="N114" i="5"/>
  <c r="M114" i="5"/>
  <c r="L114" i="5"/>
  <c r="P36" i="5"/>
  <c r="O36" i="5"/>
  <c r="N36" i="5"/>
  <c r="M36" i="5"/>
  <c r="L36" i="5"/>
  <c r="P133" i="5"/>
  <c r="O133" i="5"/>
  <c r="N133" i="5"/>
  <c r="M133" i="5"/>
  <c r="L133" i="5"/>
  <c r="P157" i="5"/>
  <c r="O157" i="5"/>
  <c r="N157" i="5"/>
  <c r="M157" i="5"/>
  <c r="L157" i="5"/>
  <c r="P347" i="5"/>
  <c r="O347" i="5"/>
  <c r="N347" i="5"/>
  <c r="M347" i="5"/>
  <c r="L347" i="5"/>
  <c r="P522" i="5"/>
  <c r="O522" i="5"/>
  <c r="N522" i="5"/>
  <c r="M522" i="5"/>
  <c r="L522" i="5"/>
  <c r="P507" i="5"/>
  <c r="O507" i="5"/>
  <c r="N507" i="5"/>
  <c r="M507" i="5"/>
  <c r="L507" i="5"/>
  <c r="P435" i="5"/>
  <c r="O435" i="5"/>
  <c r="N435" i="5"/>
  <c r="M435" i="5"/>
  <c r="L435" i="5"/>
  <c r="P278" i="5"/>
  <c r="O278" i="5"/>
  <c r="N278" i="5"/>
  <c r="M278" i="5"/>
  <c r="L278" i="5"/>
  <c r="P236" i="5"/>
  <c r="O236" i="5"/>
  <c r="N236" i="5"/>
  <c r="M236" i="5"/>
  <c r="L236" i="5"/>
  <c r="P517" i="5"/>
  <c r="O517" i="5"/>
  <c r="N517" i="5"/>
  <c r="M517" i="5"/>
  <c r="L517" i="5"/>
  <c r="P290" i="5"/>
  <c r="O290" i="5"/>
  <c r="N290" i="5"/>
  <c r="M290" i="5"/>
  <c r="L290" i="5"/>
  <c r="P369" i="5"/>
  <c r="O369" i="5"/>
  <c r="N369" i="5"/>
  <c r="M369" i="5"/>
  <c r="L369" i="5"/>
  <c r="P62" i="5"/>
  <c r="O62" i="5"/>
  <c r="N62" i="5"/>
  <c r="M62" i="5"/>
  <c r="L62" i="5"/>
  <c r="P207" i="5"/>
  <c r="O207" i="5"/>
  <c r="N207" i="5"/>
  <c r="M207" i="5"/>
  <c r="L207" i="5"/>
  <c r="P273" i="5"/>
  <c r="O273" i="5"/>
  <c r="N273" i="5"/>
  <c r="M273" i="5"/>
  <c r="L273" i="5"/>
  <c r="P208" i="5"/>
  <c r="O208" i="5"/>
  <c r="N208" i="5"/>
  <c r="M208" i="5"/>
  <c r="L208" i="5"/>
  <c r="P59" i="5"/>
  <c r="O59" i="5"/>
  <c r="N59" i="5"/>
  <c r="M59" i="5"/>
  <c r="L59" i="5"/>
  <c r="P348" i="5"/>
  <c r="O348" i="5"/>
  <c r="N348" i="5"/>
  <c r="M348" i="5"/>
  <c r="L348" i="5"/>
  <c r="P480" i="5"/>
  <c r="O480" i="5"/>
  <c r="N480" i="5"/>
  <c r="M480" i="5"/>
  <c r="L480" i="5"/>
  <c r="P512" i="5"/>
  <c r="O512" i="5"/>
  <c r="N512" i="5"/>
  <c r="M512" i="5"/>
  <c r="L512" i="5"/>
  <c r="P294" i="5"/>
  <c r="O294" i="5"/>
  <c r="N294" i="5"/>
  <c r="M294" i="5"/>
  <c r="L294" i="5"/>
  <c r="P280" i="5"/>
  <c r="O280" i="5"/>
  <c r="N280" i="5"/>
  <c r="M280" i="5"/>
  <c r="L280" i="5"/>
  <c r="P153" i="5"/>
  <c r="O153" i="5"/>
  <c r="N153" i="5"/>
  <c r="M153" i="5"/>
  <c r="L153" i="5"/>
  <c r="P26" i="5"/>
  <c r="O26" i="5"/>
  <c r="N26" i="5"/>
  <c r="M26" i="5"/>
  <c r="L26" i="5"/>
  <c r="P410" i="5"/>
  <c r="O410" i="5"/>
  <c r="N410" i="5"/>
  <c r="M410" i="5"/>
  <c r="L410" i="5"/>
  <c r="P378" i="5"/>
  <c r="O378" i="5"/>
  <c r="N378" i="5"/>
  <c r="M378" i="5"/>
  <c r="L378" i="5"/>
  <c r="P302" i="5"/>
  <c r="O302" i="5"/>
  <c r="N302" i="5"/>
  <c r="M302" i="5"/>
  <c r="L302" i="5"/>
  <c r="P112" i="5"/>
  <c r="O112" i="5"/>
  <c r="N112" i="5"/>
  <c r="M112" i="5"/>
  <c r="L112" i="5"/>
  <c r="P189" i="5"/>
  <c r="O189" i="5"/>
  <c r="N189" i="5"/>
  <c r="M189" i="5"/>
  <c r="L189" i="5"/>
  <c r="P83" i="5"/>
  <c r="O83" i="5"/>
  <c r="N83" i="5"/>
  <c r="M83" i="5"/>
  <c r="L83" i="5"/>
  <c r="P321" i="5"/>
  <c r="O321" i="5"/>
  <c r="N321" i="5"/>
  <c r="M321" i="5"/>
  <c r="L321" i="5"/>
  <c r="P246" i="5"/>
  <c r="O246" i="5"/>
  <c r="N246" i="5"/>
  <c r="M246" i="5"/>
  <c r="L246" i="5"/>
  <c r="P132" i="5"/>
  <c r="O132" i="5"/>
  <c r="N132" i="5"/>
  <c r="M132" i="5"/>
  <c r="L132" i="5"/>
  <c r="P277" i="5"/>
  <c r="O277" i="5"/>
  <c r="N277" i="5"/>
  <c r="M277" i="5"/>
  <c r="L277" i="5"/>
  <c r="P217" i="5"/>
  <c r="O217" i="5"/>
  <c r="N217" i="5"/>
  <c r="M217" i="5"/>
  <c r="L217" i="5"/>
  <c r="P259" i="5"/>
  <c r="O259" i="5"/>
  <c r="N259" i="5"/>
  <c r="M259" i="5"/>
  <c r="L259" i="5"/>
  <c r="P477" i="5"/>
  <c r="O477" i="5"/>
  <c r="N477" i="5"/>
  <c r="M477" i="5"/>
  <c r="L477" i="5"/>
  <c r="P103" i="5"/>
  <c r="O103" i="5"/>
  <c r="N103" i="5"/>
  <c r="M103" i="5"/>
  <c r="L103" i="5"/>
  <c r="P9" i="5"/>
  <c r="O9" i="5"/>
  <c r="N9" i="5"/>
  <c r="M9" i="5"/>
  <c r="L9" i="5"/>
  <c r="P27" i="5"/>
  <c r="O27" i="5"/>
  <c r="N27" i="5"/>
  <c r="M27" i="5"/>
  <c r="L27" i="5"/>
  <c r="P485" i="5"/>
  <c r="O485" i="5"/>
  <c r="N485" i="5"/>
  <c r="M485" i="5"/>
  <c r="L485" i="5"/>
  <c r="P197" i="5"/>
  <c r="O197" i="5"/>
  <c r="N197" i="5"/>
  <c r="M197" i="5"/>
  <c r="L197" i="5"/>
  <c r="P496" i="5"/>
  <c r="O496" i="5"/>
  <c r="N496" i="5"/>
  <c r="M496" i="5"/>
  <c r="L496" i="5"/>
  <c r="P359" i="5"/>
  <c r="O359" i="5"/>
  <c r="N359" i="5"/>
  <c r="M359" i="5"/>
  <c r="L359" i="5"/>
  <c r="P521" i="5"/>
  <c r="O521" i="5"/>
  <c r="N521" i="5"/>
  <c r="M521" i="5"/>
  <c r="L521" i="5"/>
  <c r="P514" i="5"/>
  <c r="O514" i="5"/>
  <c r="N514" i="5"/>
  <c r="M514" i="5"/>
  <c r="L514" i="5"/>
  <c r="P247" i="5"/>
  <c r="O247" i="5"/>
  <c r="N247" i="5"/>
  <c r="M247" i="5"/>
  <c r="L247" i="5"/>
  <c r="P44" i="5"/>
  <c r="O44" i="5"/>
  <c r="N44" i="5"/>
  <c r="M44" i="5"/>
  <c r="L44" i="5"/>
  <c r="P417" i="5"/>
  <c r="O417" i="5"/>
  <c r="N417" i="5"/>
  <c r="M417" i="5"/>
  <c r="L417" i="5"/>
  <c r="P70" i="5"/>
  <c r="O70" i="5"/>
  <c r="N70" i="5"/>
  <c r="M70" i="5"/>
  <c r="L70" i="5"/>
  <c r="P224" i="5"/>
  <c r="O224" i="5"/>
  <c r="N224" i="5"/>
  <c r="M224" i="5"/>
  <c r="L224" i="5"/>
  <c r="P185" i="5"/>
  <c r="O185" i="5"/>
  <c r="N185" i="5"/>
  <c r="M185" i="5"/>
  <c r="L185" i="5"/>
  <c r="P530" i="5"/>
  <c r="O530" i="5"/>
  <c r="N530" i="5"/>
  <c r="M530" i="5"/>
  <c r="L530" i="5"/>
  <c r="P4" i="5"/>
  <c r="O4" i="5"/>
  <c r="N4" i="5"/>
  <c r="M4" i="5"/>
  <c r="L4" i="5"/>
  <c r="P484" i="5"/>
  <c r="O484" i="5"/>
  <c r="N484" i="5"/>
  <c r="M484" i="5"/>
  <c r="L484" i="5"/>
  <c r="P498" i="5"/>
  <c r="O498" i="5"/>
  <c r="N498" i="5"/>
  <c r="M498" i="5"/>
  <c r="L498" i="5"/>
  <c r="P474" i="5"/>
  <c r="O474" i="5"/>
  <c r="N474" i="5"/>
  <c r="M474" i="5"/>
  <c r="L474" i="5"/>
  <c r="P331" i="5"/>
  <c r="O331" i="5"/>
  <c r="N331" i="5"/>
  <c r="M331" i="5"/>
  <c r="L331" i="5"/>
  <c r="P104" i="5"/>
  <c r="O104" i="5"/>
  <c r="N104" i="5"/>
  <c r="M104" i="5"/>
  <c r="L104" i="5"/>
  <c r="P91" i="5"/>
  <c r="O91" i="5"/>
  <c r="N91" i="5"/>
  <c r="M91" i="5"/>
  <c r="L91" i="5"/>
  <c r="P245" i="5"/>
  <c r="O245" i="5"/>
  <c r="N245" i="5"/>
  <c r="M245" i="5"/>
  <c r="L245" i="5"/>
  <c r="P342" i="5"/>
  <c r="O342" i="5"/>
  <c r="N342" i="5"/>
  <c r="M342" i="5"/>
  <c r="L342" i="5"/>
  <c r="P422" i="5"/>
  <c r="O422" i="5"/>
  <c r="N422" i="5"/>
  <c r="M422" i="5"/>
  <c r="L422" i="5"/>
  <c r="P375" i="5"/>
  <c r="O375" i="5"/>
  <c r="N375" i="5"/>
  <c r="M375" i="5"/>
  <c r="L375" i="5"/>
  <c r="P33" i="5"/>
  <c r="O33" i="5"/>
  <c r="N33" i="5"/>
  <c r="M33" i="5"/>
  <c r="L33" i="5"/>
  <c r="P258" i="5"/>
  <c r="O258" i="5"/>
  <c r="N258" i="5"/>
  <c r="M258" i="5"/>
  <c r="L258" i="5"/>
  <c r="P264" i="5"/>
  <c r="O264" i="5"/>
  <c r="N264" i="5"/>
  <c r="M264" i="5"/>
  <c r="L264" i="5"/>
  <c r="P470" i="5"/>
  <c r="O470" i="5"/>
  <c r="N470" i="5"/>
  <c r="M470" i="5"/>
  <c r="L470" i="5"/>
  <c r="P428" i="5"/>
  <c r="O428" i="5"/>
  <c r="N428" i="5"/>
  <c r="M428" i="5"/>
  <c r="L428" i="5"/>
  <c r="P80" i="5"/>
  <c r="O80" i="5"/>
  <c r="N80" i="5"/>
  <c r="M80" i="5"/>
  <c r="L80" i="5"/>
  <c r="P15" i="5"/>
  <c r="O15" i="5"/>
  <c r="N15" i="5"/>
  <c r="M15" i="5"/>
  <c r="L15" i="5"/>
  <c r="P533" i="5"/>
  <c r="O533" i="5"/>
  <c r="N533" i="5"/>
  <c r="M533" i="5"/>
  <c r="L533" i="5"/>
  <c r="P183" i="5"/>
  <c r="O183" i="5"/>
  <c r="N183" i="5"/>
  <c r="M183" i="5"/>
  <c r="L183" i="5"/>
  <c r="P155" i="5"/>
  <c r="O155" i="5"/>
  <c r="N155" i="5"/>
  <c r="M155" i="5"/>
  <c r="L155" i="5"/>
  <c r="P481" i="5"/>
  <c r="O481" i="5"/>
  <c r="N481" i="5"/>
  <c r="M481" i="5"/>
  <c r="L481" i="5"/>
  <c r="P176" i="5"/>
  <c r="O176" i="5"/>
  <c r="N176" i="5"/>
  <c r="M176" i="5"/>
  <c r="L176" i="5"/>
  <c r="P71" i="5"/>
  <c r="O71" i="5"/>
  <c r="N71" i="5"/>
  <c r="M71" i="5"/>
  <c r="L71" i="5"/>
  <c r="P268" i="5"/>
  <c r="O268" i="5"/>
  <c r="N268" i="5"/>
  <c r="M268" i="5"/>
  <c r="L268" i="5"/>
  <c r="P379" i="5"/>
  <c r="O379" i="5"/>
  <c r="N379" i="5"/>
  <c r="M379" i="5"/>
  <c r="L379" i="5"/>
  <c r="P150" i="5"/>
  <c r="O150" i="5"/>
  <c r="N150" i="5"/>
  <c r="M150" i="5"/>
  <c r="L150" i="5"/>
  <c r="P350" i="5"/>
  <c r="O350" i="5"/>
  <c r="N350" i="5"/>
  <c r="M350" i="5"/>
  <c r="L350" i="5"/>
  <c r="P58" i="5"/>
  <c r="O58" i="5"/>
  <c r="N58" i="5"/>
  <c r="M58" i="5"/>
  <c r="L58" i="5"/>
  <c r="P276" i="5"/>
  <c r="O276" i="5"/>
  <c r="N276" i="5"/>
  <c r="M276" i="5"/>
  <c r="L276" i="5"/>
  <c r="P100" i="5"/>
  <c r="O100" i="5"/>
  <c r="N100" i="5"/>
  <c r="M100" i="5"/>
  <c r="L100" i="5"/>
  <c r="P241" i="5"/>
  <c r="O241" i="5"/>
  <c r="N241" i="5"/>
  <c r="M241" i="5"/>
  <c r="L241" i="5"/>
  <c r="P301" i="5"/>
  <c r="O301" i="5"/>
  <c r="N301" i="5"/>
  <c r="M301" i="5"/>
  <c r="L301" i="5"/>
  <c r="P21" i="5"/>
  <c r="O21" i="5"/>
  <c r="N21" i="5"/>
  <c r="M21" i="5"/>
  <c r="L21" i="5"/>
  <c r="P383" i="5"/>
  <c r="O383" i="5"/>
  <c r="N383" i="5"/>
  <c r="M383" i="5"/>
  <c r="L383" i="5"/>
  <c r="P145" i="5"/>
  <c r="O145" i="5"/>
  <c r="N145" i="5"/>
  <c r="M145" i="5"/>
  <c r="L145" i="5"/>
  <c r="P425" i="5"/>
  <c r="O425" i="5"/>
  <c r="N425" i="5"/>
  <c r="M425" i="5"/>
  <c r="L425" i="5"/>
  <c r="P16" i="5"/>
  <c r="O16" i="5"/>
  <c r="N16" i="5"/>
  <c r="M16" i="5"/>
  <c r="L16" i="5"/>
  <c r="P462" i="5"/>
  <c r="O462" i="5"/>
  <c r="N462" i="5"/>
  <c r="M462" i="5"/>
  <c r="L462" i="5"/>
  <c r="P511" i="5"/>
  <c r="O511" i="5"/>
  <c r="N511" i="5"/>
  <c r="M511" i="5"/>
  <c r="L511" i="5"/>
  <c r="P488" i="5"/>
  <c r="O488" i="5"/>
  <c r="N488" i="5"/>
  <c r="M488" i="5"/>
  <c r="L488" i="5"/>
  <c r="P202" i="5"/>
  <c r="O202" i="5"/>
  <c r="N202" i="5"/>
  <c r="M202" i="5"/>
  <c r="L202" i="5"/>
  <c r="P269" i="5"/>
  <c r="O269" i="5"/>
  <c r="N269" i="5"/>
  <c r="M269" i="5"/>
  <c r="L269" i="5"/>
  <c r="P478" i="5"/>
  <c r="O478" i="5"/>
  <c r="N478" i="5"/>
  <c r="M478" i="5"/>
  <c r="L478" i="5"/>
  <c r="P310" i="5"/>
  <c r="O310" i="5"/>
  <c r="N310" i="5"/>
  <c r="M310" i="5"/>
  <c r="L310" i="5"/>
  <c r="P211" i="5"/>
  <c r="O211" i="5"/>
  <c r="N211" i="5"/>
  <c r="M211" i="5"/>
  <c r="L211" i="5"/>
  <c r="P6" i="5"/>
  <c r="O6" i="5"/>
  <c r="N6" i="5"/>
  <c r="M6" i="5"/>
  <c r="L6" i="5"/>
  <c r="P501" i="5"/>
  <c r="O501" i="5"/>
  <c r="N501" i="5"/>
  <c r="M501" i="5"/>
  <c r="L501" i="5"/>
  <c r="P317" i="5"/>
  <c r="O317" i="5"/>
  <c r="N317" i="5"/>
  <c r="M317" i="5"/>
  <c r="L317" i="5"/>
  <c r="P381" i="5"/>
  <c r="O381" i="5"/>
  <c r="N381" i="5"/>
  <c r="M381" i="5"/>
  <c r="L381" i="5"/>
  <c r="P56" i="5"/>
  <c r="O56" i="5"/>
  <c r="N56" i="5"/>
  <c r="M56" i="5"/>
  <c r="L56" i="5"/>
  <c r="P30" i="5"/>
  <c r="O30" i="5"/>
  <c r="N30" i="5"/>
  <c r="M30" i="5"/>
  <c r="L30" i="5"/>
  <c r="P409" i="5"/>
  <c r="O409" i="5"/>
  <c r="N409" i="5"/>
  <c r="M409" i="5"/>
  <c r="L409" i="5"/>
  <c r="P206" i="5"/>
  <c r="O206" i="5"/>
  <c r="N206" i="5"/>
  <c r="M206" i="5"/>
  <c r="L206" i="5"/>
  <c r="P531" i="5"/>
  <c r="O531" i="5"/>
  <c r="N531" i="5"/>
  <c r="M531" i="5"/>
  <c r="L531" i="5"/>
  <c r="P158" i="5"/>
  <c r="O158" i="5"/>
  <c r="N158" i="5"/>
  <c r="M158" i="5"/>
  <c r="L158" i="5"/>
  <c r="P74" i="5"/>
  <c r="O74" i="5"/>
  <c r="N74" i="5"/>
  <c r="M74" i="5"/>
  <c r="L74" i="5"/>
  <c r="P77" i="5"/>
  <c r="O77" i="5"/>
  <c r="N77" i="5"/>
  <c r="M77" i="5"/>
  <c r="L77" i="5"/>
  <c r="P479" i="5"/>
  <c r="O479" i="5"/>
  <c r="N479" i="5"/>
  <c r="M479" i="5"/>
  <c r="L479" i="5"/>
  <c r="P141" i="5"/>
  <c r="O141" i="5"/>
  <c r="N141" i="5"/>
  <c r="M141" i="5"/>
  <c r="L141" i="5"/>
  <c r="P135" i="5"/>
  <c r="O135" i="5"/>
  <c r="N135" i="5"/>
  <c r="M135" i="5"/>
  <c r="L135" i="5"/>
  <c r="P178" i="5"/>
  <c r="O178" i="5"/>
  <c r="N178" i="5"/>
  <c r="M178" i="5"/>
  <c r="L178" i="5"/>
  <c r="P415" i="5"/>
  <c r="O415" i="5"/>
  <c r="N415" i="5"/>
  <c r="M415" i="5"/>
  <c r="L415" i="5"/>
  <c r="P291" i="5"/>
  <c r="O291" i="5"/>
  <c r="N291" i="5"/>
  <c r="M291" i="5"/>
  <c r="L291" i="5"/>
  <c r="P284" i="5"/>
  <c r="O284" i="5"/>
  <c r="N284" i="5"/>
  <c r="M284" i="5"/>
  <c r="L284" i="5"/>
  <c r="P403" i="5"/>
  <c r="O403" i="5"/>
  <c r="N403" i="5"/>
  <c r="M403" i="5"/>
  <c r="L403" i="5"/>
  <c r="P89" i="5"/>
  <c r="O89" i="5"/>
  <c r="N89" i="5"/>
  <c r="M89" i="5"/>
  <c r="L89" i="5"/>
  <c r="P372" i="5"/>
  <c r="O372" i="5"/>
  <c r="N372" i="5"/>
  <c r="M372" i="5"/>
  <c r="L372" i="5"/>
  <c r="P283" i="5"/>
  <c r="O283" i="5"/>
  <c r="N283" i="5"/>
  <c r="M283" i="5"/>
  <c r="L283" i="5"/>
  <c r="P257" i="5"/>
  <c r="O257" i="5"/>
  <c r="N257" i="5"/>
  <c r="M257" i="5"/>
  <c r="L257" i="5"/>
  <c r="P287" i="5"/>
  <c r="O287" i="5"/>
  <c r="N287" i="5"/>
  <c r="M287" i="5"/>
  <c r="L287" i="5"/>
  <c r="P510" i="5"/>
  <c r="O510" i="5"/>
  <c r="N510" i="5"/>
  <c r="M510" i="5"/>
  <c r="L510" i="5"/>
  <c r="P351" i="5"/>
  <c r="O351" i="5"/>
  <c r="N351" i="5"/>
  <c r="M351" i="5"/>
  <c r="L351" i="5"/>
  <c r="P433" i="5"/>
  <c r="O433" i="5"/>
  <c r="N433" i="5"/>
  <c r="M433" i="5"/>
  <c r="L433" i="5"/>
  <c r="P182" i="5"/>
  <c r="O182" i="5"/>
  <c r="N182" i="5"/>
  <c r="M182" i="5"/>
  <c r="L182" i="5"/>
  <c r="P187" i="5"/>
  <c r="O187" i="5"/>
  <c r="N187" i="5"/>
  <c r="M187" i="5"/>
  <c r="L187" i="5"/>
  <c r="P172" i="5"/>
  <c r="O172" i="5"/>
  <c r="N172" i="5"/>
  <c r="M172" i="5"/>
  <c r="L172" i="5"/>
  <c r="P452" i="5"/>
  <c r="O452" i="5"/>
  <c r="N452" i="5"/>
  <c r="M452" i="5"/>
  <c r="L452" i="5"/>
  <c r="P483" i="5"/>
  <c r="O483" i="5"/>
  <c r="N483" i="5"/>
  <c r="M483" i="5"/>
  <c r="L483" i="5"/>
  <c r="P179" i="5"/>
  <c r="O179" i="5"/>
  <c r="N179" i="5"/>
  <c r="M179" i="5"/>
  <c r="L179" i="5"/>
  <c r="P205" i="5"/>
  <c r="O205" i="5"/>
  <c r="N205" i="5"/>
  <c r="M205" i="5"/>
  <c r="L205" i="5"/>
  <c r="P134" i="5"/>
  <c r="O134" i="5"/>
  <c r="N134" i="5"/>
  <c r="M134" i="5"/>
  <c r="L134" i="5"/>
  <c r="P304" i="5"/>
  <c r="O304" i="5"/>
  <c r="N304" i="5"/>
  <c r="M304" i="5"/>
  <c r="L304" i="5"/>
  <c r="P126" i="5"/>
  <c r="O126" i="5"/>
  <c r="N126" i="5"/>
  <c r="M126" i="5"/>
  <c r="L126" i="5"/>
  <c r="P361" i="5"/>
  <c r="O361" i="5"/>
  <c r="N361" i="5"/>
  <c r="M361" i="5"/>
  <c r="L361" i="5"/>
  <c r="P35" i="5"/>
  <c r="O35" i="5"/>
  <c r="N35" i="5"/>
  <c r="M35" i="5"/>
  <c r="L35" i="5"/>
  <c r="P46" i="5"/>
  <c r="O46" i="5"/>
  <c r="N46" i="5"/>
  <c r="M46" i="5"/>
  <c r="L46" i="5"/>
  <c r="P92" i="5"/>
  <c r="O92" i="5"/>
  <c r="N92" i="5"/>
  <c r="M92" i="5"/>
  <c r="L92" i="5"/>
  <c r="P225" i="5"/>
  <c r="O225" i="5"/>
  <c r="N225" i="5"/>
  <c r="M225" i="5"/>
  <c r="L225" i="5"/>
  <c r="P232" i="5"/>
  <c r="O232" i="5"/>
  <c r="N232" i="5"/>
  <c r="M232" i="5"/>
  <c r="L232" i="5"/>
  <c r="P469" i="5"/>
  <c r="O469" i="5"/>
  <c r="N469" i="5"/>
  <c r="M469" i="5"/>
  <c r="L469" i="5"/>
  <c r="P123" i="5"/>
  <c r="O123" i="5"/>
  <c r="N123" i="5"/>
  <c r="M123" i="5"/>
  <c r="L123" i="5"/>
  <c r="P108" i="5"/>
  <c r="O108" i="5"/>
  <c r="N108" i="5"/>
  <c r="M108" i="5"/>
  <c r="L108" i="5"/>
  <c r="P424" i="5"/>
  <c r="O424" i="5"/>
  <c r="N424" i="5"/>
  <c r="M424" i="5"/>
  <c r="L424" i="5"/>
  <c r="P298" i="5"/>
  <c r="O298" i="5"/>
  <c r="N298" i="5"/>
  <c r="M298" i="5"/>
  <c r="L298" i="5"/>
  <c r="P45" i="5"/>
  <c r="O45" i="5"/>
  <c r="N45" i="5"/>
  <c r="M45" i="5"/>
  <c r="L45" i="5"/>
  <c r="P335" i="5"/>
  <c r="O335" i="5"/>
  <c r="N335" i="5"/>
  <c r="M335" i="5"/>
  <c r="L335" i="5"/>
  <c r="P527" i="5"/>
  <c r="O527" i="5"/>
  <c r="N527" i="5"/>
  <c r="M527" i="5"/>
  <c r="L527" i="5"/>
  <c r="P365" i="5"/>
  <c r="O365" i="5"/>
  <c r="N365" i="5"/>
  <c r="M365" i="5"/>
  <c r="L365" i="5"/>
  <c r="P453" i="5"/>
  <c r="O453" i="5"/>
  <c r="N453" i="5"/>
  <c r="M453" i="5"/>
  <c r="L453" i="5"/>
  <c r="P395" i="5"/>
  <c r="O395" i="5"/>
  <c r="N395" i="5"/>
  <c r="M395" i="5"/>
  <c r="L395" i="5"/>
  <c r="P518" i="5"/>
  <c r="O518" i="5"/>
  <c r="N518" i="5"/>
  <c r="M518" i="5"/>
  <c r="L518" i="5"/>
  <c r="P364" i="5"/>
  <c r="O364" i="5"/>
  <c r="N364" i="5"/>
  <c r="M364" i="5"/>
  <c r="L364" i="5"/>
  <c r="P401" i="5"/>
  <c r="O401" i="5"/>
  <c r="N401" i="5"/>
  <c r="M401" i="5"/>
  <c r="L401" i="5"/>
  <c r="P408" i="5"/>
  <c r="O408" i="5"/>
  <c r="N408" i="5"/>
  <c r="M408" i="5"/>
  <c r="L408" i="5"/>
  <c r="P122" i="5"/>
  <c r="O122" i="5"/>
  <c r="N122" i="5"/>
  <c r="M122" i="5"/>
  <c r="L122" i="5"/>
  <c r="P380" i="5"/>
  <c r="O380" i="5"/>
  <c r="N380" i="5"/>
  <c r="M380" i="5"/>
  <c r="L380" i="5"/>
  <c r="P81" i="5"/>
  <c r="O81" i="5"/>
  <c r="N81" i="5"/>
  <c r="M81" i="5"/>
  <c r="L81" i="5"/>
  <c r="P475" i="5"/>
  <c r="O475" i="5"/>
  <c r="N475" i="5"/>
  <c r="M475" i="5"/>
  <c r="L475" i="5"/>
  <c r="P393" i="5"/>
  <c r="O393" i="5"/>
  <c r="N393" i="5"/>
  <c r="M393" i="5"/>
  <c r="L393" i="5"/>
  <c r="P48" i="5"/>
  <c r="O48" i="5"/>
  <c r="N48" i="5"/>
  <c r="M48" i="5"/>
  <c r="L48" i="5"/>
  <c r="P68" i="5"/>
  <c r="O68" i="5"/>
  <c r="N68" i="5"/>
  <c r="M68" i="5"/>
  <c r="L68" i="5"/>
  <c r="P219" i="5"/>
  <c r="O219" i="5"/>
  <c r="N219" i="5"/>
  <c r="M219" i="5"/>
  <c r="L219" i="5"/>
  <c r="P353" i="5"/>
  <c r="O353" i="5"/>
  <c r="N353" i="5"/>
  <c r="M353" i="5"/>
  <c r="L353" i="5"/>
  <c r="P42" i="5"/>
  <c r="O42" i="5"/>
  <c r="N42" i="5"/>
  <c r="M42" i="5"/>
  <c r="L42" i="5"/>
  <c r="P256" i="5"/>
  <c r="O256" i="5"/>
  <c r="N256" i="5"/>
  <c r="M256" i="5"/>
  <c r="L256" i="5"/>
  <c r="P405" i="5"/>
  <c r="O405" i="5"/>
  <c r="N405" i="5"/>
  <c r="M405" i="5"/>
  <c r="L405" i="5"/>
  <c r="P309" i="5"/>
  <c r="O309" i="5"/>
  <c r="N309" i="5"/>
  <c r="M309" i="5"/>
  <c r="L309" i="5"/>
  <c r="P239" i="5"/>
  <c r="O239" i="5"/>
  <c r="N239" i="5"/>
  <c r="M239" i="5"/>
  <c r="L239" i="5"/>
  <c r="P253" i="5"/>
  <c r="O253" i="5"/>
  <c r="N253" i="5"/>
  <c r="M253" i="5"/>
  <c r="L253" i="5"/>
  <c r="P227" i="5"/>
  <c r="O227" i="5"/>
  <c r="N227" i="5"/>
  <c r="M227" i="5"/>
  <c r="L227" i="5"/>
  <c r="P111" i="5"/>
  <c r="O111" i="5"/>
  <c r="N111" i="5"/>
  <c r="M111" i="5"/>
  <c r="L111" i="5"/>
  <c r="P431" i="5"/>
  <c r="O431" i="5"/>
  <c r="N431" i="5"/>
  <c r="M431" i="5"/>
  <c r="L431" i="5"/>
  <c r="P149" i="5"/>
  <c r="O149" i="5"/>
  <c r="N149" i="5"/>
  <c r="M149" i="5"/>
  <c r="L149" i="5"/>
  <c r="P209" i="5"/>
  <c r="O209" i="5"/>
  <c r="N209" i="5"/>
  <c r="M209" i="5"/>
  <c r="L209" i="5"/>
  <c r="P107" i="5"/>
  <c r="O107" i="5"/>
  <c r="N107" i="5"/>
  <c r="M107" i="5"/>
  <c r="L107" i="5"/>
  <c r="P60" i="5"/>
  <c r="O60" i="5"/>
  <c r="N60" i="5"/>
  <c r="M60" i="5"/>
  <c r="L60" i="5"/>
  <c r="P143" i="5"/>
  <c r="O143" i="5"/>
  <c r="N143" i="5"/>
  <c r="M143" i="5"/>
  <c r="L143" i="5"/>
  <c r="P388" i="5"/>
  <c r="O388" i="5"/>
  <c r="N388" i="5"/>
  <c r="M388" i="5"/>
  <c r="L388" i="5"/>
  <c r="P174" i="5"/>
  <c r="O174" i="5"/>
  <c r="N174" i="5"/>
  <c r="M174" i="5"/>
  <c r="L174" i="5"/>
  <c r="P399" i="5"/>
  <c r="O399" i="5"/>
  <c r="N399" i="5"/>
  <c r="M399" i="5"/>
  <c r="L399" i="5"/>
  <c r="P316" i="5"/>
  <c r="O316" i="5"/>
  <c r="N316" i="5"/>
  <c r="M316" i="5"/>
  <c r="L316" i="5"/>
  <c r="P250" i="5"/>
  <c r="O250" i="5"/>
  <c r="N250" i="5"/>
  <c r="M250" i="5"/>
  <c r="L250" i="5"/>
  <c r="P328" i="5"/>
  <c r="O328" i="5"/>
  <c r="N328" i="5"/>
  <c r="M328" i="5"/>
  <c r="L328" i="5"/>
  <c r="P156" i="5"/>
  <c r="O156" i="5"/>
  <c r="N156" i="5"/>
  <c r="M156" i="5"/>
  <c r="L156" i="5"/>
  <c r="P295" i="5"/>
  <c r="O295" i="5"/>
  <c r="N295" i="5"/>
  <c r="M295" i="5"/>
  <c r="L295" i="5"/>
  <c r="P297" i="5"/>
  <c r="O297" i="5"/>
  <c r="N297" i="5"/>
  <c r="M297" i="5"/>
  <c r="L297" i="5"/>
  <c r="P332" i="5"/>
  <c r="O332" i="5"/>
  <c r="N332" i="5"/>
  <c r="M332" i="5"/>
  <c r="L332" i="5"/>
  <c r="P491" i="5"/>
  <c r="O491" i="5"/>
  <c r="N491" i="5"/>
  <c r="M491" i="5"/>
  <c r="L491" i="5"/>
  <c r="P482" i="5"/>
  <c r="O482" i="5"/>
  <c r="N482" i="5"/>
  <c r="M482" i="5"/>
  <c r="L482" i="5"/>
  <c r="P251" i="5"/>
  <c r="O251" i="5"/>
  <c r="N251" i="5"/>
  <c r="M251" i="5"/>
  <c r="L251" i="5"/>
  <c r="P313" i="5"/>
  <c r="O313" i="5"/>
  <c r="N313" i="5"/>
  <c r="M313" i="5"/>
  <c r="L313" i="5"/>
  <c r="P192" i="5"/>
  <c r="O192" i="5"/>
  <c r="N192" i="5"/>
  <c r="M192" i="5"/>
  <c r="L192" i="5"/>
  <c r="P119" i="5"/>
  <c r="O119" i="5"/>
  <c r="N119" i="5"/>
  <c r="M119" i="5"/>
  <c r="L119" i="5"/>
  <c r="P420" i="5"/>
  <c r="O420" i="5"/>
  <c r="N420" i="5"/>
  <c r="M420" i="5"/>
  <c r="L420" i="5"/>
  <c r="P218" i="5"/>
  <c r="O218" i="5"/>
  <c r="N218" i="5"/>
  <c r="M218" i="5"/>
  <c r="L218" i="5"/>
  <c r="P117" i="5"/>
  <c r="O117" i="5"/>
  <c r="N117" i="5"/>
  <c r="M117" i="5"/>
  <c r="L117" i="5"/>
  <c r="P416" i="5"/>
  <c r="O416" i="5"/>
  <c r="N416" i="5"/>
  <c r="M416" i="5"/>
  <c r="L416" i="5"/>
  <c r="P223" i="5"/>
  <c r="O223" i="5"/>
  <c r="N223" i="5"/>
  <c r="M223" i="5"/>
  <c r="L223" i="5"/>
  <c r="P226" i="5"/>
  <c r="O226" i="5"/>
  <c r="N226" i="5"/>
  <c r="M226" i="5"/>
  <c r="L226" i="5"/>
  <c r="P438" i="5"/>
  <c r="O438" i="5"/>
  <c r="N438" i="5"/>
  <c r="M438" i="5"/>
  <c r="L438" i="5"/>
  <c r="P286" i="5"/>
  <c r="O286" i="5"/>
  <c r="N286" i="5"/>
  <c r="M286" i="5"/>
  <c r="L286" i="5"/>
  <c r="P163" i="5"/>
  <c r="O163" i="5"/>
  <c r="N163" i="5"/>
  <c r="M163" i="5"/>
  <c r="L163" i="5"/>
  <c r="P402" i="5"/>
  <c r="O402" i="5"/>
  <c r="N402" i="5"/>
  <c r="M402" i="5"/>
  <c r="L402" i="5"/>
  <c r="P320" i="5"/>
  <c r="O320" i="5"/>
  <c r="N320" i="5"/>
  <c r="M320" i="5"/>
  <c r="L320" i="5"/>
  <c r="P355" i="5"/>
  <c r="O355" i="5"/>
  <c r="N355" i="5"/>
  <c r="M355" i="5"/>
  <c r="L355" i="5"/>
  <c r="P52" i="5"/>
  <c r="O52" i="5"/>
  <c r="N52" i="5"/>
  <c r="M52" i="5"/>
  <c r="L52" i="5"/>
  <c r="P87" i="5"/>
  <c r="O87" i="5"/>
  <c r="N87" i="5"/>
  <c r="M87" i="5"/>
  <c r="L87" i="5"/>
  <c r="P306" i="5"/>
  <c r="O306" i="5"/>
  <c r="N306" i="5"/>
  <c r="M306" i="5"/>
  <c r="L306" i="5"/>
  <c r="P57" i="5"/>
  <c r="O57" i="5"/>
  <c r="N57" i="5"/>
  <c r="M57" i="5"/>
  <c r="L57" i="5"/>
  <c r="P386" i="5"/>
  <c r="O386" i="5"/>
  <c r="N386" i="5"/>
  <c r="M386" i="5"/>
  <c r="L386" i="5"/>
  <c r="P166" i="5"/>
  <c r="O166" i="5"/>
  <c r="N166" i="5"/>
  <c r="M166" i="5"/>
  <c r="L166" i="5"/>
  <c r="P31" i="5"/>
  <c r="O31" i="5"/>
  <c r="N31" i="5"/>
  <c r="M31" i="5"/>
  <c r="L31" i="5"/>
  <c r="P308" i="5"/>
  <c r="O308" i="5"/>
  <c r="N308" i="5"/>
  <c r="M308" i="5"/>
  <c r="L308" i="5"/>
  <c r="P22" i="5"/>
  <c r="O22" i="5"/>
  <c r="N22" i="5"/>
  <c r="M22" i="5"/>
  <c r="L22" i="5"/>
  <c r="P288" i="5"/>
  <c r="O288" i="5"/>
  <c r="N288" i="5"/>
  <c r="M288" i="5"/>
  <c r="L288" i="5"/>
  <c r="P311" i="5"/>
  <c r="O311" i="5"/>
  <c r="N311" i="5"/>
  <c r="M311" i="5"/>
  <c r="L311" i="5"/>
  <c r="P299" i="5"/>
  <c r="O299" i="5"/>
  <c r="N299" i="5"/>
  <c r="M299" i="5"/>
  <c r="L299" i="5"/>
  <c r="P76" i="5"/>
  <c r="O76" i="5"/>
  <c r="N76" i="5"/>
  <c r="M76" i="5"/>
  <c r="L76" i="5"/>
  <c r="P215" i="5"/>
  <c r="O215" i="5"/>
  <c r="N215" i="5"/>
  <c r="M215" i="5"/>
  <c r="L215" i="5"/>
  <c r="P17" i="5"/>
  <c r="O17" i="5"/>
  <c r="N17" i="5"/>
  <c r="M17" i="5"/>
  <c r="L17" i="5"/>
  <c r="P419" i="5"/>
  <c r="O419" i="5"/>
  <c r="N419" i="5"/>
  <c r="M419" i="5"/>
  <c r="L419" i="5"/>
  <c r="P461" i="5"/>
  <c r="O461" i="5"/>
  <c r="N461" i="5"/>
  <c r="M461" i="5"/>
  <c r="L461" i="5"/>
  <c r="P368" i="5"/>
  <c r="O368" i="5"/>
  <c r="N368" i="5"/>
  <c r="M368" i="5"/>
  <c r="L368" i="5"/>
  <c r="P65" i="5"/>
  <c r="O65" i="5"/>
  <c r="N65" i="5"/>
  <c r="M65" i="5"/>
  <c r="L65" i="5"/>
  <c r="P376" i="5"/>
  <c r="O376" i="5"/>
  <c r="N376" i="5"/>
  <c r="M376" i="5"/>
  <c r="L376" i="5"/>
  <c r="P345" i="5"/>
  <c r="O345" i="5"/>
  <c r="N345" i="5"/>
  <c r="M345" i="5"/>
  <c r="L345" i="5"/>
  <c r="P85" i="5"/>
  <c r="O85" i="5"/>
  <c r="N85" i="5"/>
  <c r="M85" i="5"/>
  <c r="L85" i="5"/>
  <c r="P344" i="5"/>
  <c r="O344" i="5"/>
  <c r="N344" i="5"/>
  <c r="M344" i="5"/>
  <c r="L344" i="5"/>
  <c r="P315" i="5"/>
  <c r="O315" i="5"/>
  <c r="N315" i="5"/>
  <c r="M315" i="5"/>
  <c r="L315" i="5"/>
  <c r="P96" i="5"/>
  <c r="O96" i="5"/>
  <c r="N96" i="5"/>
  <c r="M96" i="5"/>
  <c r="L96" i="5"/>
  <c r="P504" i="5"/>
  <c r="O504" i="5"/>
  <c r="N504" i="5"/>
  <c r="M504" i="5"/>
  <c r="L504" i="5"/>
  <c r="P233" i="5"/>
  <c r="O233" i="5"/>
  <c r="N233" i="5"/>
  <c r="M233" i="5"/>
  <c r="L233" i="5"/>
  <c r="P265" i="5"/>
  <c r="O265" i="5"/>
  <c r="N265" i="5"/>
  <c r="M265" i="5"/>
  <c r="L265" i="5"/>
  <c r="P152" i="5"/>
  <c r="O152" i="5"/>
  <c r="N152" i="5"/>
  <c r="M152" i="5"/>
  <c r="L152" i="5"/>
  <c r="P267" i="5"/>
  <c r="O267" i="5"/>
  <c r="N267" i="5"/>
  <c r="M267" i="5"/>
  <c r="L267" i="5"/>
  <c r="P418" i="5"/>
  <c r="O418" i="5"/>
  <c r="N418" i="5"/>
  <c r="M418" i="5"/>
  <c r="L418" i="5"/>
  <c r="P120" i="5"/>
  <c r="O120" i="5"/>
  <c r="N120" i="5"/>
  <c r="M120" i="5"/>
  <c r="L120" i="5"/>
  <c r="P128" i="5"/>
  <c r="O128" i="5"/>
  <c r="N128" i="5"/>
  <c r="M128" i="5"/>
  <c r="L128" i="5"/>
  <c r="P194" i="5"/>
  <c r="O194" i="5"/>
  <c r="N194" i="5"/>
  <c r="M194" i="5"/>
  <c r="L194" i="5"/>
  <c r="P492" i="5"/>
  <c r="O492" i="5"/>
  <c r="N492" i="5"/>
  <c r="M492" i="5"/>
  <c r="L492" i="5"/>
  <c r="P19" i="5"/>
  <c r="O19" i="5"/>
  <c r="N19" i="5"/>
  <c r="M19" i="5"/>
  <c r="L19" i="5"/>
  <c r="P499" i="5"/>
  <c r="O499" i="5"/>
  <c r="N499" i="5"/>
  <c r="M499" i="5"/>
  <c r="L499" i="5"/>
  <c r="P222" i="5"/>
  <c r="O222" i="5"/>
  <c r="N222" i="5"/>
  <c r="M222" i="5"/>
  <c r="L222" i="5"/>
  <c r="P260" i="5"/>
  <c r="O260" i="5"/>
  <c r="N260" i="5"/>
  <c r="M260" i="5"/>
  <c r="L260" i="5"/>
  <c r="P67" i="5"/>
  <c r="O67" i="5"/>
  <c r="N67" i="5"/>
  <c r="M67" i="5"/>
  <c r="L67" i="5"/>
  <c r="P24" i="5"/>
  <c r="O24" i="5"/>
  <c r="N24" i="5"/>
  <c r="M24" i="5"/>
  <c r="L24" i="5"/>
  <c r="P412" i="5"/>
  <c r="O412" i="5"/>
  <c r="N412" i="5"/>
  <c r="M412" i="5"/>
  <c r="L412" i="5"/>
  <c r="P186" i="5"/>
  <c r="O186" i="5"/>
  <c r="N186" i="5"/>
  <c r="M186" i="5"/>
  <c r="L186" i="5"/>
  <c r="P336" i="5"/>
  <c r="O336" i="5"/>
  <c r="N336" i="5"/>
  <c r="M336" i="5"/>
  <c r="L336" i="5"/>
  <c r="P460" i="5"/>
  <c r="O460" i="5"/>
  <c r="N460" i="5"/>
  <c r="M460" i="5"/>
  <c r="L460" i="5"/>
  <c r="P281" i="5"/>
  <c r="O281" i="5"/>
  <c r="N281" i="5"/>
  <c r="M281" i="5"/>
  <c r="L281" i="5"/>
  <c r="P64" i="5"/>
  <c r="O64" i="5"/>
  <c r="N64" i="5"/>
  <c r="M64" i="5"/>
  <c r="L64" i="5"/>
  <c r="P127" i="5"/>
  <c r="O127" i="5"/>
  <c r="N127" i="5"/>
  <c r="M127" i="5"/>
  <c r="L127" i="5"/>
  <c r="P53" i="5"/>
  <c r="O53" i="5"/>
  <c r="N53" i="5"/>
  <c r="M53" i="5"/>
  <c r="L53" i="5"/>
  <c r="P144" i="5"/>
  <c r="O144" i="5"/>
  <c r="N144" i="5"/>
  <c r="M144" i="5"/>
  <c r="L144" i="5"/>
  <c r="P349" i="5"/>
  <c r="O349" i="5"/>
  <c r="N349" i="5"/>
  <c r="M349" i="5"/>
  <c r="L349" i="5"/>
  <c r="P161" i="5"/>
  <c r="O161" i="5"/>
  <c r="N161" i="5"/>
  <c r="M161" i="5"/>
  <c r="L161" i="5"/>
  <c r="P319" i="5"/>
  <c r="O319" i="5"/>
  <c r="N319" i="5"/>
  <c r="M319" i="5"/>
  <c r="L319" i="5"/>
  <c r="P136" i="5"/>
  <c r="O136" i="5"/>
  <c r="N136" i="5"/>
  <c r="M136" i="5"/>
  <c r="L136" i="5"/>
  <c r="P503" i="5"/>
  <c r="O503" i="5"/>
  <c r="N503" i="5"/>
  <c r="M503" i="5"/>
  <c r="L503" i="5"/>
  <c r="P195" i="5"/>
  <c r="O195" i="5"/>
  <c r="N195" i="5"/>
  <c r="M195" i="5"/>
  <c r="L195" i="5"/>
  <c r="P312" i="5"/>
  <c r="O312" i="5"/>
  <c r="N312" i="5"/>
  <c r="M312" i="5"/>
  <c r="L312" i="5"/>
  <c r="P448" i="5"/>
  <c r="O448" i="5"/>
  <c r="N448" i="5"/>
  <c r="M448" i="5"/>
  <c r="L448" i="5"/>
  <c r="P279" i="5"/>
  <c r="O279" i="5"/>
  <c r="N279" i="5"/>
  <c r="M279" i="5"/>
  <c r="L279" i="5"/>
  <c r="P508" i="5"/>
  <c r="O508" i="5"/>
  <c r="N508" i="5"/>
  <c r="M508" i="5"/>
  <c r="L508" i="5"/>
  <c r="P497" i="5"/>
  <c r="O497" i="5"/>
  <c r="N497" i="5"/>
  <c r="M497" i="5"/>
  <c r="L497" i="5"/>
  <c r="P289" i="5"/>
  <c r="O289" i="5"/>
  <c r="N289" i="5"/>
  <c r="M289" i="5"/>
  <c r="L289" i="5"/>
  <c r="P455" i="5"/>
  <c r="O455" i="5"/>
  <c r="N455" i="5"/>
  <c r="M455" i="5"/>
  <c r="L455" i="5"/>
  <c r="P198" i="5"/>
  <c r="O198" i="5"/>
  <c r="N198" i="5"/>
  <c r="M198" i="5"/>
  <c r="L198" i="5"/>
  <c r="P72" i="5"/>
  <c r="O72" i="5"/>
  <c r="N72" i="5"/>
  <c r="M72" i="5"/>
  <c r="L72" i="5"/>
  <c r="P171" i="5"/>
  <c r="O171" i="5"/>
  <c r="N171" i="5"/>
  <c r="M171" i="5"/>
  <c r="L171" i="5"/>
  <c r="P390" i="5"/>
  <c r="O390" i="5"/>
  <c r="N390" i="5"/>
  <c r="M390" i="5"/>
  <c r="L390" i="5"/>
  <c r="P11" i="5"/>
  <c r="O11" i="5"/>
  <c r="N11" i="5"/>
  <c r="M11" i="5"/>
  <c r="L11" i="5"/>
  <c r="P220" i="5"/>
  <c r="O220" i="5"/>
  <c r="N220" i="5"/>
  <c r="M220" i="5"/>
  <c r="L220" i="5"/>
  <c r="P66" i="5"/>
  <c r="O66" i="5"/>
  <c r="N66" i="5"/>
  <c r="M66" i="5"/>
  <c r="L66" i="5"/>
  <c r="P293" i="5"/>
  <c r="O293" i="5"/>
  <c r="N293" i="5"/>
  <c r="M293" i="5"/>
  <c r="L293" i="5"/>
  <c r="P252" i="5"/>
  <c r="O252" i="5"/>
  <c r="N252" i="5"/>
  <c r="M252" i="5"/>
  <c r="L252" i="5"/>
  <c r="P20" i="5"/>
  <c r="O20" i="5"/>
  <c r="N20" i="5"/>
  <c r="M20" i="5"/>
  <c r="L20" i="5"/>
  <c r="P356" i="5"/>
  <c r="O356" i="5"/>
  <c r="N356" i="5"/>
  <c r="M356" i="5"/>
  <c r="L356" i="5"/>
  <c r="P148" i="5"/>
  <c r="O148" i="5"/>
  <c r="N148" i="5"/>
  <c r="M148" i="5"/>
  <c r="L148" i="5"/>
  <c r="P3" i="5"/>
  <c r="O3" i="5"/>
  <c r="N3" i="5"/>
  <c r="M3" i="5"/>
  <c r="L3" i="5"/>
  <c r="P54" i="5"/>
  <c r="O54" i="5"/>
  <c r="N54" i="5"/>
  <c r="M54" i="5"/>
  <c r="L54" i="5"/>
  <c r="P28" i="5"/>
  <c r="O28" i="5"/>
  <c r="N28" i="5"/>
  <c r="M28" i="5"/>
  <c r="L28" i="5"/>
  <c r="P266" i="5"/>
  <c r="O266" i="5"/>
  <c r="N266" i="5"/>
  <c r="M266" i="5"/>
  <c r="L266" i="5"/>
  <c r="P98" i="5"/>
  <c r="O98" i="5"/>
  <c r="N98" i="5"/>
  <c r="M98" i="5"/>
  <c r="L98" i="5"/>
  <c r="P323" i="5"/>
  <c r="O323" i="5"/>
  <c r="N323" i="5"/>
  <c r="M323" i="5"/>
  <c r="L323" i="5"/>
  <c r="P254" i="5"/>
  <c r="O254" i="5"/>
  <c r="N254" i="5"/>
  <c r="M254" i="5"/>
  <c r="L254" i="5"/>
  <c r="P235" i="5"/>
  <c r="O235" i="5"/>
  <c r="N235" i="5"/>
  <c r="M235" i="5"/>
  <c r="L235" i="5"/>
  <c r="P109" i="5"/>
  <c r="O109" i="5"/>
  <c r="N109" i="5"/>
  <c r="M109" i="5"/>
  <c r="L109" i="5"/>
  <c r="P362" i="5"/>
  <c r="O362" i="5"/>
  <c r="N362" i="5"/>
  <c r="M362" i="5"/>
  <c r="L362" i="5"/>
  <c r="P125" i="5"/>
  <c r="O125" i="5"/>
  <c r="N125" i="5"/>
  <c r="M125" i="5"/>
  <c r="L125" i="5"/>
  <c r="P146" i="5"/>
  <c r="O146" i="5"/>
  <c r="N146" i="5"/>
  <c r="M146" i="5"/>
  <c r="L146" i="5"/>
  <c r="P137" i="5"/>
  <c r="O137" i="5"/>
  <c r="N137" i="5"/>
  <c r="M137" i="5"/>
  <c r="L137" i="5"/>
  <c r="P38" i="5"/>
  <c r="O38" i="5"/>
  <c r="N38" i="5"/>
  <c r="M38" i="5"/>
  <c r="L38" i="5"/>
  <c r="P382" i="5"/>
  <c r="O382" i="5"/>
  <c r="N382" i="5"/>
  <c r="M382" i="5"/>
  <c r="L382" i="5"/>
  <c r="P300" i="5"/>
  <c r="O300" i="5"/>
  <c r="N300" i="5"/>
  <c r="M300" i="5"/>
  <c r="L300" i="5"/>
  <c r="P274" i="5"/>
  <c r="O274" i="5"/>
  <c r="N274" i="5"/>
  <c r="M274" i="5"/>
  <c r="L274" i="5"/>
  <c r="P407" i="5"/>
  <c r="O407" i="5"/>
  <c r="N407" i="5"/>
  <c r="M407" i="5"/>
  <c r="L407" i="5"/>
  <c r="P130" i="5"/>
  <c r="O130" i="5"/>
  <c r="N130" i="5"/>
  <c r="M130" i="5"/>
  <c r="L130" i="5"/>
  <c r="P516" i="5"/>
  <c r="O516" i="5"/>
  <c r="N516" i="5"/>
  <c r="M516" i="5"/>
  <c r="L516" i="5"/>
  <c r="P341" i="5"/>
  <c r="O341" i="5"/>
  <c r="N341" i="5"/>
  <c r="M341" i="5"/>
  <c r="L341" i="5"/>
  <c r="P61" i="5"/>
  <c r="O61" i="5"/>
  <c r="N61" i="5"/>
  <c r="M61" i="5"/>
  <c r="L61" i="5"/>
  <c r="P467" i="5"/>
  <c r="O467" i="5"/>
  <c r="N467" i="5"/>
  <c r="M467" i="5"/>
  <c r="L467" i="5"/>
  <c r="P476" i="5"/>
  <c r="O476" i="5"/>
  <c r="N476" i="5"/>
  <c r="M476" i="5"/>
  <c r="L476" i="5"/>
  <c r="P255" i="5"/>
  <c r="O255" i="5"/>
  <c r="N255" i="5"/>
  <c r="M255" i="5"/>
  <c r="L255" i="5"/>
  <c r="P329" i="5"/>
  <c r="O329" i="5"/>
  <c r="N329" i="5"/>
  <c r="M329" i="5"/>
  <c r="L329" i="5"/>
  <c r="P366" i="5"/>
  <c r="O366" i="5"/>
  <c r="N366" i="5"/>
  <c r="M366" i="5"/>
  <c r="L366" i="5"/>
  <c r="P230" i="5"/>
  <c r="O230" i="5"/>
  <c r="N230" i="5"/>
  <c r="M230" i="5"/>
  <c r="L230" i="5"/>
  <c r="P184" i="5"/>
  <c r="O184" i="5"/>
  <c r="N184" i="5"/>
  <c r="M184" i="5"/>
  <c r="L184" i="5"/>
  <c r="P434" i="5"/>
  <c r="O434" i="5"/>
  <c r="N434" i="5"/>
  <c r="M434" i="5"/>
  <c r="L434" i="5"/>
  <c r="P110" i="5"/>
  <c r="O110" i="5"/>
  <c r="N110" i="5"/>
  <c r="M110" i="5"/>
  <c r="L110" i="5"/>
  <c r="P159" i="5"/>
  <c r="O159" i="5"/>
  <c r="N159" i="5"/>
  <c r="M159" i="5"/>
  <c r="L159" i="5"/>
  <c r="P263" i="5"/>
  <c r="O263" i="5"/>
  <c r="N263" i="5"/>
  <c r="M263" i="5"/>
  <c r="L263" i="5"/>
  <c r="P413" i="5"/>
  <c r="O413" i="5"/>
  <c r="N413" i="5"/>
  <c r="M413" i="5"/>
  <c r="L413" i="5"/>
  <c r="P25" i="5"/>
  <c r="O25" i="5"/>
  <c r="N25" i="5"/>
  <c r="M25" i="5"/>
  <c r="L25" i="5"/>
  <c r="P204" i="5"/>
  <c r="O204" i="5"/>
  <c r="N204" i="5"/>
  <c r="M204" i="5"/>
  <c r="L204" i="5"/>
  <c r="P147" i="5"/>
  <c r="O147" i="5"/>
  <c r="N147" i="5"/>
  <c r="M147" i="5"/>
  <c r="L147" i="5"/>
  <c r="P164" i="5"/>
  <c r="O164" i="5"/>
  <c r="N164" i="5"/>
  <c r="M164" i="5"/>
  <c r="L164" i="5"/>
  <c r="P154" i="5"/>
  <c r="O154" i="5"/>
  <c r="N154" i="5"/>
  <c r="M154" i="5"/>
  <c r="L154" i="5"/>
  <c r="P354" i="5"/>
  <c r="O354" i="5"/>
  <c r="N354" i="5"/>
  <c r="M354" i="5"/>
  <c r="L354" i="5"/>
  <c r="P23" i="5"/>
  <c r="O23" i="5"/>
  <c r="N23" i="5"/>
  <c r="M23" i="5"/>
  <c r="L23" i="5"/>
  <c r="P525" i="5"/>
  <c r="O525" i="5"/>
  <c r="N525" i="5"/>
  <c r="M525" i="5"/>
  <c r="L525" i="5"/>
  <c r="P367" i="5"/>
  <c r="O367" i="5"/>
  <c r="N367" i="5"/>
  <c r="M367" i="5"/>
  <c r="L367" i="5"/>
  <c r="P272" i="5"/>
  <c r="O272" i="5"/>
  <c r="N272" i="5"/>
  <c r="M272" i="5"/>
  <c r="L272" i="5"/>
  <c r="P421" i="5"/>
  <c r="O421" i="5"/>
  <c r="N421" i="5"/>
  <c r="M421" i="5"/>
  <c r="L421" i="5"/>
  <c r="P124" i="5"/>
  <c r="O124" i="5"/>
  <c r="N124" i="5"/>
  <c r="M124" i="5"/>
  <c r="L124" i="5"/>
  <c r="P426" i="5"/>
  <c r="O426" i="5"/>
  <c r="N426" i="5"/>
  <c r="M426" i="5"/>
  <c r="L426" i="5"/>
  <c r="P113" i="5"/>
  <c r="O113" i="5"/>
  <c r="N113" i="5"/>
  <c r="M113" i="5"/>
  <c r="L113" i="5"/>
  <c r="P116" i="5"/>
  <c r="O116" i="5"/>
  <c r="N116" i="5"/>
  <c r="M116" i="5"/>
  <c r="L116" i="5"/>
  <c r="P377" i="5"/>
  <c r="O377" i="5"/>
  <c r="N377" i="5"/>
  <c r="M377" i="5"/>
  <c r="L377" i="5"/>
  <c r="P180" i="5"/>
  <c r="O180" i="5"/>
  <c r="N180" i="5"/>
  <c r="M180" i="5"/>
  <c r="L180" i="5"/>
  <c r="P357" i="5"/>
  <c r="O357" i="5"/>
  <c r="N357" i="5"/>
  <c r="M357" i="5"/>
  <c r="L357" i="5"/>
  <c r="P427" i="5"/>
  <c r="O427" i="5"/>
  <c r="N427" i="5"/>
  <c r="M427" i="5"/>
  <c r="L427" i="5"/>
  <c r="P343" i="5"/>
  <c r="O343" i="5"/>
  <c r="N343" i="5"/>
  <c r="M343" i="5"/>
  <c r="L343" i="5"/>
  <c r="P50" i="5"/>
  <c r="O50" i="5"/>
  <c r="N50" i="5"/>
  <c r="M50" i="5"/>
  <c r="L50" i="5"/>
  <c r="P296" i="5"/>
  <c r="O296" i="5"/>
  <c r="N296" i="5"/>
  <c r="M296" i="5"/>
  <c r="L296" i="5"/>
  <c r="P391" i="5"/>
  <c r="O391" i="5"/>
  <c r="N391" i="5"/>
  <c r="M391" i="5"/>
  <c r="L391" i="5"/>
  <c r="P248" i="5"/>
  <c r="O248" i="5"/>
  <c r="N248" i="5"/>
  <c r="M248" i="5"/>
  <c r="L248" i="5"/>
  <c r="P441" i="5"/>
  <c r="O441" i="5"/>
  <c r="N441" i="5"/>
  <c r="M441" i="5"/>
  <c r="L441" i="5"/>
  <c r="P450" i="5"/>
  <c r="O450" i="5"/>
  <c r="N450" i="5"/>
  <c r="M450" i="5"/>
  <c r="L450" i="5"/>
  <c r="P2" i="5"/>
  <c r="O2" i="5"/>
  <c r="N2" i="5"/>
  <c r="M2" i="5"/>
  <c r="L2" i="5"/>
  <c r="P170" i="5"/>
  <c r="O170" i="5"/>
  <c r="N170" i="5"/>
  <c r="M170" i="5"/>
  <c r="L170" i="5"/>
  <c r="P519" i="5"/>
  <c r="O519" i="5"/>
  <c r="N519" i="5"/>
  <c r="M519" i="5"/>
  <c r="L519" i="5"/>
  <c r="P138" i="5"/>
  <c r="O138" i="5"/>
  <c r="N138" i="5"/>
  <c r="M138" i="5"/>
  <c r="L138" i="5"/>
  <c r="P7" i="5"/>
  <c r="O7" i="5"/>
  <c r="N7" i="5"/>
  <c r="M7" i="5"/>
  <c r="L7" i="5"/>
  <c r="P339" i="5"/>
  <c r="O339" i="5"/>
  <c r="N339" i="5"/>
  <c r="M339" i="5"/>
  <c r="L339" i="5"/>
  <c r="P459" i="5"/>
  <c r="O459" i="5"/>
  <c r="N459" i="5"/>
  <c r="M459" i="5"/>
  <c r="L459" i="5"/>
  <c r="P243" i="5"/>
  <c r="O243" i="5"/>
  <c r="N243" i="5"/>
  <c r="M243" i="5"/>
  <c r="L243" i="5"/>
  <c r="P105" i="5"/>
  <c r="O105" i="5"/>
  <c r="N105" i="5"/>
  <c r="M105" i="5"/>
  <c r="L105" i="5"/>
  <c r="P275" i="5"/>
  <c r="O275" i="5"/>
  <c r="N275" i="5"/>
  <c r="M275" i="5"/>
  <c r="L275" i="5"/>
  <c r="P324" i="5"/>
  <c r="O324" i="5"/>
  <c r="N324" i="5"/>
  <c r="M324" i="5"/>
  <c r="L324" i="5"/>
  <c r="P188" i="5"/>
  <c r="O188" i="5"/>
  <c r="N188" i="5"/>
  <c r="M188" i="5"/>
  <c r="L188" i="5"/>
  <c r="P160" i="5"/>
  <c r="O160" i="5"/>
  <c r="N160" i="5"/>
  <c r="M160" i="5"/>
  <c r="L160" i="5"/>
  <c r="P346" i="5"/>
  <c r="O346" i="5"/>
  <c r="N346" i="5"/>
  <c r="M346" i="5"/>
  <c r="L346" i="5"/>
  <c r="P411" i="5"/>
  <c r="O411" i="5"/>
  <c r="N411" i="5"/>
  <c r="M411" i="5"/>
  <c r="L411" i="5"/>
  <c r="P451" i="5"/>
  <c r="O451" i="5"/>
  <c r="N451" i="5"/>
  <c r="M451" i="5"/>
  <c r="L451" i="5"/>
  <c r="P440" i="5"/>
  <c r="O440" i="5"/>
  <c r="N440" i="5"/>
  <c r="M440" i="5"/>
  <c r="L440" i="5"/>
  <c r="P196" i="5"/>
  <c r="O196" i="5"/>
  <c r="N196" i="5"/>
  <c r="M196" i="5"/>
  <c r="L196" i="5"/>
  <c r="P262" i="5"/>
  <c r="O262" i="5"/>
  <c r="N262" i="5"/>
  <c r="M262" i="5"/>
  <c r="L262" i="5"/>
  <c r="P358" i="5"/>
  <c r="O358" i="5"/>
  <c r="N358" i="5"/>
  <c r="M358" i="5"/>
  <c r="L358" i="5"/>
  <c r="P10" i="5"/>
  <c r="O10" i="5"/>
  <c r="N10" i="5"/>
  <c r="M10" i="5"/>
  <c r="L10" i="5"/>
  <c r="P32" i="5"/>
  <c r="O32" i="5"/>
  <c r="N32" i="5"/>
  <c r="M32" i="5"/>
  <c r="L32" i="5"/>
  <c r="P249" i="5"/>
  <c r="O249" i="5"/>
  <c r="N249" i="5"/>
  <c r="M249" i="5"/>
  <c r="L249" i="5"/>
  <c r="P371" i="5"/>
  <c r="O371" i="5"/>
  <c r="N371" i="5"/>
  <c r="M371" i="5"/>
  <c r="L371" i="5"/>
  <c r="P131" i="5"/>
  <c r="O131" i="5"/>
  <c r="N131" i="5"/>
  <c r="M131" i="5"/>
  <c r="L131" i="5"/>
  <c r="P216" i="5"/>
  <c r="O216" i="5"/>
  <c r="N216" i="5"/>
  <c r="M216" i="5"/>
  <c r="L216" i="5"/>
  <c r="P443" i="5"/>
  <c r="O443" i="5"/>
  <c r="N443" i="5"/>
  <c r="M443" i="5"/>
  <c r="L443" i="5"/>
  <c r="P285" i="5"/>
  <c r="O285" i="5"/>
  <c r="N285" i="5"/>
  <c r="M285" i="5"/>
  <c r="L285" i="5"/>
  <c r="P49" i="5"/>
  <c r="O49" i="5"/>
  <c r="N49" i="5"/>
  <c r="M49" i="5"/>
  <c r="L49" i="5"/>
  <c r="P118" i="5"/>
  <c r="O118" i="5"/>
  <c r="N118" i="5"/>
  <c r="M118" i="5"/>
  <c r="L118" i="5"/>
  <c r="P305" i="5"/>
  <c r="O305" i="5"/>
  <c r="N305" i="5"/>
  <c r="M305" i="5"/>
  <c r="L305" i="5"/>
  <c r="P506" i="5"/>
  <c r="O506" i="5"/>
  <c r="N506" i="5"/>
  <c r="M506" i="5"/>
  <c r="L506" i="5"/>
  <c r="P490" i="5"/>
  <c r="O490" i="5"/>
  <c r="N490" i="5"/>
  <c r="M490" i="5"/>
  <c r="L490" i="5"/>
  <c r="P214" i="5"/>
  <c r="O214" i="5"/>
  <c r="N214" i="5"/>
  <c r="M214" i="5"/>
  <c r="L214" i="5"/>
  <c r="P454" i="5"/>
  <c r="O454" i="5"/>
  <c r="N454" i="5"/>
  <c r="M454" i="5"/>
  <c r="L454" i="5"/>
  <c r="P526" i="5"/>
  <c r="O526" i="5"/>
  <c r="N526" i="5"/>
  <c r="M526" i="5"/>
  <c r="L526" i="5"/>
  <c r="P500" i="5"/>
  <c r="O500" i="5"/>
  <c r="N500" i="5"/>
  <c r="M500" i="5"/>
  <c r="L500" i="5"/>
  <c r="P523" i="5"/>
  <c r="O523" i="5"/>
  <c r="N523" i="5"/>
  <c r="M523" i="5"/>
  <c r="L523" i="5"/>
  <c r="P173" i="5"/>
  <c r="O173" i="5"/>
  <c r="N173" i="5"/>
  <c r="M173" i="5"/>
  <c r="L173" i="5"/>
  <c r="P165" i="5"/>
  <c r="O165" i="5"/>
  <c r="N165" i="5"/>
  <c r="M165" i="5"/>
  <c r="L165" i="5"/>
  <c r="P325" i="5"/>
  <c r="O325" i="5"/>
  <c r="N325" i="5"/>
  <c r="M325" i="5"/>
  <c r="L325" i="5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2" i="3"/>
  <c r="L3" i="3"/>
  <c r="M3" i="3"/>
  <c r="N3" i="3"/>
  <c r="O3" i="3"/>
  <c r="L4" i="3"/>
  <c r="M4" i="3"/>
  <c r="N4" i="3"/>
  <c r="O4" i="3"/>
  <c r="L5" i="3"/>
  <c r="M5" i="3"/>
  <c r="N5" i="3"/>
  <c r="O5" i="3"/>
  <c r="L6" i="3"/>
  <c r="M6" i="3"/>
  <c r="N6" i="3"/>
  <c r="O6" i="3"/>
  <c r="L7" i="3"/>
  <c r="M7" i="3"/>
  <c r="N7" i="3"/>
  <c r="O7" i="3"/>
  <c r="L8" i="3"/>
  <c r="M8" i="3"/>
  <c r="N8" i="3"/>
  <c r="O8" i="3"/>
  <c r="L9" i="3"/>
  <c r="M9" i="3"/>
  <c r="N9" i="3"/>
  <c r="O9" i="3"/>
  <c r="L10" i="3"/>
  <c r="M10" i="3"/>
  <c r="N10" i="3"/>
  <c r="O10" i="3"/>
  <c r="L11" i="3"/>
  <c r="M11" i="3"/>
  <c r="N11" i="3"/>
  <c r="O11" i="3"/>
  <c r="L12" i="3"/>
  <c r="M12" i="3"/>
  <c r="N12" i="3"/>
  <c r="O12" i="3"/>
  <c r="L13" i="3"/>
  <c r="M13" i="3"/>
  <c r="N13" i="3"/>
  <c r="O13" i="3"/>
  <c r="L14" i="3"/>
  <c r="M14" i="3"/>
  <c r="N14" i="3"/>
  <c r="O14" i="3"/>
  <c r="L15" i="3"/>
  <c r="M15" i="3"/>
  <c r="N15" i="3"/>
  <c r="O15" i="3"/>
  <c r="L16" i="3"/>
  <c r="M16" i="3"/>
  <c r="N16" i="3"/>
  <c r="O16" i="3"/>
  <c r="L17" i="3"/>
  <c r="M17" i="3"/>
  <c r="N17" i="3"/>
  <c r="O17" i="3"/>
  <c r="L18" i="3"/>
  <c r="M18" i="3"/>
  <c r="N18" i="3"/>
  <c r="O18" i="3"/>
  <c r="L19" i="3"/>
  <c r="M19" i="3"/>
  <c r="N19" i="3"/>
  <c r="O19" i="3"/>
  <c r="L20" i="3"/>
  <c r="M20" i="3"/>
  <c r="N20" i="3"/>
  <c r="O20" i="3"/>
  <c r="L21" i="3"/>
  <c r="M21" i="3"/>
  <c r="N21" i="3"/>
  <c r="O21" i="3"/>
  <c r="L22" i="3"/>
  <c r="M22" i="3"/>
  <c r="N22" i="3"/>
  <c r="O22" i="3"/>
  <c r="L23" i="3"/>
  <c r="M23" i="3"/>
  <c r="N23" i="3"/>
  <c r="O23" i="3"/>
  <c r="L24" i="3"/>
  <c r="M24" i="3"/>
  <c r="N24" i="3"/>
  <c r="O24" i="3"/>
  <c r="L25" i="3"/>
  <c r="M25" i="3"/>
  <c r="N25" i="3"/>
  <c r="O25" i="3"/>
  <c r="L26" i="3"/>
  <c r="M26" i="3"/>
  <c r="N26" i="3"/>
  <c r="O26" i="3"/>
  <c r="L27" i="3"/>
  <c r="M27" i="3"/>
  <c r="N27" i="3"/>
  <c r="O27" i="3"/>
  <c r="L28" i="3"/>
  <c r="M28" i="3"/>
  <c r="N28" i="3"/>
  <c r="O28" i="3"/>
  <c r="L29" i="3"/>
  <c r="M29" i="3"/>
  <c r="N29" i="3"/>
  <c r="O29" i="3"/>
  <c r="L30" i="3"/>
  <c r="M30" i="3"/>
  <c r="N30" i="3"/>
  <c r="O30" i="3"/>
  <c r="L31" i="3"/>
  <c r="M31" i="3"/>
  <c r="N31" i="3"/>
  <c r="O31" i="3"/>
  <c r="L32" i="3"/>
  <c r="M32" i="3"/>
  <c r="N32" i="3"/>
  <c r="O32" i="3"/>
  <c r="L33" i="3"/>
  <c r="M33" i="3"/>
  <c r="N33" i="3"/>
  <c r="O33" i="3"/>
  <c r="L34" i="3"/>
  <c r="M34" i="3"/>
  <c r="N34" i="3"/>
  <c r="O34" i="3"/>
  <c r="L35" i="3"/>
  <c r="M35" i="3"/>
  <c r="N35" i="3"/>
  <c r="O35" i="3"/>
  <c r="L36" i="3"/>
  <c r="M36" i="3"/>
  <c r="N36" i="3"/>
  <c r="O36" i="3"/>
  <c r="L37" i="3"/>
  <c r="M37" i="3"/>
  <c r="N37" i="3"/>
  <c r="O37" i="3"/>
  <c r="L38" i="3"/>
  <c r="M38" i="3"/>
  <c r="N38" i="3"/>
  <c r="O38" i="3"/>
  <c r="L39" i="3"/>
  <c r="M39" i="3"/>
  <c r="N39" i="3"/>
  <c r="O39" i="3"/>
  <c r="L40" i="3"/>
  <c r="M40" i="3"/>
  <c r="N40" i="3"/>
  <c r="O40" i="3"/>
  <c r="L41" i="3"/>
  <c r="M41" i="3"/>
  <c r="N41" i="3"/>
  <c r="O41" i="3"/>
  <c r="L42" i="3"/>
  <c r="M42" i="3"/>
  <c r="N42" i="3"/>
  <c r="O42" i="3"/>
  <c r="L43" i="3"/>
  <c r="M43" i="3"/>
  <c r="N43" i="3"/>
  <c r="O43" i="3"/>
  <c r="L44" i="3"/>
  <c r="M44" i="3"/>
  <c r="N44" i="3"/>
  <c r="O44" i="3"/>
  <c r="L45" i="3"/>
  <c r="M45" i="3"/>
  <c r="N45" i="3"/>
  <c r="O45" i="3"/>
  <c r="L46" i="3"/>
  <c r="M46" i="3"/>
  <c r="N46" i="3"/>
  <c r="O46" i="3"/>
  <c r="L47" i="3"/>
  <c r="M47" i="3"/>
  <c r="N47" i="3"/>
  <c r="O47" i="3"/>
  <c r="L48" i="3"/>
  <c r="M48" i="3"/>
  <c r="N48" i="3"/>
  <c r="O48" i="3"/>
  <c r="L49" i="3"/>
  <c r="M49" i="3"/>
  <c r="N49" i="3"/>
  <c r="O49" i="3"/>
  <c r="L50" i="3"/>
  <c r="M50" i="3"/>
  <c r="N50" i="3"/>
  <c r="O50" i="3"/>
  <c r="L51" i="3"/>
  <c r="M51" i="3"/>
  <c r="N51" i="3"/>
  <c r="O51" i="3"/>
  <c r="L52" i="3"/>
  <c r="M52" i="3"/>
  <c r="N52" i="3"/>
  <c r="O52" i="3"/>
  <c r="L53" i="3"/>
  <c r="M53" i="3"/>
  <c r="N53" i="3"/>
  <c r="O53" i="3"/>
  <c r="L54" i="3"/>
  <c r="M54" i="3"/>
  <c r="N54" i="3"/>
  <c r="O54" i="3"/>
  <c r="L55" i="3"/>
  <c r="M55" i="3"/>
  <c r="N55" i="3"/>
  <c r="O55" i="3"/>
  <c r="L56" i="3"/>
  <c r="M56" i="3"/>
  <c r="N56" i="3"/>
  <c r="O56" i="3"/>
  <c r="L57" i="3"/>
  <c r="M57" i="3"/>
  <c r="N57" i="3"/>
  <c r="O57" i="3"/>
  <c r="L58" i="3"/>
  <c r="M58" i="3"/>
  <c r="N58" i="3"/>
  <c r="O58" i="3"/>
  <c r="L59" i="3"/>
  <c r="M59" i="3"/>
  <c r="N59" i="3"/>
  <c r="O59" i="3"/>
  <c r="L60" i="3"/>
  <c r="M60" i="3"/>
  <c r="N60" i="3"/>
  <c r="O60" i="3"/>
  <c r="L61" i="3"/>
  <c r="M61" i="3"/>
  <c r="N61" i="3"/>
  <c r="O61" i="3"/>
  <c r="L62" i="3"/>
  <c r="M62" i="3"/>
  <c r="N62" i="3"/>
  <c r="O62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L67" i="3"/>
  <c r="M67" i="3"/>
  <c r="N67" i="3"/>
  <c r="O67" i="3"/>
  <c r="L68" i="3"/>
  <c r="M68" i="3"/>
  <c r="N68" i="3"/>
  <c r="O68" i="3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L73" i="3"/>
  <c r="M73" i="3"/>
  <c r="N73" i="3"/>
  <c r="O73" i="3"/>
  <c r="L74" i="3"/>
  <c r="M74" i="3"/>
  <c r="N74" i="3"/>
  <c r="O74" i="3"/>
  <c r="L75" i="3"/>
  <c r="M75" i="3"/>
  <c r="N75" i="3"/>
  <c r="O75" i="3"/>
  <c r="L76" i="3"/>
  <c r="M76" i="3"/>
  <c r="N76" i="3"/>
  <c r="O76" i="3"/>
  <c r="L77" i="3"/>
  <c r="M77" i="3"/>
  <c r="N77" i="3"/>
  <c r="O77" i="3"/>
  <c r="L78" i="3"/>
  <c r="M78" i="3"/>
  <c r="N78" i="3"/>
  <c r="O78" i="3"/>
  <c r="L79" i="3"/>
  <c r="M79" i="3"/>
  <c r="N79" i="3"/>
  <c r="O79" i="3"/>
  <c r="L80" i="3"/>
  <c r="M80" i="3"/>
  <c r="N80" i="3"/>
  <c r="O80" i="3"/>
  <c r="L81" i="3"/>
  <c r="M81" i="3"/>
  <c r="N81" i="3"/>
  <c r="O81" i="3"/>
  <c r="L82" i="3"/>
  <c r="M82" i="3"/>
  <c r="N82" i="3"/>
  <c r="O82" i="3"/>
  <c r="L83" i="3"/>
  <c r="M83" i="3"/>
  <c r="N83" i="3"/>
  <c r="O83" i="3"/>
  <c r="L84" i="3"/>
  <c r="M84" i="3"/>
  <c r="N84" i="3"/>
  <c r="O84" i="3"/>
  <c r="L85" i="3"/>
  <c r="M85" i="3"/>
  <c r="N85" i="3"/>
  <c r="O85" i="3"/>
  <c r="L86" i="3"/>
  <c r="M86" i="3"/>
  <c r="N86" i="3"/>
  <c r="O86" i="3"/>
  <c r="L87" i="3"/>
  <c r="M87" i="3"/>
  <c r="N87" i="3"/>
  <c r="O87" i="3"/>
  <c r="L88" i="3"/>
  <c r="M88" i="3"/>
  <c r="N88" i="3"/>
  <c r="O88" i="3"/>
  <c r="L89" i="3"/>
  <c r="M89" i="3"/>
  <c r="N89" i="3"/>
  <c r="O89" i="3"/>
  <c r="L90" i="3"/>
  <c r="M90" i="3"/>
  <c r="N90" i="3"/>
  <c r="O90" i="3"/>
  <c r="L91" i="3"/>
  <c r="M91" i="3"/>
  <c r="N91" i="3"/>
  <c r="O91" i="3"/>
  <c r="L92" i="3"/>
  <c r="M92" i="3"/>
  <c r="N92" i="3"/>
  <c r="O92" i="3"/>
  <c r="L93" i="3"/>
  <c r="M93" i="3"/>
  <c r="N93" i="3"/>
  <c r="O93" i="3"/>
  <c r="L94" i="3"/>
  <c r="M94" i="3"/>
  <c r="N94" i="3"/>
  <c r="O94" i="3"/>
  <c r="L95" i="3"/>
  <c r="M95" i="3"/>
  <c r="N95" i="3"/>
  <c r="O95" i="3"/>
  <c r="L96" i="3"/>
  <c r="M96" i="3"/>
  <c r="N96" i="3"/>
  <c r="O96" i="3"/>
  <c r="L97" i="3"/>
  <c r="M97" i="3"/>
  <c r="N97" i="3"/>
  <c r="O97" i="3"/>
  <c r="L98" i="3"/>
  <c r="M98" i="3"/>
  <c r="N98" i="3"/>
  <c r="O98" i="3"/>
  <c r="L99" i="3"/>
  <c r="M99" i="3"/>
  <c r="N99" i="3"/>
  <c r="O99" i="3"/>
  <c r="L100" i="3"/>
  <c r="M100" i="3"/>
  <c r="N100" i="3"/>
  <c r="O100" i="3"/>
  <c r="L101" i="3"/>
  <c r="M101" i="3"/>
  <c r="N101" i="3"/>
  <c r="O101" i="3"/>
  <c r="L102" i="3"/>
  <c r="M102" i="3"/>
  <c r="N102" i="3"/>
  <c r="O102" i="3"/>
  <c r="L103" i="3"/>
  <c r="M103" i="3"/>
  <c r="N103" i="3"/>
  <c r="O103" i="3"/>
  <c r="L104" i="3"/>
  <c r="M104" i="3"/>
  <c r="N104" i="3"/>
  <c r="O104" i="3"/>
  <c r="L105" i="3"/>
  <c r="M105" i="3"/>
  <c r="N105" i="3"/>
  <c r="O105" i="3"/>
  <c r="L106" i="3"/>
  <c r="M106" i="3"/>
  <c r="N106" i="3"/>
  <c r="O106" i="3"/>
  <c r="L107" i="3"/>
  <c r="M107" i="3"/>
  <c r="N107" i="3"/>
  <c r="O107" i="3"/>
  <c r="L108" i="3"/>
  <c r="M108" i="3"/>
  <c r="N108" i="3"/>
  <c r="O108" i="3"/>
  <c r="L109" i="3"/>
  <c r="M109" i="3"/>
  <c r="N109" i="3"/>
  <c r="O109" i="3"/>
  <c r="L110" i="3"/>
  <c r="M110" i="3"/>
  <c r="N110" i="3"/>
  <c r="O110" i="3"/>
  <c r="L111" i="3"/>
  <c r="M111" i="3"/>
  <c r="N111" i="3"/>
  <c r="O111" i="3"/>
  <c r="L112" i="3"/>
  <c r="M112" i="3"/>
  <c r="N112" i="3"/>
  <c r="O112" i="3"/>
  <c r="L113" i="3"/>
  <c r="M113" i="3"/>
  <c r="N113" i="3"/>
  <c r="O113" i="3"/>
  <c r="L114" i="3"/>
  <c r="M114" i="3"/>
  <c r="N114" i="3"/>
  <c r="O114" i="3"/>
  <c r="L115" i="3"/>
  <c r="M115" i="3"/>
  <c r="N115" i="3"/>
  <c r="O115" i="3"/>
  <c r="L116" i="3"/>
  <c r="M116" i="3"/>
  <c r="N116" i="3"/>
  <c r="O116" i="3"/>
  <c r="L117" i="3"/>
  <c r="M117" i="3"/>
  <c r="N117" i="3"/>
  <c r="O117" i="3"/>
  <c r="L118" i="3"/>
  <c r="M118" i="3"/>
  <c r="N118" i="3"/>
  <c r="O118" i="3"/>
  <c r="L119" i="3"/>
  <c r="M119" i="3"/>
  <c r="N119" i="3"/>
  <c r="O119" i="3"/>
  <c r="L120" i="3"/>
  <c r="M120" i="3"/>
  <c r="N120" i="3"/>
  <c r="O120" i="3"/>
  <c r="L121" i="3"/>
  <c r="M121" i="3"/>
  <c r="N121" i="3"/>
  <c r="O121" i="3"/>
  <c r="L122" i="3"/>
  <c r="M122" i="3"/>
  <c r="N122" i="3"/>
  <c r="O122" i="3"/>
  <c r="L123" i="3"/>
  <c r="M123" i="3"/>
  <c r="N123" i="3"/>
  <c r="O123" i="3"/>
  <c r="L124" i="3"/>
  <c r="M124" i="3"/>
  <c r="N124" i="3"/>
  <c r="O124" i="3"/>
  <c r="L125" i="3"/>
  <c r="M125" i="3"/>
  <c r="N125" i="3"/>
  <c r="O125" i="3"/>
  <c r="L126" i="3"/>
  <c r="M126" i="3"/>
  <c r="N126" i="3"/>
  <c r="O126" i="3"/>
  <c r="L127" i="3"/>
  <c r="M127" i="3"/>
  <c r="N127" i="3"/>
  <c r="O127" i="3"/>
  <c r="L128" i="3"/>
  <c r="M128" i="3"/>
  <c r="N128" i="3"/>
  <c r="O128" i="3"/>
  <c r="L129" i="3"/>
  <c r="M129" i="3"/>
  <c r="N129" i="3"/>
  <c r="O129" i="3"/>
  <c r="L130" i="3"/>
  <c r="M130" i="3"/>
  <c r="N130" i="3"/>
  <c r="O130" i="3"/>
  <c r="L131" i="3"/>
  <c r="M131" i="3"/>
  <c r="N131" i="3"/>
  <c r="O131" i="3"/>
  <c r="L132" i="3"/>
  <c r="M132" i="3"/>
  <c r="N132" i="3"/>
  <c r="O132" i="3"/>
  <c r="L133" i="3"/>
  <c r="M133" i="3"/>
  <c r="N133" i="3"/>
  <c r="O133" i="3"/>
  <c r="L134" i="3"/>
  <c r="M134" i="3"/>
  <c r="N134" i="3"/>
  <c r="O134" i="3"/>
  <c r="L135" i="3"/>
  <c r="M135" i="3"/>
  <c r="N135" i="3"/>
  <c r="O135" i="3"/>
  <c r="L136" i="3"/>
  <c r="M136" i="3"/>
  <c r="N136" i="3"/>
  <c r="O136" i="3"/>
  <c r="L137" i="3"/>
  <c r="M137" i="3"/>
  <c r="N137" i="3"/>
  <c r="O137" i="3"/>
  <c r="L138" i="3"/>
  <c r="M138" i="3"/>
  <c r="N138" i="3"/>
  <c r="O138" i="3"/>
  <c r="L139" i="3"/>
  <c r="M139" i="3"/>
  <c r="N139" i="3"/>
  <c r="O139" i="3"/>
  <c r="L140" i="3"/>
  <c r="M140" i="3"/>
  <c r="N140" i="3"/>
  <c r="O140" i="3"/>
  <c r="L141" i="3"/>
  <c r="M141" i="3"/>
  <c r="N141" i="3"/>
  <c r="O141" i="3"/>
  <c r="L142" i="3"/>
  <c r="M142" i="3"/>
  <c r="N142" i="3"/>
  <c r="O142" i="3"/>
  <c r="L143" i="3"/>
  <c r="M143" i="3"/>
  <c r="N143" i="3"/>
  <c r="O143" i="3"/>
  <c r="L144" i="3"/>
  <c r="M144" i="3"/>
  <c r="N144" i="3"/>
  <c r="O144" i="3"/>
  <c r="L145" i="3"/>
  <c r="M145" i="3"/>
  <c r="N145" i="3"/>
  <c r="O145" i="3"/>
  <c r="L146" i="3"/>
  <c r="M146" i="3"/>
  <c r="N146" i="3"/>
  <c r="O146" i="3"/>
  <c r="L147" i="3"/>
  <c r="M147" i="3"/>
  <c r="N147" i="3"/>
  <c r="O147" i="3"/>
  <c r="L148" i="3"/>
  <c r="M148" i="3"/>
  <c r="N148" i="3"/>
  <c r="O148" i="3"/>
  <c r="L149" i="3"/>
  <c r="M149" i="3"/>
  <c r="N149" i="3"/>
  <c r="O149" i="3"/>
  <c r="L150" i="3"/>
  <c r="M150" i="3"/>
  <c r="N150" i="3"/>
  <c r="O150" i="3"/>
  <c r="L151" i="3"/>
  <c r="M151" i="3"/>
  <c r="N151" i="3"/>
  <c r="O151" i="3"/>
  <c r="L152" i="3"/>
  <c r="M152" i="3"/>
  <c r="N152" i="3"/>
  <c r="O152" i="3"/>
  <c r="L153" i="3"/>
  <c r="M153" i="3"/>
  <c r="N153" i="3"/>
  <c r="O153" i="3"/>
  <c r="L154" i="3"/>
  <c r="M154" i="3"/>
  <c r="N154" i="3"/>
  <c r="O154" i="3"/>
  <c r="L155" i="3"/>
  <c r="M155" i="3"/>
  <c r="N155" i="3"/>
  <c r="O155" i="3"/>
  <c r="L156" i="3"/>
  <c r="M156" i="3"/>
  <c r="N156" i="3"/>
  <c r="O156" i="3"/>
  <c r="L157" i="3"/>
  <c r="M157" i="3"/>
  <c r="N157" i="3"/>
  <c r="O157" i="3"/>
  <c r="L158" i="3"/>
  <c r="M158" i="3"/>
  <c r="N158" i="3"/>
  <c r="O158" i="3"/>
  <c r="L159" i="3"/>
  <c r="M159" i="3"/>
  <c r="N159" i="3"/>
  <c r="O159" i="3"/>
  <c r="L160" i="3"/>
  <c r="M160" i="3"/>
  <c r="N160" i="3"/>
  <c r="O160" i="3"/>
  <c r="L161" i="3"/>
  <c r="M161" i="3"/>
  <c r="N161" i="3"/>
  <c r="O161" i="3"/>
  <c r="L162" i="3"/>
  <c r="M162" i="3"/>
  <c r="N162" i="3"/>
  <c r="O162" i="3"/>
  <c r="L163" i="3"/>
  <c r="M163" i="3"/>
  <c r="N163" i="3"/>
  <c r="O163" i="3"/>
  <c r="L164" i="3"/>
  <c r="M164" i="3"/>
  <c r="N164" i="3"/>
  <c r="O164" i="3"/>
  <c r="L165" i="3"/>
  <c r="M165" i="3"/>
  <c r="N165" i="3"/>
  <c r="O165" i="3"/>
  <c r="L166" i="3"/>
  <c r="M166" i="3"/>
  <c r="N166" i="3"/>
  <c r="O166" i="3"/>
  <c r="L167" i="3"/>
  <c r="M167" i="3"/>
  <c r="N167" i="3"/>
  <c r="O167" i="3"/>
  <c r="L168" i="3"/>
  <c r="M168" i="3"/>
  <c r="N168" i="3"/>
  <c r="O168" i="3"/>
  <c r="L169" i="3"/>
  <c r="M169" i="3"/>
  <c r="N169" i="3"/>
  <c r="O169" i="3"/>
  <c r="L170" i="3"/>
  <c r="M170" i="3"/>
  <c r="N170" i="3"/>
  <c r="O170" i="3"/>
  <c r="L171" i="3"/>
  <c r="M171" i="3"/>
  <c r="N171" i="3"/>
  <c r="O171" i="3"/>
  <c r="L172" i="3"/>
  <c r="M172" i="3"/>
  <c r="N172" i="3"/>
  <c r="O172" i="3"/>
  <c r="L173" i="3"/>
  <c r="M173" i="3"/>
  <c r="N173" i="3"/>
  <c r="O173" i="3"/>
  <c r="L174" i="3"/>
  <c r="M174" i="3"/>
  <c r="N174" i="3"/>
  <c r="O174" i="3"/>
  <c r="L175" i="3"/>
  <c r="M175" i="3"/>
  <c r="N175" i="3"/>
  <c r="O175" i="3"/>
  <c r="L176" i="3"/>
  <c r="M176" i="3"/>
  <c r="N176" i="3"/>
  <c r="O176" i="3"/>
  <c r="L177" i="3"/>
  <c r="M177" i="3"/>
  <c r="N177" i="3"/>
  <c r="O177" i="3"/>
  <c r="L178" i="3"/>
  <c r="M178" i="3"/>
  <c r="N178" i="3"/>
  <c r="O178" i="3"/>
  <c r="L179" i="3"/>
  <c r="M179" i="3"/>
  <c r="N179" i="3"/>
  <c r="O179" i="3"/>
  <c r="L180" i="3"/>
  <c r="M180" i="3"/>
  <c r="N180" i="3"/>
  <c r="O180" i="3"/>
  <c r="L181" i="3"/>
  <c r="M181" i="3"/>
  <c r="N181" i="3"/>
  <c r="O181" i="3"/>
  <c r="L182" i="3"/>
  <c r="M182" i="3"/>
  <c r="N182" i="3"/>
  <c r="O182" i="3"/>
  <c r="L183" i="3"/>
  <c r="M183" i="3"/>
  <c r="N183" i="3"/>
  <c r="O183" i="3"/>
  <c r="L184" i="3"/>
  <c r="M184" i="3"/>
  <c r="N184" i="3"/>
  <c r="O184" i="3"/>
  <c r="L185" i="3"/>
  <c r="M185" i="3"/>
  <c r="N185" i="3"/>
  <c r="O185" i="3"/>
  <c r="L186" i="3"/>
  <c r="M186" i="3"/>
  <c r="N186" i="3"/>
  <c r="O186" i="3"/>
  <c r="L187" i="3"/>
  <c r="M187" i="3"/>
  <c r="N187" i="3"/>
  <c r="O187" i="3"/>
  <c r="L188" i="3"/>
  <c r="M188" i="3"/>
  <c r="N188" i="3"/>
  <c r="O188" i="3"/>
  <c r="L189" i="3"/>
  <c r="M189" i="3"/>
  <c r="N189" i="3"/>
  <c r="O189" i="3"/>
  <c r="L190" i="3"/>
  <c r="M190" i="3"/>
  <c r="N190" i="3"/>
  <c r="O190" i="3"/>
  <c r="L191" i="3"/>
  <c r="M191" i="3"/>
  <c r="N191" i="3"/>
  <c r="O191" i="3"/>
  <c r="L192" i="3"/>
  <c r="M192" i="3"/>
  <c r="N192" i="3"/>
  <c r="O192" i="3"/>
  <c r="L193" i="3"/>
  <c r="M193" i="3"/>
  <c r="N193" i="3"/>
  <c r="O193" i="3"/>
  <c r="L194" i="3"/>
  <c r="M194" i="3"/>
  <c r="N194" i="3"/>
  <c r="O194" i="3"/>
  <c r="L195" i="3"/>
  <c r="M195" i="3"/>
  <c r="N195" i="3"/>
  <c r="O195" i="3"/>
  <c r="L196" i="3"/>
  <c r="M196" i="3"/>
  <c r="N196" i="3"/>
  <c r="O196" i="3"/>
  <c r="L197" i="3"/>
  <c r="M197" i="3"/>
  <c r="N197" i="3"/>
  <c r="O197" i="3"/>
  <c r="L198" i="3"/>
  <c r="M198" i="3"/>
  <c r="N198" i="3"/>
  <c r="O198" i="3"/>
  <c r="L199" i="3"/>
  <c r="M199" i="3"/>
  <c r="N199" i="3"/>
  <c r="O199" i="3"/>
  <c r="L200" i="3"/>
  <c r="M200" i="3"/>
  <c r="N200" i="3"/>
  <c r="O200" i="3"/>
  <c r="L201" i="3"/>
  <c r="M201" i="3"/>
  <c r="N201" i="3"/>
  <c r="O201" i="3"/>
  <c r="L202" i="3"/>
  <c r="M202" i="3"/>
  <c r="N202" i="3"/>
  <c r="O202" i="3"/>
  <c r="L203" i="3"/>
  <c r="M203" i="3"/>
  <c r="N203" i="3"/>
  <c r="O203" i="3"/>
  <c r="L204" i="3"/>
  <c r="M204" i="3"/>
  <c r="N204" i="3"/>
  <c r="O204" i="3"/>
  <c r="L205" i="3"/>
  <c r="M205" i="3"/>
  <c r="N205" i="3"/>
  <c r="O205" i="3"/>
  <c r="L206" i="3"/>
  <c r="M206" i="3"/>
  <c r="N206" i="3"/>
  <c r="O206" i="3"/>
  <c r="L207" i="3"/>
  <c r="M207" i="3"/>
  <c r="N207" i="3"/>
  <c r="O207" i="3"/>
  <c r="L208" i="3"/>
  <c r="M208" i="3"/>
  <c r="N208" i="3"/>
  <c r="O208" i="3"/>
  <c r="L209" i="3"/>
  <c r="M209" i="3"/>
  <c r="N209" i="3"/>
  <c r="O209" i="3"/>
  <c r="L210" i="3"/>
  <c r="M210" i="3"/>
  <c r="N210" i="3"/>
  <c r="O210" i="3"/>
  <c r="L211" i="3"/>
  <c r="M211" i="3"/>
  <c r="N211" i="3"/>
  <c r="O211" i="3"/>
  <c r="L212" i="3"/>
  <c r="M212" i="3"/>
  <c r="N212" i="3"/>
  <c r="O212" i="3"/>
  <c r="L213" i="3"/>
  <c r="M213" i="3"/>
  <c r="N213" i="3"/>
  <c r="O213" i="3"/>
  <c r="L214" i="3"/>
  <c r="M214" i="3"/>
  <c r="N214" i="3"/>
  <c r="O214" i="3"/>
  <c r="L215" i="3"/>
  <c r="M215" i="3"/>
  <c r="N215" i="3"/>
  <c r="O215" i="3"/>
  <c r="L216" i="3"/>
  <c r="M216" i="3"/>
  <c r="N216" i="3"/>
  <c r="O216" i="3"/>
  <c r="L217" i="3"/>
  <c r="M217" i="3"/>
  <c r="N217" i="3"/>
  <c r="O217" i="3"/>
  <c r="L218" i="3"/>
  <c r="M218" i="3"/>
  <c r="N218" i="3"/>
  <c r="O218" i="3"/>
  <c r="L219" i="3"/>
  <c r="M219" i="3"/>
  <c r="N219" i="3"/>
  <c r="O219" i="3"/>
  <c r="L220" i="3"/>
  <c r="M220" i="3"/>
  <c r="N220" i="3"/>
  <c r="O220" i="3"/>
  <c r="L221" i="3"/>
  <c r="M221" i="3"/>
  <c r="N221" i="3"/>
  <c r="O221" i="3"/>
  <c r="L222" i="3"/>
  <c r="M222" i="3"/>
  <c r="N222" i="3"/>
  <c r="O222" i="3"/>
  <c r="L223" i="3"/>
  <c r="M223" i="3"/>
  <c r="N223" i="3"/>
  <c r="O223" i="3"/>
  <c r="L224" i="3"/>
  <c r="M224" i="3"/>
  <c r="N224" i="3"/>
  <c r="O224" i="3"/>
  <c r="L225" i="3"/>
  <c r="M225" i="3"/>
  <c r="N225" i="3"/>
  <c r="O225" i="3"/>
  <c r="L226" i="3"/>
  <c r="M226" i="3"/>
  <c r="N226" i="3"/>
  <c r="O226" i="3"/>
  <c r="L227" i="3"/>
  <c r="M227" i="3"/>
  <c r="N227" i="3"/>
  <c r="O227" i="3"/>
  <c r="L228" i="3"/>
  <c r="M228" i="3"/>
  <c r="N228" i="3"/>
  <c r="O228" i="3"/>
  <c r="L229" i="3"/>
  <c r="M229" i="3"/>
  <c r="N229" i="3"/>
  <c r="O229" i="3"/>
  <c r="L230" i="3"/>
  <c r="M230" i="3"/>
  <c r="N230" i="3"/>
  <c r="O230" i="3"/>
  <c r="L231" i="3"/>
  <c r="M231" i="3"/>
  <c r="N231" i="3"/>
  <c r="O231" i="3"/>
  <c r="L232" i="3"/>
  <c r="M232" i="3"/>
  <c r="N232" i="3"/>
  <c r="O232" i="3"/>
  <c r="L233" i="3"/>
  <c r="M233" i="3"/>
  <c r="N233" i="3"/>
  <c r="O233" i="3"/>
  <c r="L234" i="3"/>
  <c r="M234" i="3"/>
  <c r="N234" i="3"/>
  <c r="O234" i="3"/>
  <c r="L235" i="3"/>
  <c r="M235" i="3"/>
  <c r="N235" i="3"/>
  <c r="O235" i="3"/>
  <c r="L236" i="3"/>
  <c r="M236" i="3"/>
  <c r="N236" i="3"/>
  <c r="O236" i="3"/>
  <c r="L237" i="3"/>
  <c r="M237" i="3"/>
  <c r="N237" i="3"/>
  <c r="O237" i="3"/>
  <c r="L238" i="3"/>
  <c r="M238" i="3"/>
  <c r="N238" i="3"/>
  <c r="O238" i="3"/>
  <c r="L239" i="3"/>
  <c r="M239" i="3"/>
  <c r="N239" i="3"/>
  <c r="O239" i="3"/>
  <c r="L240" i="3"/>
  <c r="M240" i="3"/>
  <c r="N240" i="3"/>
  <c r="O240" i="3"/>
  <c r="L241" i="3"/>
  <c r="M241" i="3"/>
  <c r="N241" i="3"/>
  <c r="O241" i="3"/>
  <c r="L242" i="3"/>
  <c r="M242" i="3"/>
  <c r="N242" i="3"/>
  <c r="O242" i="3"/>
  <c r="L243" i="3"/>
  <c r="M243" i="3"/>
  <c r="N243" i="3"/>
  <c r="O243" i="3"/>
  <c r="L244" i="3"/>
  <c r="M244" i="3"/>
  <c r="N244" i="3"/>
  <c r="O244" i="3"/>
  <c r="L245" i="3"/>
  <c r="M245" i="3"/>
  <c r="N245" i="3"/>
  <c r="O245" i="3"/>
  <c r="L246" i="3"/>
  <c r="M246" i="3"/>
  <c r="N246" i="3"/>
  <c r="O246" i="3"/>
  <c r="L247" i="3"/>
  <c r="M247" i="3"/>
  <c r="N247" i="3"/>
  <c r="O247" i="3"/>
  <c r="L248" i="3"/>
  <c r="M248" i="3"/>
  <c r="N248" i="3"/>
  <c r="O248" i="3"/>
  <c r="L249" i="3"/>
  <c r="M249" i="3"/>
  <c r="N249" i="3"/>
  <c r="O249" i="3"/>
  <c r="L250" i="3"/>
  <c r="M250" i="3"/>
  <c r="N250" i="3"/>
  <c r="O250" i="3"/>
  <c r="L251" i="3"/>
  <c r="M251" i="3"/>
  <c r="N251" i="3"/>
  <c r="O251" i="3"/>
  <c r="L252" i="3"/>
  <c r="M252" i="3"/>
  <c r="N252" i="3"/>
  <c r="O252" i="3"/>
  <c r="L253" i="3"/>
  <c r="M253" i="3"/>
  <c r="N253" i="3"/>
  <c r="O253" i="3"/>
  <c r="L254" i="3"/>
  <c r="M254" i="3"/>
  <c r="N254" i="3"/>
  <c r="O254" i="3"/>
  <c r="L255" i="3"/>
  <c r="M255" i="3"/>
  <c r="N255" i="3"/>
  <c r="O255" i="3"/>
  <c r="L256" i="3"/>
  <c r="M256" i="3"/>
  <c r="N256" i="3"/>
  <c r="O256" i="3"/>
  <c r="L257" i="3"/>
  <c r="M257" i="3"/>
  <c r="N257" i="3"/>
  <c r="O257" i="3"/>
  <c r="L258" i="3"/>
  <c r="M258" i="3"/>
  <c r="N258" i="3"/>
  <c r="O258" i="3"/>
  <c r="L259" i="3"/>
  <c r="M259" i="3"/>
  <c r="N259" i="3"/>
  <c r="O259" i="3"/>
  <c r="L260" i="3"/>
  <c r="M260" i="3"/>
  <c r="N260" i="3"/>
  <c r="O260" i="3"/>
  <c r="L261" i="3"/>
  <c r="M261" i="3"/>
  <c r="N261" i="3"/>
  <c r="O261" i="3"/>
  <c r="L262" i="3"/>
  <c r="M262" i="3"/>
  <c r="N262" i="3"/>
  <c r="O262" i="3"/>
  <c r="L263" i="3"/>
  <c r="M263" i="3"/>
  <c r="N263" i="3"/>
  <c r="O263" i="3"/>
  <c r="L264" i="3"/>
  <c r="M264" i="3"/>
  <c r="N264" i="3"/>
  <c r="O264" i="3"/>
  <c r="L265" i="3"/>
  <c r="M265" i="3"/>
  <c r="N265" i="3"/>
  <c r="O265" i="3"/>
  <c r="L266" i="3"/>
  <c r="M266" i="3"/>
  <c r="N266" i="3"/>
  <c r="O266" i="3"/>
  <c r="L267" i="3"/>
  <c r="M267" i="3"/>
  <c r="N267" i="3"/>
  <c r="O267" i="3"/>
  <c r="L268" i="3"/>
  <c r="M268" i="3"/>
  <c r="N268" i="3"/>
  <c r="O268" i="3"/>
  <c r="L269" i="3"/>
  <c r="M269" i="3"/>
  <c r="N269" i="3"/>
  <c r="O269" i="3"/>
  <c r="L270" i="3"/>
  <c r="M270" i="3"/>
  <c r="N270" i="3"/>
  <c r="O270" i="3"/>
  <c r="L271" i="3"/>
  <c r="M271" i="3"/>
  <c r="N271" i="3"/>
  <c r="O271" i="3"/>
  <c r="L272" i="3"/>
  <c r="M272" i="3"/>
  <c r="N272" i="3"/>
  <c r="O272" i="3"/>
  <c r="L273" i="3"/>
  <c r="M273" i="3"/>
  <c r="N273" i="3"/>
  <c r="O273" i="3"/>
  <c r="L274" i="3"/>
  <c r="M274" i="3"/>
  <c r="N274" i="3"/>
  <c r="O274" i="3"/>
  <c r="L275" i="3"/>
  <c r="M275" i="3"/>
  <c r="N275" i="3"/>
  <c r="O275" i="3"/>
  <c r="L276" i="3"/>
  <c r="M276" i="3"/>
  <c r="N276" i="3"/>
  <c r="O276" i="3"/>
  <c r="L277" i="3"/>
  <c r="M277" i="3"/>
  <c r="N277" i="3"/>
  <c r="O277" i="3"/>
  <c r="L278" i="3"/>
  <c r="M278" i="3"/>
  <c r="N278" i="3"/>
  <c r="O278" i="3"/>
  <c r="L279" i="3"/>
  <c r="M279" i="3"/>
  <c r="N279" i="3"/>
  <c r="O279" i="3"/>
  <c r="L280" i="3"/>
  <c r="M280" i="3"/>
  <c r="N280" i="3"/>
  <c r="O280" i="3"/>
  <c r="L281" i="3"/>
  <c r="M281" i="3"/>
  <c r="N281" i="3"/>
  <c r="O281" i="3"/>
  <c r="L282" i="3"/>
  <c r="M282" i="3"/>
  <c r="N282" i="3"/>
  <c r="O282" i="3"/>
  <c r="L283" i="3"/>
  <c r="M283" i="3"/>
  <c r="N283" i="3"/>
  <c r="O283" i="3"/>
  <c r="L284" i="3"/>
  <c r="M284" i="3"/>
  <c r="N284" i="3"/>
  <c r="O284" i="3"/>
  <c r="L285" i="3"/>
  <c r="M285" i="3"/>
  <c r="N285" i="3"/>
  <c r="O285" i="3"/>
  <c r="L286" i="3"/>
  <c r="M286" i="3"/>
  <c r="N286" i="3"/>
  <c r="O286" i="3"/>
  <c r="L287" i="3"/>
  <c r="M287" i="3"/>
  <c r="N287" i="3"/>
  <c r="O287" i="3"/>
  <c r="L288" i="3"/>
  <c r="M288" i="3"/>
  <c r="N288" i="3"/>
  <c r="O288" i="3"/>
  <c r="L289" i="3"/>
  <c r="M289" i="3"/>
  <c r="N289" i="3"/>
  <c r="O289" i="3"/>
  <c r="L290" i="3"/>
  <c r="M290" i="3"/>
  <c r="N290" i="3"/>
  <c r="O290" i="3"/>
  <c r="L291" i="3"/>
  <c r="M291" i="3"/>
  <c r="N291" i="3"/>
  <c r="O291" i="3"/>
  <c r="L292" i="3"/>
  <c r="M292" i="3"/>
  <c r="N292" i="3"/>
  <c r="O292" i="3"/>
  <c r="L293" i="3"/>
  <c r="M293" i="3"/>
  <c r="N293" i="3"/>
  <c r="O293" i="3"/>
  <c r="L294" i="3"/>
  <c r="M294" i="3"/>
  <c r="N294" i="3"/>
  <c r="O294" i="3"/>
  <c r="L295" i="3"/>
  <c r="M295" i="3"/>
  <c r="N295" i="3"/>
  <c r="O295" i="3"/>
  <c r="L296" i="3"/>
  <c r="M296" i="3"/>
  <c r="N296" i="3"/>
  <c r="O296" i="3"/>
  <c r="L297" i="3"/>
  <c r="M297" i="3"/>
  <c r="N297" i="3"/>
  <c r="O297" i="3"/>
  <c r="L298" i="3"/>
  <c r="M298" i="3"/>
  <c r="N298" i="3"/>
  <c r="O298" i="3"/>
  <c r="L299" i="3"/>
  <c r="M299" i="3"/>
  <c r="N299" i="3"/>
  <c r="O299" i="3"/>
  <c r="L300" i="3"/>
  <c r="M300" i="3"/>
  <c r="N300" i="3"/>
  <c r="O300" i="3"/>
  <c r="L301" i="3"/>
  <c r="M301" i="3"/>
  <c r="N301" i="3"/>
  <c r="O301" i="3"/>
  <c r="L302" i="3"/>
  <c r="M302" i="3"/>
  <c r="N302" i="3"/>
  <c r="O302" i="3"/>
  <c r="L303" i="3"/>
  <c r="M303" i="3"/>
  <c r="N303" i="3"/>
  <c r="O303" i="3"/>
  <c r="L304" i="3"/>
  <c r="M304" i="3"/>
  <c r="N304" i="3"/>
  <c r="O304" i="3"/>
  <c r="L305" i="3"/>
  <c r="M305" i="3"/>
  <c r="N305" i="3"/>
  <c r="O305" i="3"/>
  <c r="L306" i="3"/>
  <c r="M306" i="3"/>
  <c r="N306" i="3"/>
  <c r="O306" i="3"/>
  <c r="L307" i="3"/>
  <c r="M307" i="3"/>
  <c r="N307" i="3"/>
  <c r="O307" i="3"/>
  <c r="L308" i="3"/>
  <c r="M308" i="3"/>
  <c r="N308" i="3"/>
  <c r="O308" i="3"/>
  <c r="L309" i="3"/>
  <c r="M309" i="3"/>
  <c r="N309" i="3"/>
  <c r="O309" i="3"/>
  <c r="L310" i="3"/>
  <c r="M310" i="3"/>
  <c r="N310" i="3"/>
  <c r="O310" i="3"/>
  <c r="L311" i="3"/>
  <c r="M311" i="3"/>
  <c r="N311" i="3"/>
  <c r="O311" i="3"/>
  <c r="L312" i="3"/>
  <c r="M312" i="3"/>
  <c r="N312" i="3"/>
  <c r="O312" i="3"/>
  <c r="L313" i="3"/>
  <c r="M313" i="3"/>
  <c r="N313" i="3"/>
  <c r="O313" i="3"/>
  <c r="L314" i="3"/>
  <c r="M314" i="3"/>
  <c r="N314" i="3"/>
  <c r="O314" i="3"/>
  <c r="L315" i="3"/>
  <c r="M315" i="3"/>
  <c r="N315" i="3"/>
  <c r="O315" i="3"/>
  <c r="L316" i="3"/>
  <c r="M316" i="3"/>
  <c r="N316" i="3"/>
  <c r="O316" i="3"/>
  <c r="L317" i="3"/>
  <c r="M317" i="3"/>
  <c r="N317" i="3"/>
  <c r="O317" i="3"/>
  <c r="L318" i="3"/>
  <c r="M318" i="3"/>
  <c r="N318" i="3"/>
  <c r="O318" i="3"/>
  <c r="L319" i="3"/>
  <c r="M319" i="3"/>
  <c r="N319" i="3"/>
  <c r="O319" i="3"/>
  <c r="L320" i="3"/>
  <c r="M320" i="3"/>
  <c r="N320" i="3"/>
  <c r="O320" i="3"/>
  <c r="L321" i="3"/>
  <c r="M321" i="3"/>
  <c r="N321" i="3"/>
  <c r="O321" i="3"/>
  <c r="L322" i="3"/>
  <c r="M322" i="3"/>
  <c r="N322" i="3"/>
  <c r="O322" i="3"/>
  <c r="L323" i="3"/>
  <c r="M323" i="3"/>
  <c r="N323" i="3"/>
  <c r="O323" i="3"/>
  <c r="L324" i="3"/>
  <c r="M324" i="3"/>
  <c r="N324" i="3"/>
  <c r="O324" i="3"/>
  <c r="L325" i="3"/>
  <c r="M325" i="3"/>
  <c r="N325" i="3"/>
  <c r="O325" i="3"/>
  <c r="L326" i="3"/>
  <c r="M326" i="3"/>
  <c r="N326" i="3"/>
  <c r="O326" i="3"/>
  <c r="L327" i="3"/>
  <c r="M327" i="3"/>
  <c r="N327" i="3"/>
  <c r="O327" i="3"/>
  <c r="L328" i="3"/>
  <c r="M328" i="3"/>
  <c r="N328" i="3"/>
  <c r="O328" i="3"/>
  <c r="L329" i="3"/>
  <c r="M329" i="3"/>
  <c r="N329" i="3"/>
  <c r="O329" i="3"/>
  <c r="L330" i="3"/>
  <c r="M330" i="3"/>
  <c r="N330" i="3"/>
  <c r="O330" i="3"/>
  <c r="L331" i="3"/>
  <c r="M331" i="3"/>
  <c r="N331" i="3"/>
  <c r="O331" i="3"/>
  <c r="L332" i="3"/>
  <c r="M332" i="3"/>
  <c r="N332" i="3"/>
  <c r="O332" i="3"/>
  <c r="L333" i="3"/>
  <c r="M333" i="3"/>
  <c r="N333" i="3"/>
  <c r="O333" i="3"/>
  <c r="L334" i="3"/>
  <c r="M334" i="3"/>
  <c r="N334" i="3"/>
  <c r="O334" i="3"/>
  <c r="L335" i="3"/>
  <c r="M335" i="3"/>
  <c r="N335" i="3"/>
  <c r="O335" i="3"/>
  <c r="L336" i="3"/>
  <c r="M336" i="3"/>
  <c r="N336" i="3"/>
  <c r="O336" i="3"/>
  <c r="L337" i="3"/>
  <c r="M337" i="3"/>
  <c r="N337" i="3"/>
  <c r="O337" i="3"/>
  <c r="L338" i="3"/>
  <c r="M338" i="3"/>
  <c r="N338" i="3"/>
  <c r="O338" i="3"/>
  <c r="L339" i="3"/>
  <c r="M339" i="3"/>
  <c r="N339" i="3"/>
  <c r="O339" i="3"/>
  <c r="L340" i="3"/>
  <c r="M340" i="3"/>
  <c r="N340" i="3"/>
  <c r="O340" i="3"/>
  <c r="L341" i="3"/>
  <c r="M341" i="3"/>
  <c r="N341" i="3"/>
  <c r="O341" i="3"/>
  <c r="L342" i="3"/>
  <c r="M342" i="3"/>
  <c r="N342" i="3"/>
  <c r="O342" i="3"/>
  <c r="L343" i="3"/>
  <c r="M343" i="3"/>
  <c r="N343" i="3"/>
  <c r="O343" i="3"/>
  <c r="L344" i="3"/>
  <c r="M344" i="3"/>
  <c r="N344" i="3"/>
  <c r="O344" i="3"/>
  <c r="L345" i="3"/>
  <c r="M345" i="3"/>
  <c r="N345" i="3"/>
  <c r="O345" i="3"/>
  <c r="L346" i="3"/>
  <c r="M346" i="3"/>
  <c r="N346" i="3"/>
  <c r="O346" i="3"/>
  <c r="L347" i="3"/>
  <c r="M347" i="3"/>
  <c r="N347" i="3"/>
  <c r="O347" i="3"/>
  <c r="L348" i="3"/>
  <c r="M348" i="3"/>
  <c r="N348" i="3"/>
  <c r="O348" i="3"/>
  <c r="L349" i="3"/>
  <c r="M349" i="3"/>
  <c r="N349" i="3"/>
  <c r="O349" i="3"/>
  <c r="L350" i="3"/>
  <c r="M350" i="3"/>
  <c r="N350" i="3"/>
  <c r="O350" i="3"/>
  <c r="L351" i="3"/>
  <c r="M351" i="3"/>
  <c r="N351" i="3"/>
  <c r="O351" i="3"/>
  <c r="L352" i="3"/>
  <c r="M352" i="3"/>
  <c r="N352" i="3"/>
  <c r="O352" i="3"/>
  <c r="L353" i="3"/>
  <c r="M353" i="3"/>
  <c r="N353" i="3"/>
  <c r="O353" i="3"/>
  <c r="L354" i="3"/>
  <c r="M354" i="3"/>
  <c r="N354" i="3"/>
  <c r="O354" i="3"/>
  <c r="L355" i="3"/>
  <c r="M355" i="3"/>
  <c r="N355" i="3"/>
  <c r="O355" i="3"/>
  <c r="L356" i="3"/>
  <c r="M356" i="3"/>
  <c r="N356" i="3"/>
  <c r="O356" i="3"/>
  <c r="L357" i="3"/>
  <c r="M357" i="3"/>
  <c r="N357" i="3"/>
  <c r="O357" i="3"/>
  <c r="L358" i="3"/>
  <c r="M358" i="3"/>
  <c r="N358" i="3"/>
  <c r="O358" i="3"/>
  <c r="L359" i="3"/>
  <c r="M359" i="3"/>
  <c r="N359" i="3"/>
  <c r="O359" i="3"/>
  <c r="L360" i="3"/>
  <c r="M360" i="3"/>
  <c r="N360" i="3"/>
  <c r="O360" i="3"/>
  <c r="L361" i="3"/>
  <c r="M361" i="3"/>
  <c r="N361" i="3"/>
  <c r="O361" i="3"/>
  <c r="L362" i="3"/>
  <c r="M362" i="3"/>
  <c r="N362" i="3"/>
  <c r="O362" i="3"/>
  <c r="L363" i="3"/>
  <c r="M363" i="3"/>
  <c r="N363" i="3"/>
  <c r="O363" i="3"/>
  <c r="L364" i="3"/>
  <c r="M364" i="3"/>
  <c r="N364" i="3"/>
  <c r="O364" i="3"/>
  <c r="L365" i="3"/>
  <c r="M365" i="3"/>
  <c r="N365" i="3"/>
  <c r="O365" i="3"/>
  <c r="L366" i="3"/>
  <c r="M366" i="3"/>
  <c r="N366" i="3"/>
  <c r="O366" i="3"/>
  <c r="L367" i="3"/>
  <c r="M367" i="3"/>
  <c r="N367" i="3"/>
  <c r="O367" i="3"/>
  <c r="L368" i="3"/>
  <c r="M368" i="3"/>
  <c r="N368" i="3"/>
  <c r="O368" i="3"/>
  <c r="L369" i="3"/>
  <c r="M369" i="3"/>
  <c r="N369" i="3"/>
  <c r="O369" i="3"/>
  <c r="L370" i="3"/>
  <c r="M370" i="3"/>
  <c r="N370" i="3"/>
  <c r="O370" i="3"/>
  <c r="L371" i="3"/>
  <c r="M371" i="3"/>
  <c r="N371" i="3"/>
  <c r="O371" i="3"/>
  <c r="L372" i="3"/>
  <c r="M372" i="3"/>
  <c r="N372" i="3"/>
  <c r="O372" i="3"/>
  <c r="L373" i="3"/>
  <c r="M373" i="3"/>
  <c r="N373" i="3"/>
  <c r="O373" i="3"/>
  <c r="L374" i="3"/>
  <c r="M374" i="3"/>
  <c r="N374" i="3"/>
  <c r="O374" i="3"/>
  <c r="L375" i="3"/>
  <c r="M375" i="3"/>
  <c r="N375" i="3"/>
  <c r="O375" i="3"/>
  <c r="L376" i="3"/>
  <c r="M376" i="3"/>
  <c r="N376" i="3"/>
  <c r="O376" i="3"/>
  <c r="L377" i="3"/>
  <c r="M377" i="3"/>
  <c r="N377" i="3"/>
  <c r="O377" i="3"/>
  <c r="L378" i="3"/>
  <c r="M378" i="3"/>
  <c r="N378" i="3"/>
  <c r="O378" i="3"/>
  <c r="L379" i="3"/>
  <c r="M379" i="3"/>
  <c r="N379" i="3"/>
  <c r="O379" i="3"/>
  <c r="L380" i="3"/>
  <c r="M380" i="3"/>
  <c r="N380" i="3"/>
  <c r="O380" i="3"/>
  <c r="L381" i="3"/>
  <c r="M381" i="3"/>
  <c r="N381" i="3"/>
  <c r="O381" i="3"/>
  <c r="L382" i="3"/>
  <c r="M382" i="3"/>
  <c r="N382" i="3"/>
  <c r="O382" i="3"/>
  <c r="L383" i="3"/>
  <c r="M383" i="3"/>
  <c r="N383" i="3"/>
  <c r="O383" i="3"/>
  <c r="L384" i="3"/>
  <c r="M384" i="3"/>
  <c r="N384" i="3"/>
  <c r="O384" i="3"/>
  <c r="L385" i="3"/>
  <c r="M385" i="3"/>
  <c r="N385" i="3"/>
  <c r="O385" i="3"/>
  <c r="L386" i="3"/>
  <c r="M386" i="3"/>
  <c r="N386" i="3"/>
  <c r="O386" i="3"/>
  <c r="L387" i="3"/>
  <c r="M387" i="3"/>
  <c r="N387" i="3"/>
  <c r="O387" i="3"/>
  <c r="L388" i="3"/>
  <c r="M388" i="3"/>
  <c r="N388" i="3"/>
  <c r="O388" i="3"/>
  <c r="L389" i="3"/>
  <c r="M389" i="3"/>
  <c r="N389" i="3"/>
  <c r="O389" i="3"/>
  <c r="L390" i="3"/>
  <c r="M390" i="3"/>
  <c r="N390" i="3"/>
  <c r="O390" i="3"/>
  <c r="L391" i="3"/>
  <c r="M391" i="3"/>
  <c r="N391" i="3"/>
  <c r="O391" i="3"/>
  <c r="L392" i="3"/>
  <c r="M392" i="3"/>
  <c r="N392" i="3"/>
  <c r="O392" i="3"/>
  <c r="L393" i="3"/>
  <c r="M393" i="3"/>
  <c r="N393" i="3"/>
  <c r="O393" i="3"/>
  <c r="L394" i="3"/>
  <c r="M394" i="3"/>
  <c r="N394" i="3"/>
  <c r="O394" i="3"/>
  <c r="L395" i="3"/>
  <c r="M395" i="3"/>
  <c r="N395" i="3"/>
  <c r="O395" i="3"/>
  <c r="L396" i="3"/>
  <c r="M396" i="3"/>
  <c r="N396" i="3"/>
  <c r="O396" i="3"/>
  <c r="L397" i="3"/>
  <c r="M397" i="3"/>
  <c r="N397" i="3"/>
  <c r="O397" i="3"/>
  <c r="L398" i="3"/>
  <c r="M398" i="3"/>
  <c r="N398" i="3"/>
  <c r="O398" i="3"/>
  <c r="L399" i="3"/>
  <c r="M399" i="3"/>
  <c r="N399" i="3"/>
  <c r="O399" i="3"/>
  <c r="L400" i="3"/>
  <c r="M400" i="3"/>
  <c r="N400" i="3"/>
  <c r="O400" i="3"/>
  <c r="L401" i="3"/>
  <c r="M401" i="3"/>
  <c r="N401" i="3"/>
  <c r="O401" i="3"/>
  <c r="L402" i="3"/>
  <c r="M402" i="3"/>
  <c r="N402" i="3"/>
  <c r="O402" i="3"/>
  <c r="L403" i="3"/>
  <c r="M403" i="3"/>
  <c r="N403" i="3"/>
  <c r="O403" i="3"/>
  <c r="L404" i="3"/>
  <c r="M404" i="3"/>
  <c r="N404" i="3"/>
  <c r="O404" i="3"/>
  <c r="L405" i="3"/>
  <c r="M405" i="3"/>
  <c r="N405" i="3"/>
  <c r="O405" i="3"/>
  <c r="L406" i="3"/>
  <c r="M406" i="3"/>
  <c r="N406" i="3"/>
  <c r="O406" i="3"/>
  <c r="L407" i="3"/>
  <c r="M407" i="3"/>
  <c r="N407" i="3"/>
  <c r="O407" i="3"/>
  <c r="L408" i="3"/>
  <c r="M408" i="3"/>
  <c r="N408" i="3"/>
  <c r="O408" i="3"/>
  <c r="L409" i="3"/>
  <c r="M409" i="3"/>
  <c r="N409" i="3"/>
  <c r="O409" i="3"/>
  <c r="L410" i="3"/>
  <c r="M410" i="3"/>
  <c r="N410" i="3"/>
  <c r="O410" i="3"/>
  <c r="L411" i="3"/>
  <c r="M411" i="3"/>
  <c r="N411" i="3"/>
  <c r="O411" i="3"/>
  <c r="L412" i="3"/>
  <c r="M412" i="3"/>
  <c r="N412" i="3"/>
  <c r="O412" i="3"/>
  <c r="L413" i="3"/>
  <c r="M413" i="3"/>
  <c r="N413" i="3"/>
  <c r="O413" i="3"/>
  <c r="L414" i="3"/>
  <c r="M414" i="3"/>
  <c r="N414" i="3"/>
  <c r="O414" i="3"/>
  <c r="L415" i="3"/>
  <c r="M415" i="3"/>
  <c r="N415" i="3"/>
  <c r="O415" i="3"/>
  <c r="L416" i="3"/>
  <c r="M416" i="3"/>
  <c r="N416" i="3"/>
  <c r="O416" i="3"/>
  <c r="L417" i="3"/>
  <c r="M417" i="3"/>
  <c r="N417" i="3"/>
  <c r="O417" i="3"/>
  <c r="L418" i="3"/>
  <c r="M418" i="3"/>
  <c r="N418" i="3"/>
  <c r="O418" i="3"/>
  <c r="L419" i="3"/>
  <c r="M419" i="3"/>
  <c r="N419" i="3"/>
  <c r="O419" i="3"/>
  <c r="L420" i="3"/>
  <c r="M420" i="3"/>
  <c r="N420" i="3"/>
  <c r="O420" i="3"/>
  <c r="L421" i="3"/>
  <c r="M421" i="3"/>
  <c r="N421" i="3"/>
  <c r="O421" i="3"/>
  <c r="L422" i="3"/>
  <c r="M422" i="3"/>
  <c r="N422" i="3"/>
  <c r="O422" i="3"/>
  <c r="L423" i="3"/>
  <c r="M423" i="3"/>
  <c r="N423" i="3"/>
  <c r="O423" i="3"/>
  <c r="L424" i="3"/>
  <c r="M424" i="3"/>
  <c r="N424" i="3"/>
  <c r="O424" i="3"/>
  <c r="L425" i="3"/>
  <c r="M425" i="3"/>
  <c r="N425" i="3"/>
  <c r="O425" i="3"/>
  <c r="L426" i="3"/>
  <c r="M426" i="3"/>
  <c r="N426" i="3"/>
  <c r="O426" i="3"/>
  <c r="L427" i="3"/>
  <c r="M427" i="3"/>
  <c r="N427" i="3"/>
  <c r="O427" i="3"/>
  <c r="L428" i="3"/>
  <c r="M428" i="3"/>
  <c r="N428" i="3"/>
  <c r="O428" i="3"/>
  <c r="L429" i="3"/>
  <c r="M429" i="3"/>
  <c r="N429" i="3"/>
  <c r="O429" i="3"/>
  <c r="L430" i="3"/>
  <c r="M430" i="3"/>
  <c r="N430" i="3"/>
  <c r="O430" i="3"/>
  <c r="L431" i="3"/>
  <c r="M431" i="3"/>
  <c r="N431" i="3"/>
  <c r="O431" i="3"/>
  <c r="L432" i="3"/>
  <c r="M432" i="3"/>
  <c r="N432" i="3"/>
  <c r="O432" i="3"/>
  <c r="L433" i="3"/>
  <c r="M433" i="3"/>
  <c r="N433" i="3"/>
  <c r="O433" i="3"/>
  <c r="L434" i="3"/>
  <c r="M434" i="3"/>
  <c r="N434" i="3"/>
  <c r="O434" i="3"/>
  <c r="L435" i="3"/>
  <c r="M435" i="3"/>
  <c r="N435" i="3"/>
  <c r="O435" i="3"/>
  <c r="L436" i="3"/>
  <c r="M436" i="3"/>
  <c r="N436" i="3"/>
  <c r="O436" i="3"/>
  <c r="L437" i="3"/>
  <c r="M437" i="3"/>
  <c r="N437" i="3"/>
  <c r="O437" i="3"/>
  <c r="L438" i="3"/>
  <c r="M438" i="3"/>
  <c r="N438" i="3"/>
  <c r="O438" i="3"/>
  <c r="L439" i="3"/>
  <c r="M439" i="3"/>
  <c r="N439" i="3"/>
  <c r="O439" i="3"/>
  <c r="L440" i="3"/>
  <c r="M440" i="3"/>
  <c r="N440" i="3"/>
  <c r="O440" i="3"/>
  <c r="L441" i="3"/>
  <c r="M441" i="3"/>
  <c r="N441" i="3"/>
  <c r="O441" i="3"/>
  <c r="L442" i="3"/>
  <c r="M442" i="3"/>
  <c r="N442" i="3"/>
  <c r="O442" i="3"/>
  <c r="L443" i="3"/>
  <c r="M443" i="3"/>
  <c r="N443" i="3"/>
  <c r="O443" i="3"/>
  <c r="L444" i="3"/>
  <c r="M444" i="3"/>
  <c r="N444" i="3"/>
  <c r="O444" i="3"/>
  <c r="L445" i="3"/>
  <c r="M445" i="3"/>
  <c r="N445" i="3"/>
  <c r="O445" i="3"/>
  <c r="L446" i="3"/>
  <c r="M446" i="3"/>
  <c r="N446" i="3"/>
  <c r="O446" i="3"/>
  <c r="L447" i="3"/>
  <c r="M447" i="3"/>
  <c r="N447" i="3"/>
  <c r="O447" i="3"/>
  <c r="L448" i="3"/>
  <c r="M448" i="3"/>
  <c r="N448" i="3"/>
  <c r="O448" i="3"/>
  <c r="L449" i="3"/>
  <c r="M449" i="3"/>
  <c r="N449" i="3"/>
  <c r="O449" i="3"/>
  <c r="L450" i="3"/>
  <c r="M450" i="3"/>
  <c r="N450" i="3"/>
  <c r="O450" i="3"/>
  <c r="L451" i="3"/>
  <c r="M451" i="3"/>
  <c r="N451" i="3"/>
  <c r="O451" i="3"/>
  <c r="L452" i="3"/>
  <c r="M452" i="3"/>
  <c r="N452" i="3"/>
  <c r="O452" i="3"/>
  <c r="L453" i="3"/>
  <c r="M453" i="3"/>
  <c r="N453" i="3"/>
  <c r="O453" i="3"/>
  <c r="L454" i="3"/>
  <c r="M454" i="3"/>
  <c r="N454" i="3"/>
  <c r="O454" i="3"/>
  <c r="L455" i="3"/>
  <c r="M455" i="3"/>
  <c r="N455" i="3"/>
  <c r="O455" i="3"/>
  <c r="L456" i="3"/>
  <c r="M456" i="3"/>
  <c r="N456" i="3"/>
  <c r="O456" i="3"/>
  <c r="L457" i="3"/>
  <c r="M457" i="3"/>
  <c r="N457" i="3"/>
  <c r="O457" i="3"/>
  <c r="L458" i="3"/>
  <c r="M458" i="3"/>
  <c r="N458" i="3"/>
  <c r="O458" i="3"/>
  <c r="L459" i="3"/>
  <c r="M459" i="3"/>
  <c r="N459" i="3"/>
  <c r="O459" i="3"/>
  <c r="L460" i="3"/>
  <c r="M460" i="3"/>
  <c r="N460" i="3"/>
  <c r="O460" i="3"/>
  <c r="L461" i="3"/>
  <c r="M461" i="3"/>
  <c r="N461" i="3"/>
  <c r="O461" i="3"/>
  <c r="L462" i="3"/>
  <c r="M462" i="3"/>
  <c r="N462" i="3"/>
  <c r="O462" i="3"/>
  <c r="L463" i="3"/>
  <c r="M463" i="3"/>
  <c r="N463" i="3"/>
  <c r="O463" i="3"/>
  <c r="L464" i="3"/>
  <c r="M464" i="3"/>
  <c r="N464" i="3"/>
  <c r="O464" i="3"/>
  <c r="L465" i="3"/>
  <c r="M465" i="3"/>
  <c r="N465" i="3"/>
  <c r="O465" i="3"/>
  <c r="L466" i="3"/>
  <c r="M466" i="3"/>
  <c r="N466" i="3"/>
  <c r="O466" i="3"/>
  <c r="L467" i="3"/>
  <c r="M467" i="3"/>
  <c r="N467" i="3"/>
  <c r="O467" i="3"/>
  <c r="L468" i="3"/>
  <c r="M468" i="3"/>
  <c r="N468" i="3"/>
  <c r="O468" i="3"/>
  <c r="L469" i="3"/>
  <c r="M469" i="3"/>
  <c r="N469" i="3"/>
  <c r="O469" i="3"/>
  <c r="L470" i="3"/>
  <c r="M470" i="3"/>
  <c r="N470" i="3"/>
  <c r="O470" i="3"/>
  <c r="L471" i="3"/>
  <c r="M471" i="3"/>
  <c r="N471" i="3"/>
  <c r="O471" i="3"/>
  <c r="L472" i="3"/>
  <c r="M472" i="3"/>
  <c r="N472" i="3"/>
  <c r="O472" i="3"/>
  <c r="L473" i="3"/>
  <c r="M473" i="3"/>
  <c r="N473" i="3"/>
  <c r="O473" i="3"/>
  <c r="L474" i="3"/>
  <c r="M474" i="3"/>
  <c r="N474" i="3"/>
  <c r="O474" i="3"/>
  <c r="L475" i="3"/>
  <c r="M475" i="3"/>
  <c r="N475" i="3"/>
  <c r="O475" i="3"/>
  <c r="L476" i="3"/>
  <c r="M476" i="3"/>
  <c r="N476" i="3"/>
  <c r="O476" i="3"/>
  <c r="L477" i="3"/>
  <c r="M477" i="3"/>
  <c r="N477" i="3"/>
  <c r="O477" i="3"/>
  <c r="L478" i="3"/>
  <c r="M478" i="3"/>
  <c r="N478" i="3"/>
  <c r="O478" i="3"/>
  <c r="L479" i="3"/>
  <c r="M479" i="3"/>
  <c r="N479" i="3"/>
  <c r="O479" i="3"/>
  <c r="L480" i="3"/>
  <c r="M480" i="3"/>
  <c r="N480" i="3"/>
  <c r="O480" i="3"/>
  <c r="L481" i="3"/>
  <c r="M481" i="3"/>
  <c r="N481" i="3"/>
  <c r="O481" i="3"/>
  <c r="L482" i="3"/>
  <c r="M482" i="3"/>
  <c r="N482" i="3"/>
  <c r="O482" i="3"/>
  <c r="L483" i="3"/>
  <c r="M483" i="3"/>
  <c r="N483" i="3"/>
  <c r="O483" i="3"/>
  <c r="L484" i="3"/>
  <c r="M484" i="3"/>
  <c r="N484" i="3"/>
  <c r="O484" i="3"/>
  <c r="L485" i="3"/>
  <c r="M485" i="3"/>
  <c r="N485" i="3"/>
  <c r="O485" i="3"/>
  <c r="L486" i="3"/>
  <c r="M486" i="3"/>
  <c r="N486" i="3"/>
  <c r="O486" i="3"/>
  <c r="L487" i="3"/>
  <c r="M487" i="3"/>
  <c r="N487" i="3"/>
  <c r="O487" i="3"/>
  <c r="L488" i="3"/>
  <c r="M488" i="3"/>
  <c r="N488" i="3"/>
  <c r="O488" i="3"/>
  <c r="L489" i="3"/>
  <c r="M489" i="3"/>
  <c r="N489" i="3"/>
  <c r="O489" i="3"/>
  <c r="L490" i="3"/>
  <c r="M490" i="3"/>
  <c r="N490" i="3"/>
  <c r="O490" i="3"/>
  <c r="L491" i="3"/>
  <c r="M491" i="3"/>
  <c r="N491" i="3"/>
  <c r="O491" i="3"/>
  <c r="L492" i="3"/>
  <c r="M492" i="3"/>
  <c r="N492" i="3"/>
  <c r="O492" i="3"/>
  <c r="L493" i="3"/>
  <c r="M493" i="3"/>
  <c r="N493" i="3"/>
  <c r="O493" i="3"/>
  <c r="L494" i="3"/>
  <c r="M494" i="3"/>
  <c r="N494" i="3"/>
  <c r="O494" i="3"/>
  <c r="L495" i="3"/>
  <c r="M495" i="3"/>
  <c r="N495" i="3"/>
  <c r="O495" i="3"/>
  <c r="L496" i="3"/>
  <c r="M496" i="3"/>
  <c r="N496" i="3"/>
  <c r="O496" i="3"/>
  <c r="L497" i="3"/>
  <c r="M497" i="3"/>
  <c r="N497" i="3"/>
  <c r="O497" i="3"/>
  <c r="L498" i="3"/>
  <c r="M498" i="3"/>
  <c r="N498" i="3"/>
  <c r="O498" i="3"/>
  <c r="L499" i="3"/>
  <c r="M499" i="3"/>
  <c r="N499" i="3"/>
  <c r="O499" i="3"/>
  <c r="L500" i="3"/>
  <c r="M500" i="3"/>
  <c r="N500" i="3"/>
  <c r="O500" i="3"/>
  <c r="L501" i="3"/>
  <c r="M501" i="3"/>
  <c r="N501" i="3"/>
  <c r="O501" i="3"/>
  <c r="L502" i="3"/>
  <c r="M502" i="3"/>
  <c r="N502" i="3"/>
  <c r="O502" i="3"/>
  <c r="L503" i="3"/>
  <c r="M503" i="3"/>
  <c r="N503" i="3"/>
  <c r="O503" i="3"/>
  <c r="L504" i="3"/>
  <c r="M504" i="3"/>
  <c r="N504" i="3"/>
  <c r="O504" i="3"/>
  <c r="L505" i="3"/>
  <c r="M505" i="3"/>
  <c r="N505" i="3"/>
  <c r="O505" i="3"/>
  <c r="L506" i="3"/>
  <c r="M506" i="3"/>
  <c r="N506" i="3"/>
  <c r="O506" i="3"/>
  <c r="L507" i="3"/>
  <c r="M507" i="3"/>
  <c r="N507" i="3"/>
  <c r="O507" i="3"/>
  <c r="L508" i="3"/>
  <c r="M508" i="3"/>
  <c r="N508" i="3"/>
  <c r="O508" i="3"/>
  <c r="L509" i="3"/>
  <c r="M509" i="3"/>
  <c r="N509" i="3"/>
  <c r="O509" i="3"/>
  <c r="L510" i="3"/>
  <c r="M510" i="3"/>
  <c r="N510" i="3"/>
  <c r="O510" i="3"/>
  <c r="L511" i="3"/>
  <c r="M511" i="3"/>
  <c r="N511" i="3"/>
  <c r="O511" i="3"/>
  <c r="L512" i="3"/>
  <c r="M512" i="3"/>
  <c r="N512" i="3"/>
  <c r="O512" i="3"/>
  <c r="L513" i="3"/>
  <c r="M513" i="3"/>
  <c r="N513" i="3"/>
  <c r="O513" i="3"/>
  <c r="L514" i="3"/>
  <c r="M514" i="3"/>
  <c r="N514" i="3"/>
  <c r="O514" i="3"/>
  <c r="L515" i="3"/>
  <c r="M515" i="3"/>
  <c r="N515" i="3"/>
  <c r="O515" i="3"/>
  <c r="L516" i="3"/>
  <c r="M516" i="3"/>
  <c r="N516" i="3"/>
  <c r="O516" i="3"/>
  <c r="L517" i="3"/>
  <c r="M517" i="3"/>
  <c r="N517" i="3"/>
  <c r="O517" i="3"/>
  <c r="L518" i="3"/>
  <c r="M518" i="3"/>
  <c r="N518" i="3"/>
  <c r="O518" i="3"/>
  <c r="L519" i="3"/>
  <c r="M519" i="3"/>
  <c r="N519" i="3"/>
  <c r="O519" i="3"/>
  <c r="L520" i="3"/>
  <c r="M520" i="3"/>
  <c r="N520" i="3"/>
  <c r="O520" i="3"/>
  <c r="L521" i="3"/>
  <c r="M521" i="3"/>
  <c r="N521" i="3"/>
  <c r="O521" i="3"/>
  <c r="L522" i="3"/>
  <c r="M522" i="3"/>
  <c r="N522" i="3"/>
  <c r="O522" i="3"/>
  <c r="L523" i="3"/>
  <c r="M523" i="3"/>
  <c r="N523" i="3"/>
  <c r="O523" i="3"/>
  <c r="L524" i="3"/>
  <c r="M524" i="3"/>
  <c r="N524" i="3"/>
  <c r="O524" i="3"/>
  <c r="L525" i="3"/>
  <c r="M525" i="3"/>
  <c r="N525" i="3"/>
  <c r="O525" i="3"/>
  <c r="L526" i="3"/>
  <c r="M526" i="3"/>
  <c r="N526" i="3"/>
  <c r="O526" i="3"/>
  <c r="L527" i="3"/>
  <c r="M527" i="3"/>
  <c r="N527" i="3"/>
  <c r="O527" i="3"/>
  <c r="L528" i="3"/>
  <c r="M528" i="3"/>
  <c r="N528" i="3"/>
  <c r="O528" i="3"/>
  <c r="L529" i="3"/>
  <c r="M529" i="3"/>
  <c r="N529" i="3"/>
  <c r="O529" i="3"/>
  <c r="L530" i="3"/>
  <c r="M530" i="3"/>
  <c r="N530" i="3"/>
  <c r="O530" i="3"/>
  <c r="L531" i="3"/>
  <c r="M531" i="3"/>
  <c r="N531" i="3"/>
  <c r="O531" i="3"/>
  <c r="L532" i="3"/>
  <c r="M532" i="3"/>
  <c r="N532" i="3"/>
  <c r="O532" i="3"/>
  <c r="L533" i="3"/>
  <c r="M533" i="3"/>
  <c r="N533" i="3"/>
  <c r="O533" i="3"/>
  <c r="M2" i="3"/>
  <c r="N2" i="3"/>
  <c r="O2" i="3"/>
  <c r="L2" i="3"/>
</calcChain>
</file>

<file path=xl/sharedStrings.xml><?xml version="1.0" encoding="utf-8"?>
<sst xmlns="http://schemas.openxmlformats.org/spreadsheetml/2006/main" count="12778" uniqueCount="42">
  <si>
    <t>1stD</t>
  </si>
  <si>
    <t>TotYd</t>
  </si>
  <si>
    <t>PassY</t>
  </si>
  <si>
    <t>RushY</t>
  </si>
  <si>
    <t>TO</t>
  </si>
  <si>
    <t>L</t>
  </si>
  <si>
    <t>@</t>
  </si>
  <si>
    <t>W</t>
  </si>
  <si>
    <t>N</t>
  </si>
  <si>
    <t>Outcome</t>
  </si>
  <si>
    <t>Where</t>
  </si>
  <si>
    <t>A</t>
  </si>
  <si>
    <t>H</t>
  </si>
  <si>
    <t>1stD Diff</t>
  </si>
  <si>
    <t>TotYd Diff</t>
  </si>
  <si>
    <t>PassY Diff</t>
  </si>
  <si>
    <t>RushY Diff</t>
  </si>
  <si>
    <t>TO Diff</t>
  </si>
  <si>
    <t>1stD H</t>
  </si>
  <si>
    <t>TotYd H</t>
  </si>
  <si>
    <t>PassY H</t>
  </si>
  <si>
    <t>RushY H</t>
  </si>
  <si>
    <t>TO H</t>
  </si>
  <si>
    <t>1stD A</t>
  </si>
  <si>
    <t>TotYd A</t>
  </si>
  <si>
    <t>PassY A</t>
  </si>
  <si>
    <t>RushY A</t>
  </si>
  <si>
    <t>TO A</t>
  </si>
  <si>
    <t>D</t>
  </si>
  <si>
    <t>C</t>
  </si>
  <si>
    <t>x</t>
  </si>
  <si>
    <t>Low</t>
  </si>
  <si>
    <t>Min</t>
  </si>
  <si>
    <t>MediumLow</t>
  </si>
  <si>
    <t>Q1</t>
  </si>
  <si>
    <t>Medium</t>
  </si>
  <si>
    <t>Q2</t>
  </si>
  <si>
    <t>MediumHigh</t>
  </si>
  <si>
    <t>Q3</t>
  </si>
  <si>
    <t>High</t>
  </si>
  <si>
    <t>Max</t>
  </si>
  <si>
    <t>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</si>
</sst>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4"/>
  <sheetViews>
    <sheetView topLeftCell="A61" workbookViewId="0">
      <selection activeCell="A73" sqref="A73"/>
    </sheetView>
  </sheetViews>
  <sheetFormatPr defaultRowHeight="14.5" x14ac:dyDescent="0.35"/>
  <sheetData>
    <row r="1" spans="1:12" x14ac:dyDescent="0.3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 x14ac:dyDescent="0.35">
      <c r="A2" t="s">
        <v>5</v>
      </c>
      <c r="B2" t="s">
        <v>6</v>
      </c>
      <c r="C2">
        <v>15</v>
      </c>
      <c r="D2">
        <v>349</v>
      </c>
      <c r="E2">
        <v>329</v>
      </c>
      <c r="F2">
        <v>20</v>
      </c>
      <c r="H2">
        <v>26</v>
      </c>
      <c r="I2">
        <v>440</v>
      </c>
      <c r="J2">
        <v>258</v>
      </c>
      <c r="K2">
        <v>182</v>
      </c>
    </row>
    <row r="3" spans="1:12" x14ac:dyDescent="0.35">
      <c r="A3" t="s">
        <v>5</v>
      </c>
      <c r="C3">
        <v>21</v>
      </c>
      <c r="D3">
        <v>248</v>
      </c>
      <c r="E3">
        <v>127</v>
      </c>
      <c r="F3">
        <v>121</v>
      </c>
      <c r="G3">
        <v>2</v>
      </c>
      <c r="H3">
        <v>21</v>
      </c>
      <c r="I3">
        <v>413</v>
      </c>
      <c r="J3">
        <v>240</v>
      </c>
      <c r="K3">
        <v>173</v>
      </c>
      <c r="L3">
        <v>1</v>
      </c>
    </row>
    <row r="4" spans="1:12" x14ac:dyDescent="0.35">
      <c r="A4" t="s">
        <v>5</v>
      </c>
      <c r="C4">
        <v>20</v>
      </c>
      <c r="D4">
        <v>321</v>
      </c>
      <c r="E4">
        <v>206</v>
      </c>
      <c r="F4">
        <v>115</v>
      </c>
      <c r="G4">
        <v>1</v>
      </c>
      <c r="H4">
        <v>21</v>
      </c>
      <c r="I4">
        <v>340</v>
      </c>
      <c r="J4">
        <v>225</v>
      </c>
      <c r="K4">
        <v>115</v>
      </c>
    </row>
    <row r="5" spans="1:12" x14ac:dyDescent="0.35">
      <c r="A5" t="s">
        <v>7</v>
      </c>
      <c r="B5" t="s">
        <v>6</v>
      </c>
      <c r="C5">
        <v>26</v>
      </c>
      <c r="D5">
        <v>514</v>
      </c>
      <c r="E5">
        <v>248</v>
      </c>
      <c r="F5">
        <v>266</v>
      </c>
      <c r="H5">
        <v>21</v>
      </c>
      <c r="I5">
        <v>370</v>
      </c>
      <c r="J5">
        <v>262</v>
      </c>
      <c r="K5">
        <v>108</v>
      </c>
    </row>
    <row r="6" spans="1:12" x14ac:dyDescent="0.35">
      <c r="A6" t="s">
        <v>7</v>
      </c>
      <c r="C6">
        <v>24</v>
      </c>
      <c r="D6">
        <v>442</v>
      </c>
      <c r="E6">
        <v>340</v>
      </c>
      <c r="F6">
        <v>102</v>
      </c>
      <c r="H6">
        <v>31</v>
      </c>
      <c r="I6">
        <v>444</v>
      </c>
      <c r="J6">
        <v>341</v>
      </c>
      <c r="K6">
        <v>103</v>
      </c>
    </row>
    <row r="7" spans="1:12" x14ac:dyDescent="0.35">
      <c r="A7" t="s">
        <v>7</v>
      </c>
      <c r="B7" t="s">
        <v>6</v>
      </c>
      <c r="C7">
        <v>18</v>
      </c>
      <c r="D7">
        <v>245</v>
      </c>
      <c r="E7">
        <v>89</v>
      </c>
      <c r="F7">
        <v>156</v>
      </c>
      <c r="H7">
        <v>21</v>
      </c>
      <c r="I7">
        <v>263</v>
      </c>
      <c r="J7">
        <v>156</v>
      </c>
      <c r="K7">
        <v>107</v>
      </c>
      <c r="L7">
        <v>3</v>
      </c>
    </row>
    <row r="8" spans="1:12" x14ac:dyDescent="0.35">
      <c r="A8" t="s">
        <v>5</v>
      </c>
      <c r="B8" t="s">
        <v>6</v>
      </c>
      <c r="C8">
        <v>10</v>
      </c>
      <c r="D8">
        <v>237</v>
      </c>
      <c r="E8">
        <v>197</v>
      </c>
      <c r="F8">
        <v>40</v>
      </c>
      <c r="H8">
        <v>28</v>
      </c>
      <c r="I8">
        <v>510</v>
      </c>
      <c r="J8">
        <v>373</v>
      </c>
      <c r="K8">
        <v>137</v>
      </c>
      <c r="L8">
        <v>1</v>
      </c>
    </row>
    <row r="9" spans="1:12" x14ac:dyDescent="0.35">
      <c r="A9" t="s">
        <v>5</v>
      </c>
      <c r="C9">
        <v>19</v>
      </c>
      <c r="D9">
        <v>357</v>
      </c>
      <c r="E9">
        <v>204</v>
      </c>
      <c r="F9">
        <v>153</v>
      </c>
      <c r="H9">
        <v>21</v>
      </c>
      <c r="I9">
        <v>411</v>
      </c>
      <c r="J9">
        <v>310</v>
      </c>
      <c r="K9">
        <v>101</v>
      </c>
    </row>
    <row r="10" spans="1:12" x14ac:dyDescent="0.35">
      <c r="A10" t="s">
        <v>5</v>
      </c>
      <c r="B10" t="s">
        <v>6</v>
      </c>
      <c r="C10">
        <v>20</v>
      </c>
      <c r="D10">
        <v>417</v>
      </c>
      <c r="E10">
        <v>342</v>
      </c>
      <c r="F10">
        <v>75</v>
      </c>
      <c r="G10">
        <v>2</v>
      </c>
      <c r="H10">
        <v>26</v>
      </c>
      <c r="I10">
        <v>457</v>
      </c>
      <c r="J10">
        <v>339</v>
      </c>
      <c r="K10">
        <v>118</v>
      </c>
      <c r="L10">
        <v>3</v>
      </c>
    </row>
    <row r="11" spans="1:12" x14ac:dyDescent="0.35">
      <c r="A11" t="s">
        <v>5</v>
      </c>
      <c r="B11" t="s">
        <v>6</v>
      </c>
      <c r="C11">
        <v>21</v>
      </c>
      <c r="D11">
        <v>266</v>
      </c>
      <c r="E11">
        <v>131</v>
      </c>
      <c r="F11">
        <v>135</v>
      </c>
      <c r="G11">
        <v>2</v>
      </c>
      <c r="H11">
        <v>26</v>
      </c>
      <c r="I11">
        <v>442</v>
      </c>
      <c r="J11">
        <v>408</v>
      </c>
      <c r="K11">
        <v>34</v>
      </c>
      <c r="L11">
        <v>2</v>
      </c>
    </row>
    <row r="12" spans="1:12" x14ac:dyDescent="0.35">
      <c r="A12" t="s">
        <v>5</v>
      </c>
      <c r="C12">
        <v>13</v>
      </c>
      <c r="D12">
        <v>198</v>
      </c>
      <c r="E12">
        <v>124</v>
      </c>
      <c r="F12">
        <v>74</v>
      </c>
      <c r="G12">
        <v>1</v>
      </c>
      <c r="H12">
        <v>27</v>
      </c>
      <c r="I12">
        <v>549</v>
      </c>
      <c r="J12">
        <v>417</v>
      </c>
      <c r="K12">
        <v>132</v>
      </c>
    </row>
    <row r="13" spans="1:12" x14ac:dyDescent="0.35">
      <c r="A13" t="s">
        <v>5</v>
      </c>
      <c r="C13">
        <v>17</v>
      </c>
      <c r="D13">
        <v>236</v>
      </c>
      <c r="E13">
        <v>165</v>
      </c>
      <c r="F13">
        <v>71</v>
      </c>
      <c r="G13">
        <v>3</v>
      </c>
      <c r="H13">
        <v>20</v>
      </c>
      <c r="I13">
        <v>275</v>
      </c>
      <c r="J13">
        <v>135</v>
      </c>
      <c r="K13">
        <v>140</v>
      </c>
      <c r="L13">
        <v>2</v>
      </c>
    </row>
    <row r="14" spans="1:12" x14ac:dyDescent="0.35">
      <c r="A14" t="s">
        <v>7</v>
      </c>
      <c r="C14">
        <v>26</v>
      </c>
      <c r="D14">
        <v>445</v>
      </c>
      <c r="E14">
        <v>219</v>
      </c>
      <c r="F14">
        <v>226</v>
      </c>
      <c r="G14">
        <v>1</v>
      </c>
      <c r="H14">
        <v>25</v>
      </c>
      <c r="I14">
        <v>393</v>
      </c>
      <c r="J14">
        <v>241</v>
      </c>
      <c r="K14">
        <v>152</v>
      </c>
      <c r="L14">
        <v>2</v>
      </c>
    </row>
    <row r="15" spans="1:12" x14ac:dyDescent="0.35">
      <c r="A15" t="s">
        <v>7</v>
      </c>
      <c r="B15" t="s">
        <v>6</v>
      </c>
      <c r="C15">
        <v>21</v>
      </c>
      <c r="D15">
        <v>412</v>
      </c>
      <c r="E15">
        <v>159</v>
      </c>
      <c r="F15">
        <v>253</v>
      </c>
      <c r="H15">
        <v>13</v>
      </c>
      <c r="I15">
        <v>224</v>
      </c>
      <c r="J15">
        <v>133</v>
      </c>
      <c r="K15">
        <v>91</v>
      </c>
      <c r="L15">
        <v>1</v>
      </c>
    </row>
    <row r="16" spans="1:12" x14ac:dyDescent="0.35">
      <c r="A16" t="s">
        <v>5</v>
      </c>
      <c r="B16" t="s">
        <v>6</v>
      </c>
      <c r="C16">
        <v>22</v>
      </c>
      <c r="D16">
        <v>393</v>
      </c>
      <c r="E16">
        <v>322</v>
      </c>
      <c r="F16">
        <v>71</v>
      </c>
      <c r="G16">
        <v>5</v>
      </c>
      <c r="H16">
        <v>25</v>
      </c>
      <c r="I16">
        <v>424</v>
      </c>
      <c r="J16">
        <v>311</v>
      </c>
      <c r="K16">
        <v>113</v>
      </c>
    </row>
    <row r="17" spans="1:12" x14ac:dyDescent="0.35">
      <c r="A17" t="s">
        <v>5</v>
      </c>
      <c r="B17" t="s">
        <v>6</v>
      </c>
      <c r="C17">
        <v>27</v>
      </c>
      <c r="D17">
        <v>345</v>
      </c>
      <c r="E17">
        <v>272</v>
      </c>
      <c r="F17">
        <v>73</v>
      </c>
      <c r="G17">
        <v>3</v>
      </c>
      <c r="H17">
        <v>18</v>
      </c>
      <c r="I17">
        <v>269</v>
      </c>
      <c r="J17">
        <v>97</v>
      </c>
      <c r="K17">
        <v>172</v>
      </c>
    </row>
    <row r="18" spans="1:12" x14ac:dyDescent="0.35">
      <c r="A18" t="s">
        <v>7</v>
      </c>
      <c r="C18">
        <v>19</v>
      </c>
      <c r="D18">
        <v>367</v>
      </c>
      <c r="E18">
        <v>310</v>
      </c>
      <c r="F18">
        <v>57</v>
      </c>
      <c r="G18">
        <v>3</v>
      </c>
      <c r="H18">
        <v>18</v>
      </c>
      <c r="I18">
        <v>286</v>
      </c>
      <c r="J18">
        <v>237</v>
      </c>
      <c r="K18">
        <v>49</v>
      </c>
      <c r="L18">
        <v>3</v>
      </c>
    </row>
    <row r="19" spans="1:12" x14ac:dyDescent="0.35">
      <c r="A19" t="s">
        <v>5</v>
      </c>
      <c r="B19" t="s">
        <v>6</v>
      </c>
      <c r="C19">
        <v>25</v>
      </c>
      <c r="D19">
        <v>397</v>
      </c>
      <c r="E19">
        <v>304</v>
      </c>
      <c r="F19">
        <v>93</v>
      </c>
      <c r="G19">
        <v>1</v>
      </c>
      <c r="H19">
        <v>29</v>
      </c>
      <c r="I19">
        <v>379</v>
      </c>
      <c r="J19">
        <v>300</v>
      </c>
      <c r="K19">
        <v>79</v>
      </c>
    </row>
    <row r="20" spans="1:12" x14ac:dyDescent="0.35">
      <c r="A20" t="s">
        <v>5</v>
      </c>
      <c r="C20">
        <v>24</v>
      </c>
      <c r="D20">
        <v>422</v>
      </c>
      <c r="E20">
        <v>364</v>
      </c>
      <c r="F20">
        <v>58</v>
      </c>
      <c r="G20">
        <v>1</v>
      </c>
      <c r="H20">
        <v>22</v>
      </c>
      <c r="I20">
        <v>365</v>
      </c>
      <c r="J20">
        <v>227</v>
      </c>
      <c r="K20">
        <v>138</v>
      </c>
    </row>
    <row r="21" spans="1:12" x14ac:dyDescent="0.35">
      <c r="A21" t="s">
        <v>5</v>
      </c>
      <c r="B21" t="s">
        <v>6</v>
      </c>
      <c r="C21">
        <v>22</v>
      </c>
      <c r="D21">
        <v>373</v>
      </c>
      <c r="E21">
        <v>316</v>
      </c>
      <c r="F21">
        <v>57</v>
      </c>
      <c r="G21">
        <v>1</v>
      </c>
      <c r="H21">
        <v>31</v>
      </c>
      <c r="I21">
        <v>592</v>
      </c>
      <c r="J21">
        <v>426</v>
      </c>
      <c r="K21">
        <v>166</v>
      </c>
      <c r="L21">
        <v>1</v>
      </c>
    </row>
    <row r="22" spans="1:12" x14ac:dyDescent="0.35">
      <c r="A22" t="s">
        <v>5</v>
      </c>
      <c r="B22" t="s">
        <v>6</v>
      </c>
      <c r="C22">
        <v>31</v>
      </c>
      <c r="D22">
        <v>444</v>
      </c>
      <c r="E22">
        <v>341</v>
      </c>
      <c r="F22">
        <v>103</v>
      </c>
      <c r="H22">
        <v>24</v>
      </c>
      <c r="I22">
        <v>442</v>
      </c>
      <c r="J22">
        <v>340</v>
      </c>
      <c r="K22">
        <v>102</v>
      </c>
    </row>
    <row r="23" spans="1:12" x14ac:dyDescent="0.35">
      <c r="A23" t="s">
        <v>5</v>
      </c>
      <c r="C23">
        <v>14</v>
      </c>
      <c r="D23">
        <v>224</v>
      </c>
      <c r="E23">
        <v>186</v>
      </c>
      <c r="F23">
        <v>38</v>
      </c>
      <c r="G23">
        <v>3</v>
      </c>
      <c r="H23">
        <v>23</v>
      </c>
      <c r="I23">
        <v>381</v>
      </c>
      <c r="J23">
        <v>291</v>
      </c>
      <c r="K23">
        <v>90</v>
      </c>
    </row>
    <row r="24" spans="1:12" x14ac:dyDescent="0.35">
      <c r="A24" t="s">
        <v>5</v>
      </c>
      <c r="C24">
        <v>30</v>
      </c>
      <c r="D24">
        <v>510</v>
      </c>
      <c r="E24">
        <v>441</v>
      </c>
      <c r="F24">
        <v>69</v>
      </c>
      <c r="G24">
        <v>3</v>
      </c>
      <c r="H24">
        <v>18</v>
      </c>
      <c r="I24">
        <v>322</v>
      </c>
      <c r="J24">
        <v>171</v>
      </c>
      <c r="K24">
        <v>151</v>
      </c>
    </row>
    <row r="25" spans="1:12" x14ac:dyDescent="0.35">
      <c r="A25" t="s">
        <v>7</v>
      </c>
      <c r="B25" t="s">
        <v>6</v>
      </c>
      <c r="C25">
        <v>24</v>
      </c>
      <c r="D25">
        <v>317</v>
      </c>
      <c r="E25">
        <v>174</v>
      </c>
      <c r="F25">
        <v>143</v>
      </c>
      <c r="G25">
        <v>1</v>
      </c>
      <c r="H25">
        <v>18</v>
      </c>
      <c r="I25">
        <v>310</v>
      </c>
      <c r="J25">
        <v>258</v>
      </c>
      <c r="K25">
        <v>52</v>
      </c>
    </row>
    <row r="26" spans="1:12" x14ac:dyDescent="0.35">
      <c r="A26" t="s">
        <v>7</v>
      </c>
      <c r="B26" t="s">
        <v>6</v>
      </c>
      <c r="C26">
        <v>20</v>
      </c>
      <c r="D26">
        <v>349</v>
      </c>
      <c r="E26">
        <v>295</v>
      </c>
      <c r="F26">
        <v>54</v>
      </c>
      <c r="H26">
        <v>17</v>
      </c>
      <c r="I26">
        <v>347</v>
      </c>
      <c r="J26">
        <v>270</v>
      </c>
      <c r="K26">
        <v>77</v>
      </c>
      <c r="L26">
        <v>4</v>
      </c>
    </row>
    <row r="27" spans="1:12" x14ac:dyDescent="0.35">
      <c r="A27" t="s">
        <v>5</v>
      </c>
      <c r="C27">
        <v>22</v>
      </c>
      <c r="D27">
        <v>337</v>
      </c>
      <c r="E27">
        <v>280</v>
      </c>
      <c r="F27">
        <v>57</v>
      </c>
      <c r="G27">
        <v>2</v>
      </c>
      <c r="H27">
        <v>20</v>
      </c>
      <c r="I27">
        <v>446</v>
      </c>
      <c r="J27">
        <v>313</v>
      </c>
      <c r="K27">
        <v>133</v>
      </c>
      <c r="L27">
        <v>2</v>
      </c>
    </row>
    <row r="28" spans="1:12" x14ac:dyDescent="0.35">
      <c r="A28" t="s">
        <v>5</v>
      </c>
      <c r="C28">
        <v>27</v>
      </c>
      <c r="D28">
        <v>348</v>
      </c>
      <c r="E28">
        <v>259</v>
      </c>
      <c r="F28">
        <v>89</v>
      </c>
      <c r="G28">
        <v>3</v>
      </c>
      <c r="H28">
        <v>14</v>
      </c>
      <c r="I28">
        <v>279</v>
      </c>
      <c r="J28">
        <v>184</v>
      </c>
      <c r="K28">
        <v>95</v>
      </c>
    </row>
    <row r="29" spans="1:12" x14ac:dyDescent="0.35">
      <c r="A29" t="s">
        <v>7</v>
      </c>
      <c r="C29">
        <v>22</v>
      </c>
      <c r="D29">
        <v>461</v>
      </c>
      <c r="E29">
        <v>302</v>
      </c>
      <c r="F29">
        <v>159</v>
      </c>
      <c r="H29">
        <v>27</v>
      </c>
      <c r="I29">
        <v>345</v>
      </c>
      <c r="J29">
        <v>245</v>
      </c>
      <c r="K29">
        <v>100</v>
      </c>
      <c r="L29">
        <v>4</v>
      </c>
    </row>
    <row r="30" spans="1:12" x14ac:dyDescent="0.35">
      <c r="A30" t="s">
        <v>7</v>
      </c>
      <c r="B30" t="s">
        <v>6</v>
      </c>
      <c r="C30">
        <v>20</v>
      </c>
      <c r="D30">
        <v>290</v>
      </c>
      <c r="E30">
        <v>201</v>
      </c>
      <c r="F30">
        <v>89</v>
      </c>
      <c r="G30">
        <v>1</v>
      </c>
      <c r="H30">
        <v>20</v>
      </c>
      <c r="I30">
        <v>313</v>
      </c>
      <c r="J30">
        <v>193</v>
      </c>
      <c r="K30">
        <v>120</v>
      </c>
      <c r="L30">
        <v>2</v>
      </c>
    </row>
    <row r="31" spans="1:12" x14ac:dyDescent="0.35">
      <c r="A31" t="s">
        <v>7</v>
      </c>
      <c r="C31">
        <v>28</v>
      </c>
      <c r="D31">
        <v>518</v>
      </c>
      <c r="E31">
        <v>383</v>
      </c>
      <c r="F31">
        <v>135</v>
      </c>
      <c r="G31">
        <v>2</v>
      </c>
      <c r="H31">
        <v>17</v>
      </c>
      <c r="I31">
        <v>288</v>
      </c>
      <c r="J31">
        <v>173</v>
      </c>
      <c r="K31">
        <v>115</v>
      </c>
      <c r="L31">
        <v>1</v>
      </c>
    </row>
    <row r="32" spans="1:12" x14ac:dyDescent="0.35">
      <c r="A32" t="s">
        <v>7</v>
      </c>
      <c r="B32" t="s">
        <v>6</v>
      </c>
      <c r="C32">
        <v>28</v>
      </c>
      <c r="D32">
        <v>373</v>
      </c>
      <c r="E32">
        <v>286</v>
      </c>
      <c r="F32">
        <v>87</v>
      </c>
      <c r="G32">
        <v>1</v>
      </c>
      <c r="H32">
        <v>14</v>
      </c>
      <c r="I32">
        <v>329</v>
      </c>
      <c r="J32">
        <v>193</v>
      </c>
      <c r="K32">
        <v>136</v>
      </c>
      <c r="L32">
        <v>3</v>
      </c>
    </row>
    <row r="33" spans="1:12" x14ac:dyDescent="0.35">
      <c r="A33" t="s">
        <v>7</v>
      </c>
      <c r="B33" t="s">
        <v>6</v>
      </c>
      <c r="C33">
        <v>31</v>
      </c>
      <c r="D33">
        <v>643</v>
      </c>
      <c r="E33">
        <v>378</v>
      </c>
      <c r="F33">
        <v>265</v>
      </c>
      <c r="H33">
        <v>12</v>
      </c>
      <c r="I33">
        <v>200</v>
      </c>
      <c r="J33">
        <v>179</v>
      </c>
      <c r="K33">
        <v>21</v>
      </c>
      <c r="L33">
        <v>3</v>
      </c>
    </row>
    <row r="34" spans="1:12" x14ac:dyDescent="0.35">
      <c r="A34" t="s">
        <v>7</v>
      </c>
      <c r="C34">
        <v>26</v>
      </c>
      <c r="D34">
        <v>440</v>
      </c>
      <c r="E34">
        <v>258</v>
      </c>
      <c r="F34">
        <v>182</v>
      </c>
      <c r="H34">
        <v>15</v>
      </c>
      <c r="I34">
        <v>349</v>
      </c>
      <c r="J34">
        <v>329</v>
      </c>
      <c r="K34">
        <v>20</v>
      </c>
    </row>
    <row r="35" spans="1:12" x14ac:dyDescent="0.35">
      <c r="A35" t="s">
        <v>5</v>
      </c>
      <c r="B35" t="s">
        <v>6</v>
      </c>
      <c r="C35">
        <v>29</v>
      </c>
      <c r="D35">
        <v>452</v>
      </c>
      <c r="E35">
        <v>249</v>
      </c>
      <c r="F35">
        <v>203</v>
      </c>
      <c r="H35">
        <v>27</v>
      </c>
      <c r="I35">
        <v>503</v>
      </c>
      <c r="J35">
        <v>363</v>
      </c>
      <c r="K35">
        <v>140</v>
      </c>
    </row>
    <row r="36" spans="1:12" x14ac:dyDescent="0.35">
      <c r="A36" t="s">
        <v>5</v>
      </c>
      <c r="C36">
        <v>24</v>
      </c>
      <c r="D36">
        <v>395</v>
      </c>
      <c r="E36">
        <v>222</v>
      </c>
      <c r="F36">
        <v>173</v>
      </c>
      <c r="G36">
        <v>3</v>
      </c>
      <c r="H36">
        <v>22</v>
      </c>
      <c r="I36">
        <v>530</v>
      </c>
      <c r="J36">
        <v>337</v>
      </c>
      <c r="K36">
        <v>193</v>
      </c>
      <c r="L36">
        <v>1</v>
      </c>
    </row>
    <row r="37" spans="1:12" x14ac:dyDescent="0.35">
      <c r="A37" t="s">
        <v>7</v>
      </c>
      <c r="B37" t="s">
        <v>6</v>
      </c>
      <c r="C37">
        <v>22</v>
      </c>
      <c r="D37">
        <v>277</v>
      </c>
      <c r="E37">
        <v>139</v>
      </c>
      <c r="F37">
        <v>138</v>
      </c>
      <c r="G37">
        <v>3</v>
      </c>
      <c r="H37">
        <v>18</v>
      </c>
      <c r="I37">
        <v>269</v>
      </c>
      <c r="J37">
        <v>192</v>
      </c>
      <c r="K37">
        <v>77</v>
      </c>
      <c r="L37">
        <v>2</v>
      </c>
    </row>
    <row r="38" spans="1:12" x14ac:dyDescent="0.35">
      <c r="A38" t="s">
        <v>7</v>
      </c>
      <c r="C38">
        <v>26</v>
      </c>
      <c r="D38">
        <v>497</v>
      </c>
      <c r="E38">
        <v>228</v>
      </c>
      <c r="F38">
        <v>269</v>
      </c>
      <c r="G38">
        <v>1</v>
      </c>
      <c r="H38">
        <v>18</v>
      </c>
      <c r="I38">
        <v>250</v>
      </c>
      <c r="J38">
        <v>217</v>
      </c>
      <c r="K38">
        <v>33</v>
      </c>
      <c r="L38">
        <v>1</v>
      </c>
    </row>
    <row r="39" spans="1:12" x14ac:dyDescent="0.35">
      <c r="A39" t="s">
        <v>7</v>
      </c>
      <c r="B39" t="s">
        <v>6</v>
      </c>
      <c r="C39">
        <v>14</v>
      </c>
      <c r="D39">
        <v>340</v>
      </c>
      <c r="E39">
        <v>141</v>
      </c>
      <c r="F39">
        <v>199</v>
      </c>
      <c r="H39">
        <v>20</v>
      </c>
      <c r="I39">
        <v>347</v>
      </c>
      <c r="J39">
        <v>241</v>
      </c>
      <c r="K39">
        <v>106</v>
      </c>
      <c r="L39">
        <v>2</v>
      </c>
    </row>
    <row r="40" spans="1:12" x14ac:dyDescent="0.35">
      <c r="A40" t="s">
        <v>7</v>
      </c>
      <c r="C40">
        <v>26</v>
      </c>
      <c r="D40">
        <v>372</v>
      </c>
      <c r="E40">
        <v>162</v>
      </c>
      <c r="F40">
        <v>210</v>
      </c>
      <c r="G40">
        <v>2</v>
      </c>
      <c r="H40">
        <v>22</v>
      </c>
      <c r="I40">
        <v>342</v>
      </c>
      <c r="J40">
        <v>268</v>
      </c>
      <c r="K40">
        <v>74</v>
      </c>
      <c r="L40">
        <v>2</v>
      </c>
    </row>
    <row r="41" spans="1:12" x14ac:dyDescent="0.35">
      <c r="A41" t="s">
        <v>7</v>
      </c>
      <c r="B41" t="s">
        <v>6</v>
      </c>
      <c r="C41">
        <v>20</v>
      </c>
      <c r="D41">
        <v>379</v>
      </c>
      <c r="E41">
        <v>243</v>
      </c>
      <c r="F41">
        <v>136</v>
      </c>
      <c r="G41">
        <v>1</v>
      </c>
      <c r="H41">
        <v>21</v>
      </c>
      <c r="I41">
        <v>307</v>
      </c>
      <c r="J41">
        <v>150</v>
      </c>
      <c r="K41">
        <v>157</v>
      </c>
      <c r="L41">
        <v>3</v>
      </c>
    </row>
    <row r="42" spans="1:12" x14ac:dyDescent="0.35">
      <c r="A42" t="s">
        <v>7</v>
      </c>
      <c r="C42">
        <v>25</v>
      </c>
      <c r="D42">
        <v>491</v>
      </c>
      <c r="E42">
        <v>235</v>
      </c>
      <c r="F42">
        <v>256</v>
      </c>
      <c r="H42">
        <v>16</v>
      </c>
      <c r="I42">
        <v>232</v>
      </c>
      <c r="J42">
        <v>110</v>
      </c>
      <c r="K42">
        <v>122</v>
      </c>
      <c r="L42">
        <v>2</v>
      </c>
    </row>
    <row r="43" spans="1:12" x14ac:dyDescent="0.35">
      <c r="A43" t="s">
        <v>7</v>
      </c>
      <c r="B43" t="s">
        <v>6</v>
      </c>
      <c r="C43">
        <v>31</v>
      </c>
      <c r="D43">
        <v>480</v>
      </c>
      <c r="E43">
        <v>195</v>
      </c>
      <c r="F43">
        <v>285</v>
      </c>
      <c r="H43">
        <v>14</v>
      </c>
      <c r="I43">
        <v>221</v>
      </c>
      <c r="J43">
        <v>199</v>
      </c>
      <c r="K43">
        <v>22</v>
      </c>
      <c r="L43">
        <v>2</v>
      </c>
    </row>
    <row r="44" spans="1:12" x14ac:dyDescent="0.35">
      <c r="A44" t="s">
        <v>7</v>
      </c>
      <c r="C44">
        <v>21</v>
      </c>
      <c r="D44">
        <v>283</v>
      </c>
      <c r="E44">
        <v>105</v>
      </c>
      <c r="F44">
        <v>178</v>
      </c>
      <c r="G44">
        <v>1</v>
      </c>
      <c r="H44">
        <v>15</v>
      </c>
      <c r="I44">
        <v>331</v>
      </c>
      <c r="J44">
        <v>157</v>
      </c>
      <c r="K44">
        <v>174</v>
      </c>
      <c r="L44">
        <v>1</v>
      </c>
    </row>
    <row r="45" spans="1:12" x14ac:dyDescent="0.35">
      <c r="A45" t="s">
        <v>7</v>
      </c>
      <c r="B45" t="s">
        <v>6</v>
      </c>
      <c r="C45">
        <v>18</v>
      </c>
      <c r="D45">
        <v>257</v>
      </c>
      <c r="E45">
        <v>139</v>
      </c>
      <c r="F45">
        <v>118</v>
      </c>
      <c r="G45">
        <v>1</v>
      </c>
      <c r="H45">
        <v>16</v>
      </c>
      <c r="I45">
        <v>209</v>
      </c>
      <c r="J45">
        <v>105</v>
      </c>
      <c r="K45">
        <v>104</v>
      </c>
      <c r="L45">
        <v>1</v>
      </c>
    </row>
    <row r="46" spans="1:12" x14ac:dyDescent="0.35">
      <c r="A46" t="s">
        <v>7</v>
      </c>
      <c r="C46">
        <v>23</v>
      </c>
      <c r="D46">
        <v>430</v>
      </c>
      <c r="E46">
        <v>212</v>
      </c>
      <c r="F46">
        <v>218</v>
      </c>
      <c r="H46">
        <v>13</v>
      </c>
      <c r="I46">
        <v>310</v>
      </c>
      <c r="J46">
        <v>207</v>
      </c>
      <c r="K46">
        <v>103</v>
      </c>
      <c r="L46">
        <v>2</v>
      </c>
    </row>
    <row r="47" spans="1:12" x14ac:dyDescent="0.35">
      <c r="A47" t="s">
        <v>7</v>
      </c>
      <c r="B47" t="s">
        <v>6</v>
      </c>
      <c r="C47">
        <v>31</v>
      </c>
      <c r="D47">
        <v>481</v>
      </c>
      <c r="E47">
        <v>238</v>
      </c>
      <c r="F47">
        <v>243</v>
      </c>
      <c r="G47">
        <v>1</v>
      </c>
      <c r="H47">
        <v>17</v>
      </c>
      <c r="I47">
        <v>241</v>
      </c>
      <c r="J47">
        <v>184</v>
      </c>
      <c r="K47">
        <v>57</v>
      </c>
      <c r="L47">
        <v>1</v>
      </c>
    </row>
    <row r="48" spans="1:12" x14ac:dyDescent="0.35">
      <c r="A48" t="s">
        <v>7</v>
      </c>
      <c r="C48">
        <v>19</v>
      </c>
      <c r="D48">
        <v>304</v>
      </c>
      <c r="E48">
        <v>81</v>
      </c>
      <c r="F48">
        <v>223</v>
      </c>
      <c r="G48">
        <v>2</v>
      </c>
      <c r="H48">
        <v>10</v>
      </c>
      <c r="I48">
        <v>168</v>
      </c>
      <c r="J48">
        <v>77</v>
      </c>
      <c r="K48">
        <v>91</v>
      </c>
      <c r="L48">
        <v>2</v>
      </c>
    </row>
    <row r="49" spans="1:12" x14ac:dyDescent="0.35">
      <c r="A49" t="s">
        <v>5</v>
      </c>
      <c r="C49">
        <v>29</v>
      </c>
      <c r="D49">
        <v>530</v>
      </c>
      <c r="E49">
        <v>345</v>
      </c>
      <c r="F49">
        <v>185</v>
      </c>
      <c r="G49">
        <v>3</v>
      </c>
      <c r="H49">
        <v>15</v>
      </c>
      <c r="I49">
        <v>300</v>
      </c>
      <c r="J49">
        <v>83</v>
      </c>
      <c r="K49">
        <v>217</v>
      </c>
    </row>
    <row r="50" spans="1:12" x14ac:dyDescent="0.35">
      <c r="A50" t="s">
        <v>7</v>
      </c>
      <c r="B50" t="s">
        <v>6</v>
      </c>
      <c r="C50">
        <v>23</v>
      </c>
      <c r="D50">
        <v>370</v>
      </c>
      <c r="E50">
        <v>242</v>
      </c>
      <c r="F50">
        <v>128</v>
      </c>
      <c r="G50">
        <v>4</v>
      </c>
      <c r="H50">
        <v>17</v>
      </c>
      <c r="I50">
        <v>223</v>
      </c>
      <c r="J50">
        <v>155</v>
      </c>
      <c r="K50">
        <v>68</v>
      </c>
      <c r="L50">
        <v>1</v>
      </c>
    </row>
    <row r="51" spans="1:12" x14ac:dyDescent="0.35">
      <c r="A51" t="s">
        <v>7</v>
      </c>
      <c r="B51" t="s">
        <v>6</v>
      </c>
      <c r="C51">
        <v>24</v>
      </c>
      <c r="D51">
        <v>388</v>
      </c>
      <c r="E51">
        <v>237</v>
      </c>
      <c r="F51">
        <v>151</v>
      </c>
      <c r="H51">
        <v>21</v>
      </c>
      <c r="I51">
        <v>370</v>
      </c>
      <c r="J51">
        <v>241</v>
      </c>
      <c r="K51">
        <v>129</v>
      </c>
      <c r="L51">
        <v>2</v>
      </c>
    </row>
    <row r="52" spans="1:12" x14ac:dyDescent="0.35">
      <c r="A52" t="s">
        <v>7</v>
      </c>
      <c r="C52">
        <v>25</v>
      </c>
      <c r="D52">
        <v>416</v>
      </c>
      <c r="E52">
        <v>241</v>
      </c>
      <c r="F52">
        <v>175</v>
      </c>
      <c r="G52">
        <v>2</v>
      </c>
      <c r="H52">
        <v>17</v>
      </c>
      <c r="I52">
        <v>306</v>
      </c>
      <c r="J52">
        <v>240</v>
      </c>
      <c r="K52">
        <v>66</v>
      </c>
      <c r="L52">
        <v>4</v>
      </c>
    </row>
    <row r="53" spans="1:12" x14ac:dyDescent="0.35">
      <c r="A53" t="s">
        <v>5</v>
      </c>
      <c r="C53">
        <v>23</v>
      </c>
      <c r="D53">
        <v>375</v>
      </c>
      <c r="E53">
        <v>240</v>
      </c>
      <c r="F53">
        <v>135</v>
      </c>
      <c r="G53">
        <v>4</v>
      </c>
      <c r="H53">
        <v>11</v>
      </c>
      <c r="I53">
        <v>224</v>
      </c>
      <c r="J53">
        <v>150</v>
      </c>
      <c r="K53">
        <v>74</v>
      </c>
      <c r="L53">
        <v>1</v>
      </c>
    </row>
    <row r="54" spans="1:12" x14ac:dyDescent="0.35">
      <c r="A54" t="s">
        <v>7</v>
      </c>
      <c r="B54" t="s">
        <v>6</v>
      </c>
      <c r="C54">
        <v>18</v>
      </c>
      <c r="D54">
        <v>313</v>
      </c>
      <c r="E54">
        <v>204</v>
      </c>
      <c r="F54">
        <v>109</v>
      </c>
      <c r="G54">
        <v>1</v>
      </c>
      <c r="H54">
        <v>14</v>
      </c>
      <c r="I54">
        <v>252</v>
      </c>
      <c r="J54">
        <v>150</v>
      </c>
      <c r="K54">
        <v>102</v>
      </c>
    </row>
    <row r="55" spans="1:12" x14ac:dyDescent="0.35">
      <c r="A55" t="s">
        <v>7</v>
      </c>
      <c r="C55">
        <v>17</v>
      </c>
      <c r="D55">
        <v>305</v>
      </c>
      <c r="E55">
        <v>188</v>
      </c>
      <c r="F55">
        <v>117</v>
      </c>
      <c r="H55">
        <v>24</v>
      </c>
      <c r="I55">
        <v>381</v>
      </c>
      <c r="J55">
        <v>272</v>
      </c>
      <c r="K55">
        <v>109</v>
      </c>
      <c r="L55">
        <v>2</v>
      </c>
    </row>
    <row r="56" spans="1:12" x14ac:dyDescent="0.35">
      <c r="A56" t="s">
        <v>5</v>
      </c>
      <c r="C56">
        <v>16</v>
      </c>
      <c r="D56">
        <v>253</v>
      </c>
      <c r="E56">
        <v>155</v>
      </c>
      <c r="F56">
        <v>98</v>
      </c>
      <c r="G56">
        <v>1</v>
      </c>
      <c r="H56">
        <v>21</v>
      </c>
      <c r="I56">
        <v>371</v>
      </c>
      <c r="J56">
        <v>153</v>
      </c>
      <c r="K56">
        <v>218</v>
      </c>
      <c r="L56">
        <v>1</v>
      </c>
    </row>
    <row r="57" spans="1:12" x14ac:dyDescent="0.35">
      <c r="A57" t="s">
        <v>7</v>
      </c>
      <c r="C57">
        <v>18</v>
      </c>
      <c r="D57">
        <v>268</v>
      </c>
      <c r="E57">
        <v>146</v>
      </c>
      <c r="F57">
        <v>122</v>
      </c>
      <c r="H57">
        <v>12</v>
      </c>
      <c r="I57">
        <v>243</v>
      </c>
      <c r="J57">
        <v>116</v>
      </c>
      <c r="K57">
        <v>127</v>
      </c>
    </row>
    <row r="58" spans="1:12" x14ac:dyDescent="0.35">
      <c r="A58" t="s">
        <v>5</v>
      </c>
      <c r="B58" t="s">
        <v>6</v>
      </c>
      <c r="C58">
        <v>20</v>
      </c>
      <c r="D58">
        <v>344</v>
      </c>
      <c r="E58">
        <v>260</v>
      </c>
      <c r="F58">
        <v>84</v>
      </c>
      <c r="H58">
        <v>24</v>
      </c>
      <c r="I58">
        <v>368</v>
      </c>
      <c r="J58">
        <v>221</v>
      </c>
      <c r="K58">
        <v>147</v>
      </c>
    </row>
    <row r="59" spans="1:12" x14ac:dyDescent="0.35">
      <c r="A59" t="s">
        <v>7</v>
      </c>
      <c r="B59" t="s">
        <v>6</v>
      </c>
      <c r="C59">
        <v>22</v>
      </c>
      <c r="D59">
        <v>424</v>
      </c>
      <c r="E59">
        <v>256</v>
      </c>
      <c r="F59">
        <v>168</v>
      </c>
      <c r="H59">
        <v>19</v>
      </c>
      <c r="I59">
        <v>303</v>
      </c>
      <c r="J59">
        <v>280</v>
      </c>
      <c r="K59">
        <v>23</v>
      </c>
      <c r="L59">
        <v>1</v>
      </c>
    </row>
    <row r="60" spans="1:12" x14ac:dyDescent="0.35">
      <c r="A60" t="s">
        <v>7</v>
      </c>
      <c r="C60">
        <v>22</v>
      </c>
      <c r="D60">
        <v>424</v>
      </c>
      <c r="E60">
        <v>180</v>
      </c>
      <c r="F60">
        <v>244</v>
      </c>
      <c r="G60">
        <v>1</v>
      </c>
      <c r="H60">
        <v>9</v>
      </c>
      <c r="I60">
        <v>134</v>
      </c>
      <c r="J60">
        <v>49</v>
      </c>
      <c r="K60">
        <v>85</v>
      </c>
      <c r="L60">
        <v>1</v>
      </c>
    </row>
    <row r="61" spans="1:12" x14ac:dyDescent="0.35">
      <c r="A61" t="s">
        <v>7</v>
      </c>
      <c r="B61" t="s">
        <v>6</v>
      </c>
      <c r="C61">
        <v>22</v>
      </c>
      <c r="D61">
        <v>356</v>
      </c>
      <c r="E61">
        <v>232</v>
      </c>
      <c r="F61">
        <v>124</v>
      </c>
      <c r="H61">
        <v>32</v>
      </c>
      <c r="I61">
        <v>426</v>
      </c>
      <c r="J61">
        <v>323</v>
      </c>
      <c r="K61">
        <v>103</v>
      </c>
      <c r="L61">
        <v>2</v>
      </c>
    </row>
    <row r="62" spans="1:12" x14ac:dyDescent="0.35">
      <c r="A62" t="s">
        <v>5</v>
      </c>
      <c r="C62">
        <v>16</v>
      </c>
      <c r="D62">
        <v>209</v>
      </c>
      <c r="E62">
        <v>105</v>
      </c>
      <c r="F62">
        <v>104</v>
      </c>
      <c r="G62">
        <v>1</v>
      </c>
      <c r="H62">
        <v>18</v>
      </c>
      <c r="I62">
        <v>257</v>
      </c>
      <c r="J62">
        <v>139</v>
      </c>
      <c r="K62">
        <v>118</v>
      </c>
      <c r="L62">
        <v>1</v>
      </c>
    </row>
    <row r="63" spans="1:12" x14ac:dyDescent="0.35">
      <c r="A63" t="s">
        <v>7</v>
      </c>
      <c r="B63" t="s">
        <v>6</v>
      </c>
      <c r="C63">
        <v>17</v>
      </c>
      <c r="D63">
        <v>261</v>
      </c>
      <c r="E63">
        <v>131</v>
      </c>
      <c r="F63">
        <v>130</v>
      </c>
      <c r="G63">
        <v>2</v>
      </c>
      <c r="H63">
        <v>15</v>
      </c>
      <c r="I63">
        <v>229</v>
      </c>
      <c r="J63">
        <v>178</v>
      </c>
      <c r="K63">
        <v>51</v>
      </c>
      <c r="L63">
        <v>5</v>
      </c>
    </row>
    <row r="64" spans="1:12" x14ac:dyDescent="0.35">
      <c r="A64" t="s">
        <v>5</v>
      </c>
      <c r="B64" t="s">
        <v>6</v>
      </c>
      <c r="C64">
        <v>14</v>
      </c>
      <c r="D64">
        <v>268</v>
      </c>
      <c r="E64">
        <v>176</v>
      </c>
      <c r="F64">
        <v>92</v>
      </c>
      <c r="H64">
        <v>23</v>
      </c>
      <c r="I64">
        <v>414</v>
      </c>
      <c r="J64">
        <v>271</v>
      </c>
      <c r="K64">
        <v>143</v>
      </c>
      <c r="L64">
        <v>1</v>
      </c>
    </row>
    <row r="65" spans="1:12" x14ac:dyDescent="0.35">
      <c r="A65" t="s">
        <v>5</v>
      </c>
      <c r="C65">
        <v>17</v>
      </c>
      <c r="D65">
        <v>309</v>
      </c>
      <c r="E65">
        <v>236</v>
      </c>
      <c r="F65">
        <v>73</v>
      </c>
      <c r="G65">
        <v>3</v>
      </c>
      <c r="H65">
        <v>18</v>
      </c>
      <c r="I65">
        <v>271</v>
      </c>
      <c r="J65">
        <v>185</v>
      </c>
      <c r="K65">
        <v>86</v>
      </c>
      <c r="L65">
        <v>1</v>
      </c>
    </row>
    <row r="66" spans="1:12" x14ac:dyDescent="0.35">
      <c r="A66" t="s">
        <v>5</v>
      </c>
      <c r="B66" t="s">
        <v>6</v>
      </c>
      <c r="C66">
        <v>24</v>
      </c>
      <c r="D66">
        <v>425</v>
      </c>
      <c r="E66">
        <v>253</v>
      </c>
      <c r="F66">
        <v>172</v>
      </c>
      <c r="G66">
        <v>1</v>
      </c>
      <c r="H66">
        <v>19</v>
      </c>
      <c r="I66">
        <v>360</v>
      </c>
      <c r="J66">
        <v>219</v>
      </c>
      <c r="K66">
        <v>141</v>
      </c>
      <c r="L66">
        <v>1</v>
      </c>
    </row>
    <row r="67" spans="1:12" x14ac:dyDescent="0.35">
      <c r="A67" t="s">
        <v>5</v>
      </c>
      <c r="C67">
        <v>21</v>
      </c>
      <c r="D67">
        <v>343</v>
      </c>
      <c r="E67">
        <v>216</v>
      </c>
      <c r="F67">
        <v>127</v>
      </c>
      <c r="G67">
        <v>3</v>
      </c>
      <c r="H67">
        <v>22</v>
      </c>
      <c r="I67">
        <v>349</v>
      </c>
      <c r="J67">
        <v>183</v>
      </c>
      <c r="K67">
        <v>166</v>
      </c>
      <c r="L67">
        <v>1</v>
      </c>
    </row>
    <row r="68" spans="1:12" x14ac:dyDescent="0.35">
      <c r="A68" t="s">
        <v>5</v>
      </c>
      <c r="C68">
        <v>20</v>
      </c>
      <c r="D68">
        <v>352</v>
      </c>
      <c r="E68">
        <v>313</v>
      </c>
      <c r="F68">
        <v>39</v>
      </c>
      <c r="G68">
        <v>1</v>
      </c>
      <c r="H68">
        <v>16</v>
      </c>
      <c r="I68">
        <v>289</v>
      </c>
      <c r="J68">
        <v>189</v>
      </c>
      <c r="K68">
        <v>100</v>
      </c>
    </row>
    <row r="69" spans="1:12" x14ac:dyDescent="0.35">
      <c r="A69" t="s">
        <v>7</v>
      </c>
      <c r="B69" t="s">
        <v>6</v>
      </c>
      <c r="C69">
        <v>21</v>
      </c>
      <c r="D69">
        <v>413</v>
      </c>
      <c r="E69">
        <v>240</v>
      </c>
      <c r="F69">
        <v>173</v>
      </c>
      <c r="G69">
        <v>1</v>
      </c>
      <c r="H69">
        <v>21</v>
      </c>
      <c r="I69">
        <v>248</v>
      </c>
      <c r="J69">
        <v>127</v>
      </c>
      <c r="K69">
        <v>121</v>
      </c>
      <c r="L69">
        <v>2</v>
      </c>
    </row>
    <row r="70" spans="1:12" x14ac:dyDescent="0.35">
      <c r="A70" t="s">
        <v>7</v>
      </c>
      <c r="B70" t="s">
        <v>6</v>
      </c>
      <c r="C70">
        <v>19</v>
      </c>
      <c r="D70">
        <v>297</v>
      </c>
      <c r="E70">
        <v>203</v>
      </c>
      <c r="F70">
        <v>94</v>
      </c>
      <c r="G70">
        <v>3</v>
      </c>
      <c r="H70">
        <v>18</v>
      </c>
      <c r="I70">
        <v>264</v>
      </c>
      <c r="J70">
        <v>128</v>
      </c>
      <c r="K70">
        <v>136</v>
      </c>
      <c r="L70">
        <v>2</v>
      </c>
    </row>
    <row r="71" spans="1:12" x14ac:dyDescent="0.35">
      <c r="A71" t="s">
        <v>7</v>
      </c>
      <c r="C71">
        <v>22</v>
      </c>
      <c r="D71">
        <v>445</v>
      </c>
      <c r="E71">
        <v>160</v>
      </c>
      <c r="F71">
        <v>285</v>
      </c>
      <c r="H71">
        <v>28</v>
      </c>
      <c r="I71">
        <v>507</v>
      </c>
      <c r="J71">
        <v>358</v>
      </c>
      <c r="K71">
        <v>149</v>
      </c>
      <c r="L71">
        <v>3</v>
      </c>
    </row>
    <row r="72" spans="1:12" x14ac:dyDescent="0.35">
      <c r="A72" t="s">
        <v>7</v>
      </c>
      <c r="B72" t="s">
        <v>6</v>
      </c>
      <c r="C72">
        <v>17</v>
      </c>
      <c r="D72">
        <v>268</v>
      </c>
      <c r="E72">
        <v>209</v>
      </c>
      <c r="F72">
        <v>59</v>
      </c>
      <c r="G72">
        <v>1</v>
      </c>
      <c r="H72">
        <v>23</v>
      </c>
      <c r="I72">
        <v>407</v>
      </c>
      <c r="J72">
        <v>365</v>
      </c>
      <c r="K72">
        <v>42</v>
      </c>
      <c r="L72">
        <v>7</v>
      </c>
    </row>
    <row r="74" spans="1:12" x14ac:dyDescent="0.35">
      <c r="A74" t="s">
        <v>5</v>
      </c>
      <c r="B74" t="s">
        <v>6</v>
      </c>
      <c r="C74">
        <v>12</v>
      </c>
      <c r="D74">
        <v>230</v>
      </c>
      <c r="E74">
        <v>100</v>
      </c>
      <c r="F74">
        <v>130</v>
      </c>
      <c r="G74">
        <v>3</v>
      </c>
      <c r="H74">
        <v>24</v>
      </c>
      <c r="I74">
        <v>388</v>
      </c>
      <c r="J74">
        <v>156</v>
      </c>
      <c r="K74">
        <v>232</v>
      </c>
      <c r="L74">
        <v>1</v>
      </c>
    </row>
    <row r="75" spans="1:12" x14ac:dyDescent="0.35">
      <c r="A75" t="s">
        <v>7</v>
      </c>
      <c r="C75">
        <v>22</v>
      </c>
      <c r="D75">
        <v>370</v>
      </c>
      <c r="E75">
        <v>214</v>
      </c>
      <c r="F75">
        <v>156</v>
      </c>
      <c r="G75">
        <v>1</v>
      </c>
      <c r="H75">
        <v>24</v>
      </c>
      <c r="I75">
        <v>431</v>
      </c>
      <c r="J75">
        <v>310</v>
      </c>
      <c r="K75">
        <v>121</v>
      </c>
      <c r="L75">
        <v>3</v>
      </c>
    </row>
    <row r="76" spans="1:12" x14ac:dyDescent="0.35">
      <c r="A76" t="s">
        <v>5</v>
      </c>
      <c r="B76" t="s">
        <v>6</v>
      </c>
      <c r="C76">
        <v>26</v>
      </c>
      <c r="D76">
        <v>401</v>
      </c>
      <c r="E76">
        <v>281</v>
      </c>
      <c r="F76">
        <v>120</v>
      </c>
      <c r="G76">
        <v>2</v>
      </c>
      <c r="H76">
        <v>23</v>
      </c>
      <c r="I76">
        <v>388</v>
      </c>
      <c r="J76">
        <v>225</v>
      </c>
      <c r="K76">
        <v>163</v>
      </c>
    </row>
    <row r="77" spans="1:12" x14ac:dyDescent="0.35">
      <c r="A77" t="s">
        <v>5</v>
      </c>
      <c r="C77">
        <v>17</v>
      </c>
      <c r="D77">
        <v>347</v>
      </c>
      <c r="E77">
        <v>270</v>
      </c>
      <c r="F77">
        <v>77</v>
      </c>
      <c r="G77">
        <v>4</v>
      </c>
      <c r="H77">
        <v>20</v>
      </c>
      <c r="I77">
        <v>349</v>
      </c>
      <c r="J77">
        <v>295</v>
      </c>
      <c r="K77">
        <v>54</v>
      </c>
    </row>
    <row r="78" spans="1:12" x14ac:dyDescent="0.35">
      <c r="A78" t="s">
        <v>5</v>
      </c>
      <c r="B78" t="s">
        <v>6</v>
      </c>
      <c r="C78">
        <v>26</v>
      </c>
      <c r="D78">
        <v>351</v>
      </c>
      <c r="E78">
        <v>230</v>
      </c>
      <c r="F78">
        <v>121</v>
      </c>
      <c r="G78">
        <v>1</v>
      </c>
      <c r="H78">
        <v>23</v>
      </c>
      <c r="I78">
        <v>418</v>
      </c>
      <c r="J78">
        <v>300</v>
      </c>
      <c r="K78">
        <v>118</v>
      </c>
      <c r="L78">
        <v>1</v>
      </c>
    </row>
    <row r="79" spans="1:12" x14ac:dyDescent="0.35">
      <c r="A79" t="s">
        <v>5</v>
      </c>
      <c r="C79">
        <v>22</v>
      </c>
      <c r="D79">
        <v>278</v>
      </c>
      <c r="E79">
        <v>213</v>
      </c>
      <c r="F79">
        <v>65</v>
      </c>
      <c r="G79">
        <v>2</v>
      </c>
      <c r="H79">
        <v>20</v>
      </c>
      <c r="I79">
        <v>362</v>
      </c>
      <c r="J79">
        <v>114</v>
      </c>
      <c r="K79">
        <v>248</v>
      </c>
    </row>
    <row r="80" spans="1:12" x14ac:dyDescent="0.35">
      <c r="A80" t="s">
        <v>5</v>
      </c>
      <c r="B80" t="s">
        <v>6</v>
      </c>
      <c r="C80">
        <v>27</v>
      </c>
      <c r="D80">
        <v>345</v>
      </c>
      <c r="E80">
        <v>245</v>
      </c>
      <c r="F80">
        <v>100</v>
      </c>
      <c r="G80">
        <v>4</v>
      </c>
      <c r="H80">
        <v>22</v>
      </c>
      <c r="I80">
        <v>461</v>
      </c>
      <c r="J80">
        <v>302</v>
      </c>
      <c r="K80">
        <v>159</v>
      </c>
    </row>
    <row r="81" spans="1:12" x14ac:dyDescent="0.35">
      <c r="A81" t="s">
        <v>5</v>
      </c>
      <c r="C81">
        <v>28</v>
      </c>
      <c r="D81">
        <v>414</v>
      </c>
      <c r="E81">
        <v>269</v>
      </c>
      <c r="F81">
        <v>145</v>
      </c>
      <c r="G81">
        <v>3</v>
      </c>
      <c r="H81">
        <v>21</v>
      </c>
      <c r="I81">
        <v>428</v>
      </c>
      <c r="J81">
        <v>274</v>
      </c>
      <c r="K81">
        <v>154</v>
      </c>
      <c r="L81">
        <v>1</v>
      </c>
    </row>
    <row r="82" spans="1:12" x14ac:dyDescent="0.35">
      <c r="A82" t="s">
        <v>5</v>
      </c>
      <c r="B82" t="s">
        <v>6</v>
      </c>
      <c r="C82">
        <v>19</v>
      </c>
      <c r="D82">
        <v>286</v>
      </c>
      <c r="E82">
        <v>199</v>
      </c>
      <c r="F82">
        <v>87</v>
      </c>
      <c r="G82">
        <v>3</v>
      </c>
      <c r="H82">
        <v>25</v>
      </c>
      <c r="I82">
        <v>324</v>
      </c>
      <c r="J82">
        <v>106</v>
      </c>
      <c r="K82">
        <v>218</v>
      </c>
    </row>
    <row r="83" spans="1:12" x14ac:dyDescent="0.35">
      <c r="A83" t="s">
        <v>5</v>
      </c>
      <c r="C83">
        <v>16</v>
      </c>
      <c r="D83">
        <v>329</v>
      </c>
      <c r="E83">
        <v>288</v>
      </c>
      <c r="F83">
        <v>41</v>
      </c>
      <c r="G83">
        <v>3</v>
      </c>
      <c r="H83">
        <v>25</v>
      </c>
      <c r="I83">
        <v>379</v>
      </c>
      <c r="J83">
        <v>264</v>
      </c>
      <c r="K83">
        <v>115</v>
      </c>
    </row>
    <row r="84" spans="1:12" x14ac:dyDescent="0.35">
      <c r="A84" t="s">
        <v>5</v>
      </c>
      <c r="C84">
        <v>16</v>
      </c>
      <c r="D84">
        <v>254</v>
      </c>
      <c r="E84">
        <v>208</v>
      </c>
      <c r="F84">
        <v>46</v>
      </c>
      <c r="G84">
        <v>1</v>
      </c>
      <c r="H84">
        <v>13</v>
      </c>
      <c r="I84">
        <v>213</v>
      </c>
      <c r="J84">
        <v>166</v>
      </c>
      <c r="K84">
        <v>47</v>
      </c>
    </row>
    <row r="85" spans="1:12" x14ac:dyDescent="0.35">
      <c r="A85" t="s">
        <v>7</v>
      </c>
      <c r="B85" t="s">
        <v>6</v>
      </c>
      <c r="C85">
        <v>18</v>
      </c>
      <c r="D85">
        <v>273</v>
      </c>
      <c r="E85">
        <v>120</v>
      </c>
      <c r="F85">
        <v>153</v>
      </c>
      <c r="H85">
        <v>27</v>
      </c>
      <c r="I85">
        <v>372</v>
      </c>
      <c r="J85">
        <v>282</v>
      </c>
      <c r="K85">
        <v>90</v>
      </c>
      <c r="L85">
        <v>1</v>
      </c>
    </row>
    <row r="86" spans="1:12" x14ac:dyDescent="0.35">
      <c r="A86" t="s">
        <v>7</v>
      </c>
      <c r="B86" t="s">
        <v>6</v>
      </c>
      <c r="C86">
        <v>21</v>
      </c>
      <c r="D86">
        <v>298</v>
      </c>
      <c r="E86">
        <v>208</v>
      </c>
      <c r="F86">
        <v>90</v>
      </c>
      <c r="G86">
        <v>1</v>
      </c>
      <c r="H86">
        <v>25</v>
      </c>
      <c r="I86">
        <v>356</v>
      </c>
      <c r="J86">
        <v>287</v>
      </c>
      <c r="K86">
        <v>69</v>
      </c>
      <c r="L86">
        <v>5</v>
      </c>
    </row>
    <row r="87" spans="1:12" x14ac:dyDescent="0.35">
      <c r="A87" t="s">
        <v>7</v>
      </c>
      <c r="C87">
        <v>17</v>
      </c>
      <c r="D87">
        <v>269</v>
      </c>
      <c r="E87">
        <v>197</v>
      </c>
      <c r="F87">
        <v>72</v>
      </c>
      <c r="H87">
        <v>15</v>
      </c>
      <c r="I87">
        <v>222</v>
      </c>
      <c r="J87">
        <v>182</v>
      </c>
      <c r="K87">
        <v>40</v>
      </c>
      <c r="L87">
        <v>2</v>
      </c>
    </row>
    <row r="88" spans="1:12" x14ac:dyDescent="0.35">
      <c r="A88" t="s">
        <v>5</v>
      </c>
      <c r="B88" t="s">
        <v>6</v>
      </c>
      <c r="C88">
        <v>15</v>
      </c>
      <c r="D88">
        <v>236</v>
      </c>
      <c r="E88">
        <v>194</v>
      </c>
      <c r="F88">
        <v>42</v>
      </c>
      <c r="G88">
        <v>2</v>
      </c>
      <c r="H88">
        <v>25</v>
      </c>
      <c r="I88">
        <v>398</v>
      </c>
      <c r="J88">
        <v>229</v>
      </c>
      <c r="K88">
        <v>169</v>
      </c>
      <c r="L88">
        <v>2</v>
      </c>
    </row>
    <row r="89" spans="1:12" x14ac:dyDescent="0.35">
      <c r="A89" t="s">
        <v>5</v>
      </c>
      <c r="C89">
        <v>16</v>
      </c>
      <c r="D89">
        <v>252</v>
      </c>
      <c r="E89">
        <v>235</v>
      </c>
      <c r="F89">
        <v>17</v>
      </c>
      <c r="G89">
        <v>2</v>
      </c>
      <c r="H89">
        <v>24</v>
      </c>
      <c r="I89">
        <v>424</v>
      </c>
      <c r="J89">
        <v>273</v>
      </c>
      <c r="K89">
        <v>151</v>
      </c>
    </row>
    <row r="90" spans="1:12" x14ac:dyDescent="0.35">
      <c r="A90" t="s">
        <v>5</v>
      </c>
      <c r="C90">
        <v>26</v>
      </c>
      <c r="D90">
        <v>388</v>
      </c>
      <c r="E90">
        <v>226</v>
      </c>
      <c r="F90">
        <v>162</v>
      </c>
      <c r="G90">
        <v>2</v>
      </c>
      <c r="H90">
        <v>11</v>
      </c>
      <c r="I90">
        <v>231</v>
      </c>
      <c r="J90">
        <v>195</v>
      </c>
      <c r="K90">
        <v>36</v>
      </c>
      <c r="L90">
        <v>1</v>
      </c>
    </row>
    <row r="91" spans="1:12" x14ac:dyDescent="0.35">
      <c r="A91" t="s">
        <v>5</v>
      </c>
      <c r="B91" t="s">
        <v>6</v>
      </c>
      <c r="C91">
        <v>10</v>
      </c>
      <c r="D91">
        <v>164</v>
      </c>
      <c r="E91">
        <v>102</v>
      </c>
      <c r="F91">
        <v>62</v>
      </c>
      <c r="G91">
        <v>1</v>
      </c>
      <c r="H91">
        <v>26</v>
      </c>
      <c r="I91">
        <v>373</v>
      </c>
      <c r="J91">
        <v>227</v>
      </c>
      <c r="K91">
        <v>146</v>
      </c>
    </row>
    <row r="92" spans="1:12" x14ac:dyDescent="0.35">
      <c r="A92" t="s">
        <v>7</v>
      </c>
      <c r="C92">
        <v>13</v>
      </c>
      <c r="D92">
        <v>226</v>
      </c>
      <c r="E92">
        <v>145</v>
      </c>
      <c r="F92">
        <v>81</v>
      </c>
      <c r="H92">
        <v>21</v>
      </c>
      <c r="I92">
        <v>357</v>
      </c>
      <c r="J92">
        <v>259</v>
      </c>
      <c r="K92">
        <v>98</v>
      </c>
      <c r="L92">
        <v>1</v>
      </c>
    </row>
    <row r="93" spans="1:12" x14ac:dyDescent="0.35">
      <c r="A93" t="s">
        <v>5</v>
      </c>
      <c r="B93" t="s">
        <v>6</v>
      </c>
      <c r="C93">
        <v>17</v>
      </c>
      <c r="D93">
        <v>267</v>
      </c>
      <c r="E93">
        <v>193</v>
      </c>
      <c r="F93">
        <v>74</v>
      </c>
      <c r="G93">
        <v>1</v>
      </c>
      <c r="H93">
        <v>13</v>
      </c>
      <c r="I93">
        <v>283</v>
      </c>
      <c r="J93">
        <v>173</v>
      </c>
      <c r="K93">
        <v>110</v>
      </c>
      <c r="L93">
        <v>2</v>
      </c>
    </row>
    <row r="94" spans="1:12" x14ac:dyDescent="0.35">
      <c r="A94" t="s">
        <v>7</v>
      </c>
      <c r="C94">
        <v>20</v>
      </c>
      <c r="D94">
        <v>335</v>
      </c>
      <c r="E94">
        <v>270</v>
      </c>
      <c r="F94">
        <v>65</v>
      </c>
      <c r="G94">
        <v>2</v>
      </c>
      <c r="H94">
        <v>14</v>
      </c>
      <c r="I94">
        <v>243</v>
      </c>
      <c r="J94">
        <v>134</v>
      </c>
      <c r="K94">
        <v>109</v>
      </c>
      <c r="L94">
        <v>1</v>
      </c>
    </row>
    <row r="95" spans="1:12" x14ac:dyDescent="0.35">
      <c r="A95" t="s">
        <v>7</v>
      </c>
      <c r="B95" t="s">
        <v>6</v>
      </c>
      <c r="C95">
        <v>22</v>
      </c>
      <c r="D95">
        <v>419</v>
      </c>
      <c r="E95">
        <v>331</v>
      </c>
      <c r="F95">
        <v>88</v>
      </c>
      <c r="G95">
        <v>1</v>
      </c>
      <c r="H95">
        <v>19</v>
      </c>
      <c r="I95">
        <v>364</v>
      </c>
      <c r="J95">
        <v>259</v>
      </c>
      <c r="K95">
        <v>105</v>
      </c>
      <c r="L95">
        <v>1</v>
      </c>
    </row>
    <row r="96" spans="1:12" x14ac:dyDescent="0.35">
      <c r="A96" t="s">
        <v>7</v>
      </c>
      <c r="C96">
        <v>24</v>
      </c>
      <c r="D96">
        <v>382</v>
      </c>
      <c r="E96">
        <v>231</v>
      </c>
      <c r="F96">
        <v>151</v>
      </c>
      <c r="G96">
        <v>2</v>
      </c>
      <c r="H96">
        <v>22</v>
      </c>
      <c r="I96">
        <v>408</v>
      </c>
      <c r="J96">
        <v>326</v>
      </c>
      <c r="K96">
        <v>82</v>
      </c>
    </row>
    <row r="97" spans="1:12" x14ac:dyDescent="0.35">
      <c r="A97" t="s">
        <v>5</v>
      </c>
      <c r="B97" t="s">
        <v>6</v>
      </c>
      <c r="C97">
        <v>20</v>
      </c>
      <c r="D97">
        <v>415</v>
      </c>
      <c r="E97">
        <v>319</v>
      </c>
      <c r="F97">
        <v>96</v>
      </c>
      <c r="G97">
        <v>3</v>
      </c>
      <c r="H97">
        <v>12</v>
      </c>
      <c r="I97">
        <v>292</v>
      </c>
      <c r="J97">
        <v>192</v>
      </c>
      <c r="K97">
        <v>100</v>
      </c>
    </row>
    <row r="98" spans="1:12" x14ac:dyDescent="0.35">
      <c r="A98" t="s">
        <v>5</v>
      </c>
      <c r="C98">
        <v>18</v>
      </c>
      <c r="D98">
        <v>234</v>
      </c>
      <c r="E98">
        <v>133</v>
      </c>
      <c r="F98">
        <v>101</v>
      </c>
      <c r="H98">
        <v>25</v>
      </c>
      <c r="I98">
        <v>350</v>
      </c>
      <c r="J98">
        <v>244</v>
      </c>
      <c r="K98">
        <v>106</v>
      </c>
    </row>
    <row r="99" spans="1:12" x14ac:dyDescent="0.35">
      <c r="A99" t="s">
        <v>7</v>
      </c>
      <c r="B99" t="s">
        <v>6</v>
      </c>
      <c r="C99">
        <v>24</v>
      </c>
      <c r="D99">
        <v>337</v>
      </c>
      <c r="E99">
        <v>179</v>
      </c>
      <c r="F99">
        <v>158</v>
      </c>
      <c r="G99">
        <v>1</v>
      </c>
      <c r="H99">
        <v>14</v>
      </c>
      <c r="I99">
        <v>300</v>
      </c>
      <c r="J99">
        <v>126</v>
      </c>
      <c r="K99">
        <v>174</v>
      </c>
      <c r="L99">
        <v>3</v>
      </c>
    </row>
    <row r="100" spans="1:12" x14ac:dyDescent="0.35">
      <c r="A100" t="s">
        <v>5</v>
      </c>
      <c r="B100" t="s">
        <v>6</v>
      </c>
      <c r="C100">
        <v>22</v>
      </c>
      <c r="D100">
        <v>429</v>
      </c>
      <c r="E100">
        <v>395</v>
      </c>
      <c r="F100">
        <v>34</v>
      </c>
      <c r="G100">
        <v>3</v>
      </c>
      <c r="H100">
        <v>12</v>
      </c>
      <c r="I100">
        <v>232</v>
      </c>
      <c r="J100">
        <v>160</v>
      </c>
      <c r="K100">
        <v>72</v>
      </c>
      <c r="L100">
        <v>1</v>
      </c>
    </row>
    <row r="101" spans="1:12" x14ac:dyDescent="0.35">
      <c r="A101" t="s">
        <v>5</v>
      </c>
      <c r="C101">
        <v>14</v>
      </c>
      <c r="D101">
        <v>316</v>
      </c>
      <c r="E101">
        <v>291</v>
      </c>
      <c r="F101">
        <v>25</v>
      </c>
      <c r="G101">
        <v>1</v>
      </c>
      <c r="H101">
        <v>27</v>
      </c>
      <c r="I101">
        <v>571</v>
      </c>
      <c r="J101">
        <v>312</v>
      </c>
      <c r="K101">
        <v>259</v>
      </c>
      <c r="L101">
        <v>1</v>
      </c>
    </row>
    <row r="102" spans="1:12" x14ac:dyDescent="0.35">
      <c r="A102" t="s">
        <v>5</v>
      </c>
      <c r="B102" t="s">
        <v>6</v>
      </c>
      <c r="C102">
        <v>17</v>
      </c>
      <c r="D102">
        <v>306</v>
      </c>
      <c r="E102">
        <v>240</v>
      </c>
      <c r="F102">
        <v>66</v>
      </c>
      <c r="G102">
        <v>4</v>
      </c>
      <c r="H102">
        <v>25</v>
      </c>
      <c r="I102">
        <v>416</v>
      </c>
      <c r="J102">
        <v>241</v>
      </c>
      <c r="K102">
        <v>175</v>
      </c>
      <c r="L102">
        <v>2</v>
      </c>
    </row>
    <row r="103" spans="1:12" x14ac:dyDescent="0.35">
      <c r="A103" t="s">
        <v>5</v>
      </c>
      <c r="B103" t="s">
        <v>6</v>
      </c>
      <c r="C103">
        <v>16</v>
      </c>
      <c r="D103">
        <v>175</v>
      </c>
      <c r="E103">
        <v>102</v>
      </c>
      <c r="F103">
        <v>73</v>
      </c>
      <c r="G103">
        <v>2</v>
      </c>
      <c r="H103">
        <v>20</v>
      </c>
      <c r="I103">
        <v>326</v>
      </c>
      <c r="J103">
        <v>260</v>
      </c>
      <c r="K103">
        <v>66</v>
      </c>
      <c r="L103">
        <v>1</v>
      </c>
    </row>
    <row r="104" spans="1:12" x14ac:dyDescent="0.35">
      <c r="A104" t="s">
        <v>5</v>
      </c>
      <c r="C104">
        <v>21</v>
      </c>
      <c r="D104">
        <v>370</v>
      </c>
      <c r="E104">
        <v>262</v>
      </c>
      <c r="F104">
        <v>108</v>
      </c>
      <c r="H104">
        <v>26</v>
      </c>
      <c r="I104">
        <v>514</v>
      </c>
      <c r="J104">
        <v>248</v>
      </c>
      <c r="K104">
        <v>266</v>
      </c>
    </row>
    <row r="105" spans="1:12" x14ac:dyDescent="0.35">
      <c r="A105" t="s">
        <v>5</v>
      </c>
      <c r="B105" t="s">
        <v>6</v>
      </c>
      <c r="C105">
        <v>18</v>
      </c>
      <c r="D105">
        <v>250</v>
      </c>
      <c r="E105">
        <v>217</v>
      </c>
      <c r="F105">
        <v>33</v>
      </c>
      <c r="G105">
        <v>1</v>
      </c>
      <c r="H105">
        <v>26</v>
      </c>
      <c r="I105">
        <v>497</v>
      </c>
      <c r="J105">
        <v>228</v>
      </c>
      <c r="K105">
        <v>269</v>
      </c>
      <c r="L105">
        <v>1</v>
      </c>
    </row>
    <row r="106" spans="1:12" x14ac:dyDescent="0.35">
      <c r="A106" t="s">
        <v>5</v>
      </c>
      <c r="C106">
        <v>21</v>
      </c>
      <c r="D106">
        <v>291</v>
      </c>
      <c r="E106">
        <v>258</v>
      </c>
      <c r="F106">
        <v>33</v>
      </c>
      <c r="G106">
        <v>4</v>
      </c>
      <c r="H106">
        <v>22</v>
      </c>
      <c r="I106">
        <v>460</v>
      </c>
      <c r="J106">
        <v>244</v>
      </c>
      <c r="K106">
        <v>216</v>
      </c>
    </row>
    <row r="107" spans="1:12" x14ac:dyDescent="0.35">
      <c r="A107" t="s">
        <v>5</v>
      </c>
      <c r="B107" t="s">
        <v>6</v>
      </c>
      <c r="C107">
        <v>24</v>
      </c>
      <c r="D107">
        <v>401</v>
      </c>
      <c r="E107">
        <v>297</v>
      </c>
      <c r="F107">
        <v>104</v>
      </c>
      <c r="H107">
        <v>19</v>
      </c>
      <c r="I107">
        <v>470</v>
      </c>
      <c r="J107">
        <v>372</v>
      </c>
      <c r="K107">
        <v>98</v>
      </c>
    </row>
    <row r="108" spans="1:12" x14ac:dyDescent="0.35">
      <c r="A108" t="s">
        <v>5</v>
      </c>
      <c r="C108">
        <v>21</v>
      </c>
      <c r="D108">
        <v>307</v>
      </c>
      <c r="E108">
        <v>150</v>
      </c>
      <c r="F108">
        <v>157</v>
      </c>
      <c r="G108">
        <v>3</v>
      </c>
      <c r="H108">
        <v>20</v>
      </c>
      <c r="I108">
        <v>379</v>
      </c>
      <c r="J108">
        <v>243</v>
      </c>
      <c r="K108">
        <v>136</v>
      </c>
      <c r="L108">
        <v>1</v>
      </c>
    </row>
    <row r="109" spans="1:12" x14ac:dyDescent="0.35">
      <c r="A109" t="s">
        <v>5</v>
      </c>
      <c r="B109" t="s">
        <v>6</v>
      </c>
      <c r="C109">
        <v>16</v>
      </c>
      <c r="D109">
        <v>246</v>
      </c>
      <c r="E109">
        <v>73</v>
      </c>
      <c r="F109">
        <v>173</v>
      </c>
      <c r="G109">
        <v>2</v>
      </c>
      <c r="H109">
        <v>20</v>
      </c>
      <c r="I109">
        <v>386</v>
      </c>
      <c r="J109">
        <v>273</v>
      </c>
      <c r="K109">
        <v>113</v>
      </c>
      <c r="L109">
        <v>2</v>
      </c>
    </row>
    <row r="110" spans="1:12" x14ac:dyDescent="0.35">
      <c r="A110" t="s">
        <v>5</v>
      </c>
      <c r="C110">
        <v>11</v>
      </c>
      <c r="D110">
        <v>244</v>
      </c>
      <c r="E110">
        <v>158</v>
      </c>
      <c r="F110">
        <v>86</v>
      </c>
      <c r="G110">
        <v>2</v>
      </c>
      <c r="H110">
        <v>16</v>
      </c>
      <c r="I110">
        <v>338</v>
      </c>
      <c r="J110">
        <v>179</v>
      </c>
      <c r="K110">
        <v>159</v>
      </c>
      <c r="L110">
        <v>1</v>
      </c>
    </row>
    <row r="111" spans="1:12" x14ac:dyDescent="0.35">
      <c r="A111" t="s">
        <v>7</v>
      </c>
      <c r="C111">
        <v>18</v>
      </c>
      <c r="D111">
        <v>277</v>
      </c>
      <c r="E111">
        <v>233</v>
      </c>
      <c r="F111">
        <v>44</v>
      </c>
      <c r="H111">
        <v>15</v>
      </c>
      <c r="I111">
        <v>271</v>
      </c>
      <c r="J111">
        <v>209</v>
      </c>
      <c r="K111">
        <v>62</v>
      </c>
    </row>
    <row r="112" spans="1:12" x14ac:dyDescent="0.35">
      <c r="A112" t="s">
        <v>5</v>
      </c>
      <c r="B112" t="s">
        <v>6</v>
      </c>
      <c r="C112">
        <v>27</v>
      </c>
      <c r="D112">
        <v>451</v>
      </c>
      <c r="E112">
        <v>272</v>
      </c>
      <c r="F112">
        <v>179</v>
      </c>
      <c r="G112">
        <v>1</v>
      </c>
      <c r="H112">
        <v>17</v>
      </c>
      <c r="I112">
        <v>333</v>
      </c>
      <c r="J112">
        <v>187</v>
      </c>
      <c r="K112">
        <v>146</v>
      </c>
      <c r="L112">
        <v>2</v>
      </c>
    </row>
    <row r="113" spans="1:12" x14ac:dyDescent="0.35">
      <c r="A113" t="s">
        <v>5</v>
      </c>
      <c r="C113">
        <v>19</v>
      </c>
      <c r="D113">
        <v>315</v>
      </c>
      <c r="E113">
        <v>151</v>
      </c>
      <c r="F113">
        <v>164</v>
      </c>
      <c r="G113">
        <v>5</v>
      </c>
      <c r="H113">
        <v>19</v>
      </c>
      <c r="I113">
        <v>291</v>
      </c>
      <c r="J113">
        <v>116</v>
      </c>
      <c r="K113">
        <v>175</v>
      </c>
    </row>
    <row r="114" spans="1:12" x14ac:dyDescent="0.35">
      <c r="A114" t="s">
        <v>5</v>
      </c>
      <c r="B114" t="s">
        <v>6</v>
      </c>
      <c r="C114">
        <v>25</v>
      </c>
      <c r="D114">
        <v>430</v>
      </c>
      <c r="E114">
        <v>371</v>
      </c>
      <c r="F114">
        <v>59</v>
      </c>
      <c r="G114">
        <v>1</v>
      </c>
      <c r="H114">
        <v>29</v>
      </c>
      <c r="I114">
        <v>502</v>
      </c>
      <c r="J114">
        <v>406</v>
      </c>
      <c r="K114">
        <v>96</v>
      </c>
      <c r="L114">
        <v>1</v>
      </c>
    </row>
    <row r="115" spans="1:12" x14ac:dyDescent="0.35">
      <c r="A115" t="s">
        <v>7</v>
      </c>
      <c r="C115">
        <v>22</v>
      </c>
      <c r="D115">
        <v>361</v>
      </c>
      <c r="E115">
        <v>182</v>
      </c>
      <c r="F115">
        <v>179</v>
      </c>
      <c r="G115">
        <v>1</v>
      </c>
      <c r="H115">
        <v>15</v>
      </c>
      <c r="I115">
        <v>313</v>
      </c>
      <c r="J115">
        <v>239</v>
      </c>
      <c r="K115">
        <v>74</v>
      </c>
      <c r="L115">
        <v>3</v>
      </c>
    </row>
    <row r="116" spans="1:12" x14ac:dyDescent="0.35">
      <c r="A116" t="s">
        <v>5</v>
      </c>
      <c r="C116">
        <v>19</v>
      </c>
      <c r="D116">
        <v>346</v>
      </c>
      <c r="E116">
        <v>244</v>
      </c>
      <c r="F116">
        <v>102</v>
      </c>
      <c r="G116">
        <v>3</v>
      </c>
      <c r="H116">
        <v>21</v>
      </c>
      <c r="I116">
        <v>339</v>
      </c>
      <c r="J116">
        <v>216</v>
      </c>
      <c r="K116">
        <v>123</v>
      </c>
    </row>
    <row r="117" spans="1:12" x14ac:dyDescent="0.35">
      <c r="A117" t="s">
        <v>7</v>
      </c>
      <c r="B117" t="s">
        <v>6</v>
      </c>
      <c r="C117">
        <v>16</v>
      </c>
      <c r="D117">
        <v>375</v>
      </c>
      <c r="E117">
        <v>305</v>
      </c>
      <c r="F117">
        <v>70</v>
      </c>
      <c r="G117">
        <v>1</v>
      </c>
      <c r="H117">
        <v>13</v>
      </c>
      <c r="I117">
        <v>262</v>
      </c>
      <c r="J117">
        <v>169</v>
      </c>
      <c r="K117">
        <v>93</v>
      </c>
      <c r="L117">
        <v>1</v>
      </c>
    </row>
    <row r="118" spans="1:12" x14ac:dyDescent="0.35">
      <c r="A118" t="s">
        <v>5</v>
      </c>
      <c r="C118">
        <v>18</v>
      </c>
      <c r="D118">
        <v>270</v>
      </c>
      <c r="E118">
        <v>175</v>
      </c>
      <c r="F118">
        <v>95</v>
      </c>
      <c r="G118">
        <v>1</v>
      </c>
      <c r="H118">
        <v>20</v>
      </c>
      <c r="I118">
        <v>344</v>
      </c>
      <c r="J118">
        <v>254</v>
      </c>
      <c r="K118">
        <v>90</v>
      </c>
      <c r="L118">
        <v>3</v>
      </c>
    </row>
    <row r="119" spans="1:12" x14ac:dyDescent="0.35">
      <c r="A119" t="s">
        <v>7</v>
      </c>
      <c r="B119" t="s">
        <v>6</v>
      </c>
      <c r="C119">
        <v>22</v>
      </c>
      <c r="D119">
        <v>530</v>
      </c>
      <c r="E119">
        <v>337</v>
      </c>
      <c r="F119">
        <v>193</v>
      </c>
      <c r="G119">
        <v>1</v>
      </c>
      <c r="H119">
        <v>24</v>
      </c>
      <c r="I119">
        <v>395</v>
      </c>
      <c r="J119">
        <v>222</v>
      </c>
      <c r="K119">
        <v>173</v>
      </c>
      <c r="L119">
        <v>3</v>
      </c>
    </row>
    <row r="120" spans="1:12" x14ac:dyDescent="0.35">
      <c r="A120" t="s">
        <v>5</v>
      </c>
      <c r="B120" t="s">
        <v>6</v>
      </c>
      <c r="C120">
        <v>9</v>
      </c>
      <c r="D120">
        <v>180</v>
      </c>
      <c r="E120">
        <v>78</v>
      </c>
      <c r="F120">
        <v>102</v>
      </c>
      <c r="G120">
        <v>4</v>
      </c>
      <c r="H120">
        <v>22</v>
      </c>
      <c r="I120">
        <v>446</v>
      </c>
      <c r="J120">
        <v>171</v>
      </c>
      <c r="K120">
        <v>275</v>
      </c>
    </row>
    <row r="121" spans="1:12" x14ac:dyDescent="0.35">
      <c r="A121" t="s">
        <v>5</v>
      </c>
      <c r="C121">
        <v>21</v>
      </c>
      <c r="D121">
        <v>406</v>
      </c>
      <c r="E121">
        <v>249</v>
      </c>
      <c r="F121">
        <v>157</v>
      </c>
      <c r="G121">
        <v>4</v>
      </c>
      <c r="H121">
        <v>29</v>
      </c>
      <c r="I121">
        <v>454</v>
      </c>
      <c r="J121">
        <v>284</v>
      </c>
      <c r="K121">
        <v>170</v>
      </c>
      <c r="L121">
        <v>1</v>
      </c>
    </row>
    <row r="122" spans="1:12" x14ac:dyDescent="0.35">
      <c r="A122" t="s">
        <v>5</v>
      </c>
      <c r="B122" t="s">
        <v>6</v>
      </c>
      <c r="C122">
        <v>15</v>
      </c>
      <c r="D122">
        <v>310</v>
      </c>
      <c r="E122">
        <v>151</v>
      </c>
      <c r="F122">
        <v>159</v>
      </c>
      <c r="G122">
        <v>3</v>
      </c>
      <c r="H122">
        <v>19</v>
      </c>
      <c r="I122">
        <v>318</v>
      </c>
      <c r="J122">
        <v>239</v>
      </c>
      <c r="K122">
        <v>79</v>
      </c>
    </row>
    <row r="123" spans="1:12" x14ac:dyDescent="0.35">
      <c r="A123" t="s">
        <v>5</v>
      </c>
      <c r="B123" t="s">
        <v>6</v>
      </c>
      <c r="C123">
        <v>21</v>
      </c>
      <c r="D123">
        <v>351</v>
      </c>
      <c r="E123">
        <v>261</v>
      </c>
      <c r="F123">
        <v>90</v>
      </c>
      <c r="H123">
        <v>13</v>
      </c>
      <c r="I123">
        <v>302</v>
      </c>
      <c r="J123">
        <v>175</v>
      </c>
      <c r="K123">
        <v>127</v>
      </c>
      <c r="L123">
        <v>1</v>
      </c>
    </row>
    <row r="124" spans="1:12" x14ac:dyDescent="0.35">
      <c r="A124" t="s">
        <v>7</v>
      </c>
      <c r="C124">
        <v>24</v>
      </c>
      <c r="D124">
        <v>368</v>
      </c>
      <c r="E124">
        <v>221</v>
      </c>
      <c r="F124">
        <v>147</v>
      </c>
      <c r="H124">
        <v>20</v>
      </c>
      <c r="I124">
        <v>344</v>
      </c>
      <c r="J124">
        <v>260</v>
      </c>
      <c r="K124">
        <v>84</v>
      </c>
    </row>
    <row r="125" spans="1:12" x14ac:dyDescent="0.35">
      <c r="A125" t="s">
        <v>7</v>
      </c>
      <c r="C125">
        <v>17</v>
      </c>
      <c r="D125">
        <v>293</v>
      </c>
      <c r="E125">
        <v>189</v>
      </c>
      <c r="F125">
        <v>104</v>
      </c>
      <c r="H125">
        <v>18</v>
      </c>
      <c r="I125">
        <v>236</v>
      </c>
      <c r="J125">
        <v>178</v>
      </c>
      <c r="K125">
        <v>58</v>
      </c>
      <c r="L125">
        <v>4</v>
      </c>
    </row>
    <row r="126" spans="1:12" x14ac:dyDescent="0.35">
      <c r="A126" t="s">
        <v>7</v>
      </c>
      <c r="C126">
        <v>30</v>
      </c>
      <c r="D126">
        <v>467</v>
      </c>
      <c r="E126">
        <v>320</v>
      </c>
      <c r="F126">
        <v>147</v>
      </c>
      <c r="G126">
        <v>1</v>
      </c>
      <c r="H126">
        <v>22</v>
      </c>
      <c r="I126">
        <v>284</v>
      </c>
      <c r="J126">
        <v>192</v>
      </c>
      <c r="K126">
        <v>92</v>
      </c>
      <c r="L126">
        <v>2</v>
      </c>
    </row>
    <row r="127" spans="1:12" x14ac:dyDescent="0.35">
      <c r="A127" t="s">
        <v>5</v>
      </c>
      <c r="B127" t="s">
        <v>6</v>
      </c>
      <c r="C127">
        <v>19</v>
      </c>
      <c r="D127">
        <v>279</v>
      </c>
      <c r="E127">
        <v>173</v>
      </c>
      <c r="F127">
        <v>106</v>
      </c>
      <c r="G127">
        <v>2</v>
      </c>
      <c r="H127">
        <v>18</v>
      </c>
      <c r="I127">
        <v>323</v>
      </c>
      <c r="J127">
        <v>199</v>
      </c>
      <c r="K127">
        <v>124</v>
      </c>
      <c r="L127">
        <v>1</v>
      </c>
    </row>
    <row r="128" spans="1:12" x14ac:dyDescent="0.35">
      <c r="A128" t="s">
        <v>7</v>
      </c>
      <c r="C128">
        <v>17</v>
      </c>
      <c r="D128">
        <v>333</v>
      </c>
      <c r="E128">
        <v>187</v>
      </c>
      <c r="F128">
        <v>146</v>
      </c>
      <c r="G128">
        <v>2</v>
      </c>
      <c r="H128">
        <v>27</v>
      </c>
      <c r="I128">
        <v>451</v>
      </c>
      <c r="J128">
        <v>272</v>
      </c>
      <c r="K128">
        <v>179</v>
      </c>
      <c r="L128">
        <v>1</v>
      </c>
    </row>
    <row r="129" spans="1:12" x14ac:dyDescent="0.35">
      <c r="A129" t="s">
        <v>5</v>
      </c>
      <c r="B129" t="s">
        <v>6</v>
      </c>
      <c r="C129">
        <v>25</v>
      </c>
      <c r="D129">
        <v>393</v>
      </c>
      <c r="E129">
        <v>241</v>
      </c>
      <c r="F129">
        <v>152</v>
      </c>
      <c r="G129">
        <v>2</v>
      </c>
      <c r="H129">
        <v>26</v>
      </c>
      <c r="I129">
        <v>445</v>
      </c>
      <c r="J129">
        <v>219</v>
      </c>
      <c r="K129">
        <v>226</v>
      </c>
      <c r="L129">
        <v>1</v>
      </c>
    </row>
    <row r="130" spans="1:12" x14ac:dyDescent="0.35">
      <c r="A130" t="s">
        <v>5</v>
      </c>
      <c r="C130">
        <v>17</v>
      </c>
      <c r="D130">
        <v>241</v>
      </c>
      <c r="E130">
        <v>184</v>
      </c>
      <c r="F130">
        <v>57</v>
      </c>
      <c r="G130">
        <v>1</v>
      </c>
      <c r="H130">
        <v>31</v>
      </c>
      <c r="I130">
        <v>481</v>
      </c>
      <c r="J130">
        <v>238</v>
      </c>
      <c r="K130">
        <v>243</v>
      </c>
      <c r="L130">
        <v>1</v>
      </c>
    </row>
    <row r="131" spans="1:12" x14ac:dyDescent="0.35">
      <c r="A131" t="s">
        <v>5</v>
      </c>
      <c r="B131" t="s">
        <v>6</v>
      </c>
      <c r="C131">
        <v>15</v>
      </c>
      <c r="D131">
        <v>313</v>
      </c>
      <c r="E131">
        <v>239</v>
      </c>
      <c r="F131">
        <v>74</v>
      </c>
      <c r="G131">
        <v>3</v>
      </c>
      <c r="H131">
        <v>22</v>
      </c>
      <c r="I131">
        <v>361</v>
      </c>
      <c r="J131">
        <v>182</v>
      </c>
      <c r="K131">
        <v>179</v>
      </c>
      <c r="L131">
        <v>1</v>
      </c>
    </row>
    <row r="132" spans="1:12" x14ac:dyDescent="0.35">
      <c r="A132" t="s">
        <v>7</v>
      </c>
      <c r="C132">
        <v>23</v>
      </c>
      <c r="D132">
        <v>494</v>
      </c>
      <c r="E132">
        <v>405</v>
      </c>
      <c r="F132">
        <v>89</v>
      </c>
      <c r="H132">
        <v>25</v>
      </c>
      <c r="I132">
        <v>470</v>
      </c>
      <c r="J132">
        <v>319</v>
      </c>
      <c r="K132">
        <v>151</v>
      </c>
      <c r="L132">
        <v>2</v>
      </c>
    </row>
    <row r="133" spans="1:12" x14ac:dyDescent="0.35">
      <c r="A133" t="s">
        <v>7</v>
      </c>
      <c r="B133" t="s">
        <v>6</v>
      </c>
      <c r="C133">
        <v>25</v>
      </c>
      <c r="D133">
        <v>474</v>
      </c>
      <c r="E133">
        <v>261</v>
      </c>
      <c r="F133">
        <v>213</v>
      </c>
      <c r="G133">
        <v>1</v>
      </c>
      <c r="H133">
        <v>19</v>
      </c>
      <c r="I133">
        <v>255</v>
      </c>
      <c r="J133">
        <v>208</v>
      </c>
      <c r="K133">
        <v>47</v>
      </c>
    </row>
    <row r="134" spans="1:12" x14ac:dyDescent="0.35">
      <c r="A134" t="s">
        <v>7</v>
      </c>
      <c r="C134">
        <v>28</v>
      </c>
      <c r="D134">
        <v>476</v>
      </c>
      <c r="E134">
        <v>241</v>
      </c>
      <c r="F134">
        <v>235</v>
      </c>
      <c r="G134">
        <v>1</v>
      </c>
      <c r="H134">
        <v>17</v>
      </c>
      <c r="I134">
        <v>283</v>
      </c>
      <c r="J134">
        <v>211</v>
      </c>
      <c r="K134">
        <v>72</v>
      </c>
      <c r="L134">
        <v>1</v>
      </c>
    </row>
    <row r="135" spans="1:12" x14ac:dyDescent="0.35">
      <c r="A135" t="s">
        <v>5</v>
      </c>
      <c r="B135" t="s">
        <v>6</v>
      </c>
      <c r="C135">
        <v>15</v>
      </c>
      <c r="D135">
        <v>257</v>
      </c>
      <c r="E135">
        <v>212</v>
      </c>
      <c r="F135">
        <v>45</v>
      </c>
      <c r="G135">
        <v>3</v>
      </c>
      <c r="H135">
        <v>18</v>
      </c>
      <c r="I135">
        <v>266</v>
      </c>
      <c r="J135">
        <v>149</v>
      </c>
      <c r="K135">
        <v>117</v>
      </c>
      <c r="L135">
        <v>1</v>
      </c>
    </row>
    <row r="136" spans="1:12" x14ac:dyDescent="0.35">
      <c r="A136" t="s">
        <v>5</v>
      </c>
      <c r="C136">
        <v>32</v>
      </c>
      <c r="D136">
        <v>563</v>
      </c>
      <c r="E136">
        <v>441</v>
      </c>
      <c r="F136">
        <v>122</v>
      </c>
      <c r="G136">
        <v>3</v>
      </c>
      <c r="H136">
        <v>24</v>
      </c>
      <c r="I136">
        <v>335</v>
      </c>
      <c r="J136">
        <v>215</v>
      </c>
      <c r="K136">
        <v>120</v>
      </c>
    </row>
    <row r="137" spans="1:12" x14ac:dyDescent="0.35">
      <c r="A137" t="s">
        <v>5</v>
      </c>
      <c r="B137" t="s">
        <v>6</v>
      </c>
      <c r="C137">
        <v>26</v>
      </c>
      <c r="D137">
        <v>399</v>
      </c>
      <c r="E137">
        <v>270</v>
      </c>
      <c r="F137">
        <v>129</v>
      </c>
      <c r="H137">
        <v>20</v>
      </c>
      <c r="I137">
        <v>382</v>
      </c>
      <c r="J137">
        <v>326</v>
      </c>
      <c r="K137">
        <v>56</v>
      </c>
      <c r="L137">
        <v>1</v>
      </c>
    </row>
    <row r="138" spans="1:12" x14ac:dyDescent="0.35">
      <c r="A138" t="s">
        <v>7</v>
      </c>
      <c r="C138">
        <v>23</v>
      </c>
      <c r="D138">
        <v>402</v>
      </c>
      <c r="E138">
        <v>213</v>
      </c>
      <c r="F138">
        <v>189</v>
      </c>
      <c r="G138">
        <v>1</v>
      </c>
      <c r="H138">
        <v>16</v>
      </c>
      <c r="I138">
        <v>283</v>
      </c>
      <c r="J138">
        <v>168</v>
      </c>
      <c r="K138">
        <v>115</v>
      </c>
      <c r="L138">
        <v>4</v>
      </c>
    </row>
    <row r="139" spans="1:12" x14ac:dyDescent="0.35">
      <c r="A139" t="s">
        <v>7</v>
      </c>
      <c r="B139" t="s">
        <v>6</v>
      </c>
      <c r="C139">
        <v>24</v>
      </c>
      <c r="D139">
        <v>429</v>
      </c>
      <c r="E139">
        <v>257</v>
      </c>
      <c r="F139">
        <v>172</v>
      </c>
      <c r="G139">
        <v>2</v>
      </c>
      <c r="H139">
        <v>20</v>
      </c>
      <c r="I139">
        <v>271</v>
      </c>
      <c r="J139">
        <v>171</v>
      </c>
      <c r="K139">
        <v>100</v>
      </c>
      <c r="L139">
        <v>3</v>
      </c>
    </row>
    <row r="140" spans="1:12" x14ac:dyDescent="0.35">
      <c r="A140" t="s">
        <v>5</v>
      </c>
      <c r="C140">
        <v>24</v>
      </c>
      <c r="D140">
        <v>443</v>
      </c>
      <c r="E140">
        <v>393</v>
      </c>
      <c r="F140">
        <v>50</v>
      </c>
      <c r="G140">
        <v>1</v>
      </c>
      <c r="H140">
        <v>27</v>
      </c>
      <c r="I140">
        <v>364</v>
      </c>
      <c r="J140">
        <v>211</v>
      </c>
      <c r="K140">
        <v>153</v>
      </c>
    </row>
    <row r="141" spans="1:12" x14ac:dyDescent="0.35">
      <c r="A141" t="s">
        <v>7</v>
      </c>
      <c r="B141" t="s">
        <v>6</v>
      </c>
      <c r="C141">
        <v>26</v>
      </c>
      <c r="D141">
        <v>509</v>
      </c>
      <c r="E141">
        <v>434</v>
      </c>
      <c r="F141">
        <v>75</v>
      </c>
      <c r="G141">
        <v>1</v>
      </c>
      <c r="H141">
        <v>19</v>
      </c>
      <c r="I141">
        <v>312</v>
      </c>
      <c r="J141">
        <v>191</v>
      </c>
      <c r="K141">
        <v>121</v>
      </c>
    </row>
    <row r="142" spans="1:12" x14ac:dyDescent="0.35">
      <c r="A142" t="s">
        <v>5</v>
      </c>
      <c r="B142" t="s">
        <v>6</v>
      </c>
      <c r="C142">
        <v>16</v>
      </c>
      <c r="D142">
        <v>321</v>
      </c>
      <c r="E142">
        <v>212</v>
      </c>
      <c r="F142">
        <v>109</v>
      </c>
      <c r="G142">
        <v>1</v>
      </c>
      <c r="H142">
        <v>17</v>
      </c>
      <c r="I142">
        <v>282</v>
      </c>
      <c r="J142">
        <v>181</v>
      </c>
      <c r="K142">
        <v>101</v>
      </c>
    </row>
    <row r="143" spans="1:12" x14ac:dyDescent="0.35">
      <c r="A143" t="s">
        <v>5</v>
      </c>
      <c r="C143">
        <v>32</v>
      </c>
      <c r="D143">
        <v>426</v>
      </c>
      <c r="E143">
        <v>323</v>
      </c>
      <c r="F143">
        <v>103</v>
      </c>
      <c r="G143">
        <v>2</v>
      </c>
      <c r="H143">
        <v>22</v>
      </c>
      <c r="I143">
        <v>356</v>
      </c>
      <c r="J143">
        <v>232</v>
      </c>
      <c r="K143">
        <v>124</v>
      </c>
    </row>
    <row r="144" spans="1:12" x14ac:dyDescent="0.35">
      <c r="A144" t="s">
        <v>5</v>
      </c>
      <c r="B144" t="s">
        <v>6</v>
      </c>
      <c r="C144">
        <v>22</v>
      </c>
      <c r="D144">
        <v>408</v>
      </c>
      <c r="E144">
        <v>326</v>
      </c>
      <c r="F144">
        <v>82</v>
      </c>
      <c r="H144">
        <v>24</v>
      </c>
      <c r="I144">
        <v>382</v>
      </c>
      <c r="J144">
        <v>231</v>
      </c>
      <c r="K144">
        <v>151</v>
      </c>
      <c r="L144">
        <v>2</v>
      </c>
    </row>
    <row r="145" spans="1:12" x14ac:dyDescent="0.35">
      <c r="A145" t="s">
        <v>7</v>
      </c>
      <c r="C145">
        <v>25</v>
      </c>
      <c r="D145">
        <v>475</v>
      </c>
      <c r="E145">
        <v>212</v>
      </c>
      <c r="F145">
        <v>263</v>
      </c>
      <c r="H145">
        <v>23</v>
      </c>
      <c r="I145">
        <v>289</v>
      </c>
      <c r="J145">
        <v>267</v>
      </c>
      <c r="K145">
        <v>22</v>
      </c>
      <c r="L145">
        <v>1</v>
      </c>
    </row>
    <row r="146" spans="1:12" x14ac:dyDescent="0.35">
      <c r="A146" t="s">
        <v>5</v>
      </c>
      <c r="B146" t="s">
        <v>6</v>
      </c>
      <c r="C146">
        <v>16</v>
      </c>
      <c r="D146">
        <v>311</v>
      </c>
      <c r="E146">
        <v>257</v>
      </c>
      <c r="F146">
        <v>54</v>
      </c>
      <c r="G146">
        <v>1</v>
      </c>
      <c r="H146">
        <v>23</v>
      </c>
      <c r="I146">
        <v>431</v>
      </c>
      <c r="J146">
        <v>313</v>
      </c>
      <c r="K146">
        <v>118</v>
      </c>
    </row>
    <row r="147" spans="1:12" x14ac:dyDescent="0.35">
      <c r="A147" t="s">
        <v>7</v>
      </c>
      <c r="C147">
        <v>22</v>
      </c>
      <c r="D147">
        <v>517</v>
      </c>
      <c r="E147">
        <v>294</v>
      </c>
      <c r="F147">
        <v>223</v>
      </c>
      <c r="G147">
        <v>1</v>
      </c>
      <c r="H147">
        <v>13</v>
      </c>
      <c r="I147">
        <v>271</v>
      </c>
      <c r="J147">
        <v>183</v>
      </c>
      <c r="K147">
        <v>88</v>
      </c>
      <c r="L147">
        <v>2</v>
      </c>
    </row>
    <row r="148" spans="1:12" x14ac:dyDescent="0.35">
      <c r="A148" t="s">
        <v>5</v>
      </c>
      <c r="B148" t="s">
        <v>6</v>
      </c>
      <c r="C148">
        <v>18</v>
      </c>
      <c r="D148">
        <v>344</v>
      </c>
      <c r="E148">
        <v>249</v>
      </c>
      <c r="F148">
        <v>95</v>
      </c>
      <c r="H148">
        <v>19</v>
      </c>
      <c r="I148">
        <v>357</v>
      </c>
      <c r="J148">
        <v>259</v>
      </c>
      <c r="K148">
        <v>98</v>
      </c>
    </row>
    <row r="149" spans="1:12" x14ac:dyDescent="0.35">
      <c r="A149" t="s">
        <v>5</v>
      </c>
      <c r="C149">
        <v>27</v>
      </c>
      <c r="D149">
        <v>372</v>
      </c>
      <c r="E149">
        <v>282</v>
      </c>
      <c r="F149">
        <v>90</v>
      </c>
      <c r="G149">
        <v>1</v>
      </c>
      <c r="H149">
        <v>18</v>
      </c>
      <c r="I149">
        <v>273</v>
      </c>
      <c r="J149">
        <v>120</v>
      </c>
      <c r="K149">
        <v>153</v>
      </c>
    </row>
    <row r="150" spans="1:12" x14ac:dyDescent="0.35">
      <c r="A150" t="s">
        <v>5</v>
      </c>
      <c r="B150" t="s">
        <v>6</v>
      </c>
      <c r="C150">
        <v>20</v>
      </c>
      <c r="D150">
        <v>310</v>
      </c>
      <c r="E150">
        <v>161</v>
      </c>
      <c r="F150">
        <v>149</v>
      </c>
      <c r="G150">
        <v>3</v>
      </c>
      <c r="H150">
        <v>16</v>
      </c>
      <c r="I150">
        <v>312</v>
      </c>
      <c r="J150">
        <v>235</v>
      </c>
      <c r="K150">
        <v>77</v>
      </c>
    </row>
    <row r="151" spans="1:12" x14ac:dyDescent="0.35">
      <c r="A151" t="s">
        <v>5</v>
      </c>
      <c r="C151">
        <v>19</v>
      </c>
      <c r="D151">
        <v>371</v>
      </c>
      <c r="E151">
        <v>303</v>
      </c>
      <c r="F151">
        <v>68</v>
      </c>
      <c r="G151">
        <v>1</v>
      </c>
      <c r="H151">
        <v>25</v>
      </c>
      <c r="I151">
        <v>455</v>
      </c>
      <c r="J151">
        <v>186</v>
      </c>
      <c r="K151">
        <v>269</v>
      </c>
    </row>
    <row r="152" spans="1:12" x14ac:dyDescent="0.35">
      <c r="A152" t="s">
        <v>7</v>
      </c>
      <c r="B152" t="s">
        <v>6</v>
      </c>
      <c r="C152">
        <v>15</v>
      </c>
      <c r="D152">
        <v>350</v>
      </c>
      <c r="E152">
        <v>159</v>
      </c>
      <c r="F152">
        <v>191</v>
      </c>
      <c r="G152">
        <v>2</v>
      </c>
      <c r="H152">
        <v>19</v>
      </c>
      <c r="I152">
        <v>246</v>
      </c>
      <c r="J152">
        <v>211</v>
      </c>
      <c r="K152">
        <v>35</v>
      </c>
      <c r="L152">
        <v>3</v>
      </c>
    </row>
    <row r="153" spans="1:12" x14ac:dyDescent="0.35">
      <c r="A153" t="s">
        <v>7</v>
      </c>
      <c r="C153">
        <v>11</v>
      </c>
      <c r="D153">
        <v>270</v>
      </c>
      <c r="E153">
        <v>167</v>
      </c>
      <c r="F153">
        <v>103</v>
      </c>
      <c r="G153">
        <v>1</v>
      </c>
      <c r="H153">
        <v>12</v>
      </c>
      <c r="I153">
        <v>204</v>
      </c>
      <c r="J153">
        <v>165</v>
      </c>
      <c r="K153">
        <v>39</v>
      </c>
      <c r="L153">
        <v>3</v>
      </c>
    </row>
    <row r="154" spans="1:12" x14ac:dyDescent="0.35">
      <c r="A154" t="s">
        <v>5</v>
      </c>
      <c r="C154">
        <v>15</v>
      </c>
      <c r="D154">
        <v>205</v>
      </c>
      <c r="E154">
        <v>134</v>
      </c>
      <c r="F154">
        <v>71</v>
      </c>
      <c r="G154">
        <v>1</v>
      </c>
      <c r="H154">
        <v>14</v>
      </c>
      <c r="I154">
        <v>271</v>
      </c>
      <c r="J154">
        <v>191</v>
      </c>
      <c r="K154">
        <v>80</v>
      </c>
    </row>
    <row r="155" spans="1:12" x14ac:dyDescent="0.35">
      <c r="A155" t="s">
        <v>5</v>
      </c>
      <c r="B155" t="s">
        <v>6</v>
      </c>
      <c r="C155">
        <v>21</v>
      </c>
      <c r="D155">
        <v>279</v>
      </c>
      <c r="E155">
        <v>166</v>
      </c>
      <c r="F155">
        <v>113</v>
      </c>
      <c r="H155">
        <v>19</v>
      </c>
      <c r="I155">
        <v>318</v>
      </c>
      <c r="J155">
        <v>191</v>
      </c>
      <c r="K155">
        <v>127</v>
      </c>
      <c r="L155">
        <v>1</v>
      </c>
    </row>
    <row r="156" spans="1:12" x14ac:dyDescent="0.35">
      <c r="A156" t="s">
        <v>7</v>
      </c>
      <c r="C156">
        <v>13</v>
      </c>
      <c r="D156">
        <v>302</v>
      </c>
      <c r="E156">
        <v>175</v>
      </c>
      <c r="F156">
        <v>127</v>
      </c>
      <c r="G156">
        <v>1</v>
      </c>
      <c r="H156">
        <v>21</v>
      </c>
      <c r="I156">
        <v>351</v>
      </c>
      <c r="J156">
        <v>261</v>
      </c>
      <c r="K156">
        <v>90</v>
      </c>
    </row>
    <row r="157" spans="1:12" x14ac:dyDescent="0.35">
      <c r="A157" t="s">
        <v>5</v>
      </c>
      <c r="B157" t="s">
        <v>6</v>
      </c>
      <c r="C157">
        <v>20</v>
      </c>
      <c r="D157">
        <v>394</v>
      </c>
      <c r="E157">
        <v>270</v>
      </c>
      <c r="F157">
        <v>124</v>
      </c>
      <c r="G157">
        <v>1</v>
      </c>
      <c r="H157">
        <v>19</v>
      </c>
      <c r="I157">
        <v>321</v>
      </c>
      <c r="J157">
        <v>284</v>
      </c>
      <c r="K157">
        <v>37</v>
      </c>
      <c r="L157">
        <v>2</v>
      </c>
    </row>
    <row r="158" spans="1:12" x14ac:dyDescent="0.35">
      <c r="A158" t="s">
        <v>5</v>
      </c>
      <c r="B158" t="s">
        <v>6</v>
      </c>
      <c r="C158">
        <v>9</v>
      </c>
      <c r="D158">
        <v>134</v>
      </c>
      <c r="E158">
        <v>49</v>
      </c>
      <c r="F158">
        <v>85</v>
      </c>
      <c r="G158">
        <v>1</v>
      </c>
      <c r="H158">
        <v>22</v>
      </c>
      <c r="I158">
        <v>424</v>
      </c>
      <c r="J158">
        <v>180</v>
      </c>
      <c r="K158">
        <v>244</v>
      </c>
      <c r="L158">
        <v>1</v>
      </c>
    </row>
    <row r="159" spans="1:12" x14ac:dyDescent="0.35">
      <c r="A159" t="s">
        <v>7</v>
      </c>
      <c r="C159">
        <v>13</v>
      </c>
      <c r="D159">
        <v>218</v>
      </c>
      <c r="E159">
        <v>134</v>
      </c>
      <c r="F159">
        <v>84</v>
      </c>
      <c r="G159">
        <v>1</v>
      </c>
      <c r="H159">
        <v>17</v>
      </c>
      <c r="I159">
        <v>359</v>
      </c>
      <c r="J159">
        <v>244</v>
      </c>
      <c r="K159">
        <v>115</v>
      </c>
      <c r="L159">
        <v>2</v>
      </c>
    </row>
    <row r="160" spans="1:12" x14ac:dyDescent="0.35">
      <c r="A160" t="s">
        <v>7</v>
      </c>
      <c r="B160" t="s">
        <v>6</v>
      </c>
      <c r="C160">
        <v>22</v>
      </c>
      <c r="D160">
        <v>391</v>
      </c>
      <c r="E160">
        <v>301</v>
      </c>
      <c r="F160">
        <v>90</v>
      </c>
      <c r="G160">
        <v>1</v>
      </c>
      <c r="H160">
        <v>26</v>
      </c>
      <c r="I160">
        <v>414</v>
      </c>
      <c r="J160">
        <v>280</v>
      </c>
      <c r="K160">
        <v>134</v>
      </c>
      <c r="L160">
        <v>3</v>
      </c>
    </row>
    <row r="161" spans="1:12" x14ac:dyDescent="0.35">
      <c r="A161" t="s">
        <v>5</v>
      </c>
      <c r="B161" t="s">
        <v>6</v>
      </c>
      <c r="C161">
        <v>15</v>
      </c>
      <c r="D161">
        <v>251</v>
      </c>
      <c r="E161">
        <v>199</v>
      </c>
      <c r="F161">
        <v>52</v>
      </c>
      <c r="G161">
        <v>1</v>
      </c>
      <c r="H161">
        <v>27</v>
      </c>
      <c r="I161">
        <v>419</v>
      </c>
      <c r="J161">
        <v>327</v>
      </c>
      <c r="K161">
        <v>92</v>
      </c>
      <c r="L161">
        <v>1</v>
      </c>
    </row>
    <row r="162" spans="1:12" x14ac:dyDescent="0.35">
      <c r="A162" t="s">
        <v>7</v>
      </c>
      <c r="C162">
        <v>25</v>
      </c>
      <c r="D162">
        <v>348</v>
      </c>
      <c r="E162">
        <v>198</v>
      </c>
      <c r="F162">
        <v>150</v>
      </c>
      <c r="H162">
        <v>13</v>
      </c>
      <c r="I162">
        <v>191</v>
      </c>
      <c r="J162">
        <v>95</v>
      </c>
      <c r="K162">
        <v>96</v>
      </c>
    </row>
    <row r="163" spans="1:12" x14ac:dyDescent="0.35">
      <c r="A163" t="s">
        <v>7</v>
      </c>
      <c r="C163">
        <v>16</v>
      </c>
      <c r="D163">
        <v>238</v>
      </c>
      <c r="E163">
        <v>168</v>
      </c>
      <c r="F163">
        <v>70</v>
      </c>
      <c r="G163">
        <v>1</v>
      </c>
      <c r="H163">
        <v>18</v>
      </c>
      <c r="I163">
        <v>477</v>
      </c>
      <c r="J163">
        <v>380</v>
      </c>
      <c r="K163">
        <v>97</v>
      </c>
      <c r="L163">
        <v>1</v>
      </c>
    </row>
    <row r="164" spans="1:12" x14ac:dyDescent="0.35">
      <c r="A164" t="s">
        <v>7</v>
      </c>
      <c r="C164">
        <v>19</v>
      </c>
      <c r="D164">
        <v>339</v>
      </c>
      <c r="E164">
        <v>245</v>
      </c>
      <c r="F164">
        <v>94</v>
      </c>
      <c r="G164">
        <v>2</v>
      </c>
      <c r="H164">
        <v>21</v>
      </c>
      <c r="I164">
        <v>424</v>
      </c>
      <c r="J164">
        <v>287</v>
      </c>
      <c r="K164">
        <v>137</v>
      </c>
      <c r="L164">
        <v>2</v>
      </c>
    </row>
    <row r="165" spans="1:12" x14ac:dyDescent="0.35">
      <c r="A165" t="s">
        <v>7</v>
      </c>
      <c r="B165" t="s">
        <v>6</v>
      </c>
      <c r="C165">
        <v>16</v>
      </c>
      <c r="D165">
        <v>287</v>
      </c>
      <c r="E165">
        <v>201</v>
      </c>
      <c r="F165">
        <v>86</v>
      </c>
      <c r="H165">
        <v>22</v>
      </c>
      <c r="I165">
        <v>373</v>
      </c>
      <c r="J165">
        <v>246</v>
      </c>
      <c r="K165">
        <v>127</v>
      </c>
      <c r="L165">
        <v>2</v>
      </c>
    </row>
    <row r="166" spans="1:12" x14ac:dyDescent="0.35">
      <c r="A166" t="s">
        <v>5</v>
      </c>
      <c r="C166">
        <v>29</v>
      </c>
      <c r="D166">
        <v>447</v>
      </c>
      <c r="E166">
        <v>261</v>
      </c>
      <c r="F166">
        <v>186</v>
      </c>
      <c r="G166">
        <v>2</v>
      </c>
      <c r="H166">
        <v>29</v>
      </c>
      <c r="I166">
        <v>438</v>
      </c>
      <c r="J166">
        <v>315</v>
      </c>
      <c r="K166">
        <v>123</v>
      </c>
      <c r="L166">
        <v>3</v>
      </c>
    </row>
    <row r="167" spans="1:12" x14ac:dyDescent="0.35">
      <c r="A167" t="s">
        <v>5</v>
      </c>
      <c r="B167" t="s">
        <v>6</v>
      </c>
      <c r="C167">
        <v>13</v>
      </c>
      <c r="D167">
        <v>299</v>
      </c>
      <c r="E167">
        <v>243</v>
      </c>
      <c r="F167">
        <v>56</v>
      </c>
      <c r="H167">
        <v>22</v>
      </c>
      <c r="I167">
        <v>447</v>
      </c>
      <c r="J167">
        <v>277</v>
      </c>
      <c r="K167">
        <v>170</v>
      </c>
      <c r="L167">
        <v>3</v>
      </c>
    </row>
    <row r="168" spans="1:12" x14ac:dyDescent="0.35">
      <c r="A168" t="s">
        <v>5</v>
      </c>
      <c r="C168">
        <v>26</v>
      </c>
      <c r="D168">
        <v>433</v>
      </c>
      <c r="E168">
        <v>352</v>
      </c>
      <c r="F168">
        <v>81</v>
      </c>
      <c r="G168">
        <v>1</v>
      </c>
      <c r="H168">
        <v>32</v>
      </c>
      <c r="I168">
        <v>504</v>
      </c>
      <c r="J168">
        <v>338</v>
      </c>
      <c r="K168">
        <v>166</v>
      </c>
    </row>
    <row r="169" spans="1:12" x14ac:dyDescent="0.35">
      <c r="A169" t="s">
        <v>7</v>
      </c>
      <c r="C169">
        <v>17</v>
      </c>
      <c r="D169">
        <v>375</v>
      </c>
      <c r="E169">
        <v>316</v>
      </c>
      <c r="F169">
        <v>59</v>
      </c>
      <c r="G169">
        <v>2</v>
      </c>
      <c r="H169">
        <v>24</v>
      </c>
      <c r="I169">
        <v>370</v>
      </c>
      <c r="J169">
        <v>290</v>
      </c>
      <c r="K169">
        <v>80</v>
      </c>
      <c r="L169">
        <v>1</v>
      </c>
    </row>
    <row r="170" spans="1:12" x14ac:dyDescent="0.35">
      <c r="A170" t="s">
        <v>5</v>
      </c>
      <c r="B170" t="s">
        <v>6</v>
      </c>
      <c r="C170">
        <v>26</v>
      </c>
      <c r="D170">
        <v>473</v>
      </c>
      <c r="E170">
        <v>383</v>
      </c>
      <c r="F170">
        <v>90</v>
      </c>
      <c r="G170">
        <v>2</v>
      </c>
      <c r="H170">
        <v>25</v>
      </c>
      <c r="I170">
        <v>450</v>
      </c>
      <c r="J170">
        <v>279</v>
      </c>
      <c r="K170">
        <v>171</v>
      </c>
    </row>
    <row r="171" spans="1:12" x14ac:dyDescent="0.35">
      <c r="A171" t="s">
        <v>5</v>
      </c>
      <c r="B171" t="s">
        <v>6</v>
      </c>
      <c r="C171">
        <v>21</v>
      </c>
      <c r="D171">
        <v>357</v>
      </c>
      <c r="E171">
        <v>259</v>
      </c>
      <c r="F171">
        <v>98</v>
      </c>
      <c r="G171">
        <v>1</v>
      </c>
      <c r="H171">
        <v>13</v>
      </c>
      <c r="I171">
        <v>226</v>
      </c>
      <c r="J171">
        <v>145</v>
      </c>
      <c r="K171">
        <v>81</v>
      </c>
    </row>
    <row r="172" spans="1:12" x14ac:dyDescent="0.35">
      <c r="A172" t="s">
        <v>5</v>
      </c>
      <c r="C172">
        <v>19</v>
      </c>
      <c r="D172">
        <v>312</v>
      </c>
      <c r="E172">
        <v>191</v>
      </c>
      <c r="F172">
        <v>121</v>
      </c>
      <c r="H172">
        <v>26</v>
      </c>
      <c r="I172">
        <v>509</v>
      </c>
      <c r="J172">
        <v>434</v>
      </c>
      <c r="K172">
        <v>75</v>
      </c>
      <c r="L172">
        <v>1</v>
      </c>
    </row>
    <row r="173" spans="1:12" x14ac:dyDescent="0.35">
      <c r="A173" t="s">
        <v>5</v>
      </c>
      <c r="B173" t="s">
        <v>6</v>
      </c>
      <c r="C173">
        <v>21</v>
      </c>
      <c r="D173">
        <v>364</v>
      </c>
      <c r="E173">
        <v>189</v>
      </c>
      <c r="F173">
        <v>175</v>
      </c>
      <c r="G173">
        <v>4</v>
      </c>
      <c r="H173">
        <v>13</v>
      </c>
      <c r="I173">
        <v>230</v>
      </c>
      <c r="J173">
        <v>144</v>
      </c>
      <c r="K173">
        <v>86</v>
      </c>
      <c r="L173">
        <v>2</v>
      </c>
    </row>
    <row r="174" spans="1:12" x14ac:dyDescent="0.35">
      <c r="A174" t="s">
        <v>5</v>
      </c>
      <c r="C174">
        <v>19</v>
      </c>
      <c r="D174">
        <v>364</v>
      </c>
      <c r="E174">
        <v>259</v>
      </c>
      <c r="F174">
        <v>105</v>
      </c>
      <c r="G174">
        <v>1</v>
      </c>
      <c r="H174">
        <v>22</v>
      </c>
      <c r="I174">
        <v>419</v>
      </c>
      <c r="J174">
        <v>331</v>
      </c>
      <c r="K174">
        <v>88</v>
      </c>
      <c r="L174">
        <v>1</v>
      </c>
    </row>
    <row r="175" spans="1:12" x14ac:dyDescent="0.35">
      <c r="A175" t="s">
        <v>5</v>
      </c>
      <c r="B175" t="s">
        <v>6</v>
      </c>
      <c r="C175">
        <v>18</v>
      </c>
      <c r="D175">
        <v>231</v>
      </c>
      <c r="E175">
        <v>161</v>
      </c>
      <c r="F175">
        <v>70</v>
      </c>
      <c r="G175">
        <v>2</v>
      </c>
      <c r="H175">
        <v>22</v>
      </c>
      <c r="I175">
        <v>354</v>
      </c>
      <c r="J175">
        <v>234</v>
      </c>
      <c r="K175">
        <v>120</v>
      </c>
    </row>
    <row r="176" spans="1:12" x14ac:dyDescent="0.35">
      <c r="A176" t="s">
        <v>5</v>
      </c>
      <c r="C176">
        <v>16</v>
      </c>
      <c r="D176">
        <v>295</v>
      </c>
      <c r="E176">
        <v>250</v>
      </c>
      <c r="F176">
        <v>45</v>
      </c>
      <c r="G176">
        <v>3</v>
      </c>
      <c r="H176">
        <v>23</v>
      </c>
      <c r="I176">
        <v>495</v>
      </c>
      <c r="J176">
        <v>446</v>
      </c>
      <c r="K176">
        <v>49</v>
      </c>
      <c r="L176">
        <v>1</v>
      </c>
    </row>
    <row r="177" spans="1:12" x14ac:dyDescent="0.35">
      <c r="A177" t="s">
        <v>5</v>
      </c>
      <c r="B177" t="s">
        <v>6</v>
      </c>
      <c r="C177">
        <v>13</v>
      </c>
      <c r="D177">
        <v>191</v>
      </c>
      <c r="E177">
        <v>95</v>
      </c>
      <c r="F177">
        <v>96</v>
      </c>
      <c r="H177">
        <v>25</v>
      </c>
      <c r="I177">
        <v>348</v>
      </c>
      <c r="J177">
        <v>198</v>
      </c>
      <c r="K177">
        <v>150</v>
      </c>
    </row>
    <row r="178" spans="1:12" x14ac:dyDescent="0.35">
      <c r="A178" t="s">
        <v>5</v>
      </c>
      <c r="C178">
        <v>17</v>
      </c>
      <c r="D178">
        <v>305</v>
      </c>
      <c r="E178">
        <v>134</v>
      </c>
      <c r="F178">
        <v>171</v>
      </c>
      <c r="G178">
        <v>1</v>
      </c>
      <c r="H178">
        <v>25</v>
      </c>
      <c r="I178">
        <v>432</v>
      </c>
      <c r="J178">
        <v>312</v>
      </c>
      <c r="K178">
        <v>120</v>
      </c>
      <c r="L178">
        <v>1</v>
      </c>
    </row>
    <row r="179" spans="1:12" x14ac:dyDescent="0.35">
      <c r="A179" t="s">
        <v>7</v>
      </c>
      <c r="B179" t="s">
        <v>6</v>
      </c>
      <c r="C179">
        <v>13</v>
      </c>
      <c r="D179">
        <v>213</v>
      </c>
      <c r="E179">
        <v>166</v>
      </c>
      <c r="F179">
        <v>47</v>
      </c>
      <c r="H179">
        <v>16</v>
      </c>
      <c r="I179">
        <v>254</v>
      </c>
      <c r="J179">
        <v>208</v>
      </c>
      <c r="K179">
        <v>46</v>
      </c>
      <c r="L179">
        <v>1</v>
      </c>
    </row>
    <row r="180" spans="1:12" x14ac:dyDescent="0.35">
      <c r="A180" t="s">
        <v>7</v>
      </c>
      <c r="C180">
        <v>20</v>
      </c>
      <c r="D180">
        <v>335</v>
      </c>
      <c r="E180">
        <v>191</v>
      </c>
      <c r="F180">
        <v>144</v>
      </c>
      <c r="G180">
        <v>2</v>
      </c>
      <c r="H180">
        <v>15</v>
      </c>
      <c r="I180">
        <v>421</v>
      </c>
      <c r="J180">
        <v>223</v>
      </c>
      <c r="K180">
        <v>198</v>
      </c>
      <c r="L180">
        <v>4</v>
      </c>
    </row>
    <row r="181" spans="1:12" x14ac:dyDescent="0.35">
      <c r="A181" t="s">
        <v>7</v>
      </c>
      <c r="C181">
        <v>16</v>
      </c>
      <c r="D181">
        <v>312</v>
      </c>
      <c r="E181">
        <v>235</v>
      </c>
      <c r="F181">
        <v>77</v>
      </c>
      <c r="H181">
        <v>20</v>
      </c>
      <c r="I181">
        <v>310</v>
      </c>
      <c r="J181">
        <v>161</v>
      </c>
      <c r="K181">
        <v>149</v>
      </c>
      <c r="L181">
        <v>3</v>
      </c>
    </row>
    <row r="182" spans="1:12" x14ac:dyDescent="0.35">
      <c r="A182" t="s">
        <v>5</v>
      </c>
      <c r="C182">
        <v>31</v>
      </c>
      <c r="D182">
        <v>491</v>
      </c>
      <c r="E182">
        <v>414</v>
      </c>
      <c r="F182">
        <v>77</v>
      </c>
      <c r="G182">
        <v>2</v>
      </c>
      <c r="H182">
        <v>24</v>
      </c>
      <c r="I182">
        <v>336</v>
      </c>
      <c r="J182">
        <v>160</v>
      </c>
      <c r="K182">
        <v>176</v>
      </c>
    </row>
    <row r="183" spans="1:12" x14ac:dyDescent="0.35">
      <c r="A183" t="s">
        <v>7</v>
      </c>
      <c r="B183" t="s">
        <v>6</v>
      </c>
      <c r="C183">
        <v>24</v>
      </c>
      <c r="D183">
        <v>335</v>
      </c>
      <c r="E183">
        <v>215</v>
      </c>
      <c r="F183">
        <v>120</v>
      </c>
      <c r="H183">
        <v>32</v>
      </c>
      <c r="I183">
        <v>563</v>
      </c>
      <c r="J183">
        <v>441</v>
      </c>
      <c r="K183">
        <v>122</v>
      </c>
      <c r="L183">
        <v>3</v>
      </c>
    </row>
    <row r="184" spans="1:12" x14ac:dyDescent="0.35">
      <c r="A184" t="s">
        <v>7</v>
      </c>
      <c r="C184">
        <v>22</v>
      </c>
      <c r="D184">
        <v>447</v>
      </c>
      <c r="E184">
        <v>277</v>
      </c>
      <c r="F184">
        <v>170</v>
      </c>
      <c r="G184">
        <v>3</v>
      </c>
      <c r="H184">
        <v>13</v>
      </c>
      <c r="I184">
        <v>299</v>
      </c>
      <c r="J184">
        <v>243</v>
      </c>
      <c r="K184">
        <v>56</v>
      </c>
    </row>
    <row r="185" spans="1:12" x14ac:dyDescent="0.35">
      <c r="A185" t="s">
        <v>7</v>
      </c>
      <c r="C185">
        <v>22</v>
      </c>
      <c r="D185">
        <v>481</v>
      </c>
      <c r="E185">
        <v>421</v>
      </c>
      <c r="F185">
        <v>60</v>
      </c>
      <c r="H185">
        <v>21</v>
      </c>
      <c r="I185">
        <v>484</v>
      </c>
      <c r="J185">
        <v>329</v>
      </c>
      <c r="K185">
        <v>155</v>
      </c>
      <c r="L185">
        <v>2</v>
      </c>
    </row>
    <row r="186" spans="1:12" x14ac:dyDescent="0.35">
      <c r="A186" t="s">
        <v>7</v>
      </c>
      <c r="B186" t="s">
        <v>6</v>
      </c>
      <c r="C186">
        <v>21</v>
      </c>
      <c r="D186">
        <v>374</v>
      </c>
      <c r="E186">
        <v>256</v>
      </c>
      <c r="F186">
        <v>118</v>
      </c>
      <c r="H186">
        <v>21</v>
      </c>
      <c r="I186">
        <v>337</v>
      </c>
      <c r="J186">
        <v>249</v>
      </c>
      <c r="K186">
        <v>88</v>
      </c>
      <c r="L186">
        <v>1</v>
      </c>
    </row>
    <row r="187" spans="1:12" x14ac:dyDescent="0.35">
      <c r="A187" t="s">
        <v>5</v>
      </c>
      <c r="B187" t="s">
        <v>6</v>
      </c>
      <c r="C187">
        <v>13</v>
      </c>
      <c r="D187">
        <v>184</v>
      </c>
      <c r="E187">
        <v>139</v>
      </c>
      <c r="F187">
        <v>45</v>
      </c>
      <c r="H187">
        <v>24</v>
      </c>
      <c r="I187">
        <v>442</v>
      </c>
      <c r="J187">
        <v>283</v>
      </c>
      <c r="K187">
        <v>159</v>
      </c>
    </row>
    <row r="188" spans="1:12" x14ac:dyDescent="0.35">
      <c r="A188" t="s">
        <v>7</v>
      </c>
      <c r="C188">
        <v>23</v>
      </c>
      <c r="D188">
        <v>388</v>
      </c>
      <c r="E188">
        <v>225</v>
      </c>
      <c r="F188">
        <v>163</v>
      </c>
      <c r="H188">
        <v>26</v>
      </c>
      <c r="I188">
        <v>401</v>
      </c>
      <c r="J188">
        <v>281</v>
      </c>
      <c r="K188">
        <v>120</v>
      </c>
      <c r="L188">
        <v>2</v>
      </c>
    </row>
    <row r="189" spans="1:12" x14ac:dyDescent="0.35">
      <c r="A189" t="s">
        <v>5</v>
      </c>
      <c r="B189" t="s">
        <v>6</v>
      </c>
      <c r="C189">
        <v>19</v>
      </c>
      <c r="D189">
        <v>198</v>
      </c>
      <c r="E189">
        <v>81</v>
      </c>
      <c r="F189">
        <v>117</v>
      </c>
      <c r="G189">
        <v>1</v>
      </c>
      <c r="H189">
        <v>16</v>
      </c>
      <c r="I189">
        <v>339</v>
      </c>
      <c r="J189">
        <v>227</v>
      </c>
      <c r="K189">
        <v>112</v>
      </c>
    </row>
    <row r="190" spans="1:12" x14ac:dyDescent="0.35">
      <c r="A190" t="s">
        <v>7</v>
      </c>
      <c r="B190" t="s">
        <v>6</v>
      </c>
      <c r="C190">
        <v>19</v>
      </c>
      <c r="D190">
        <v>322</v>
      </c>
      <c r="E190">
        <v>243</v>
      </c>
      <c r="F190">
        <v>79</v>
      </c>
      <c r="H190">
        <v>20</v>
      </c>
      <c r="I190">
        <v>335</v>
      </c>
      <c r="J190">
        <v>240</v>
      </c>
      <c r="K190">
        <v>95</v>
      </c>
      <c r="L190">
        <v>3</v>
      </c>
    </row>
    <row r="191" spans="1:12" x14ac:dyDescent="0.35">
      <c r="A191" t="s">
        <v>7</v>
      </c>
      <c r="C191">
        <v>18</v>
      </c>
      <c r="D191">
        <v>341</v>
      </c>
      <c r="E191">
        <v>167</v>
      </c>
      <c r="F191">
        <v>174</v>
      </c>
      <c r="G191">
        <v>1</v>
      </c>
      <c r="H191">
        <v>18</v>
      </c>
      <c r="I191">
        <v>262</v>
      </c>
      <c r="J191">
        <v>141</v>
      </c>
      <c r="K191">
        <v>121</v>
      </c>
      <c r="L191">
        <v>1</v>
      </c>
    </row>
    <row r="192" spans="1:12" x14ac:dyDescent="0.35">
      <c r="A192" t="s">
        <v>7</v>
      </c>
      <c r="C192">
        <v>12</v>
      </c>
      <c r="D192">
        <v>292</v>
      </c>
      <c r="E192">
        <v>192</v>
      </c>
      <c r="F192">
        <v>100</v>
      </c>
      <c r="H192">
        <v>20</v>
      </c>
      <c r="I192">
        <v>415</v>
      </c>
      <c r="J192">
        <v>319</v>
      </c>
      <c r="K192">
        <v>96</v>
      </c>
      <c r="L192">
        <v>3</v>
      </c>
    </row>
    <row r="193" spans="1:12" x14ac:dyDescent="0.35">
      <c r="A193" t="s">
        <v>7</v>
      </c>
      <c r="B193" t="s">
        <v>6</v>
      </c>
      <c r="C193">
        <v>22</v>
      </c>
      <c r="D193">
        <v>383</v>
      </c>
      <c r="E193">
        <v>199</v>
      </c>
      <c r="F193">
        <v>184</v>
      </c>
      <c r="G193">
        <v>3</v>
      </c>
      <c r="H193">
        <v>7</v>
      </c>
      <c r="I193">
        <v>139</v>
      </c>
      <c r="J193">
        <v>82</v>
      </c>
      <c r="K193">
        <v>57</v>
      </c>
      <c r="L193">
        <v>1</v>
      </c>
    </row>
    <row r="194" spans="1:12" x14ac:dyDescent="0.35">
      <c r="A194" t="s">
        <v>7</v>
      </c>
      <c r="B194" t="s">
        <v>6</v>
      </c>
      <c r="C194">
        <v>25</v>
      </c>
      <c r="D194">
        <v>432</v>
      </c>
      <c r="E194">
        <v>312</v>
      </c>
      <c r="F194">
        <v>120</v>
      </c>
      <c r="G194">
        <v>1</v>
      </c>
      <c r="H194">
        <v>17</v>
      </c>
      <c r="I194">
        <v>305</v>
      </c>
      <c r="J194">
        <v>134</v>
      </c>
      <c r="K194">
        <v>171</v>
      </c>
      <c r="L194">
        <v>1</v>
      </c>
    </row>
    <row r="195" spans="1:12" x14ac:dyDescent="0.35">
      <c r="A195" t="s">
        <v>7</v>
      </c>
      <c r="C195">
        <v>22</v>
      </c>
      <c r="D195">
        <v>344</v>
      </c>
      <c r="E195">
        <v>235</v>
      </c>
      <c r="F195">
        <v>109</v>
      </c>
      <c r="H195">
        <v>23</v>
      </c>
      <c r="I195">
        <v>375</v>
      </c>
      <c r="J195">
        <v>265</v>
      </c>
      <c r="K195">
        <v>110</v>
      </c>
    </row>
    <row r="196" spans="1:12" x14ac:dyDescent="0.35">
      <c r="A196" t="s">
        <v>5</v>
      </c>
      <c r="B196" t="s">
        <v>6</v>
      </c>
      <c r="C196">
        <v>21</v>
      </c>
      <c r="D196">
        <v>358</v>
      </c>
      <c r="E196">
        <v>296</v>
      </c>
      <c r="F196">
        <v>62</v>
      </c>
      <c r="G196">
        <v>3</v>
      </c>
      <c r="H196">
        <v>19</v>
      </c>
      <c r="I196">
        <v>354</v>
      </c>
      <c r="J196">
        <v>69</v>
      </c>
      <c r="K196">
        <v>285</v>
      </c>
    </row>
    <row r="197" spans="1:12" x14ac:dyDescent="0.35">
      <c r="A197" t="s">
        <v>5</v>
      </c>
      <c r="B197" t="s">
        <v>6</v>
      </c>
      <c r="C197">
        <v>22</v>
      </c>
      <c r="D197">
        <v>414</v>
      </c>
      <c r="E197">
        <v>234</v>
      </c>
      <c r="F197">
        <v>180</v>
      </c>
      <c r="G197">
        <v>1</v>
      </c>
      <c r="H197">
        <v>25</v>
      </c>
      <c r="I197">
        <v>510</v>
      </c>
      <c r="J197">
        <v>362</v>
      </c>
      <c r="K197">
        <v>148</v>
      </c>
      <c r="L197">
        <v>1</v>
      </c>
    </row>
    <row r="198" spans="1:12" x14ac:dyDescent="0.35">
      <c r="A198" t="s">
        <v>7</v>
      </c>
      <c r="C198">
        <v>17</v>
      </c>
      <c r="D198">
        <v>263</v>
      </c>
      <c r="E198">
        <v>137</v>
      </c>
      <c r="F198">
        <v>126</v>
      </c>
      <c r="H198">
        <v>16</v>
      </c>
      <c r="I198">
        <v>281</v>
      </c>
      <c r="J198">
        <v>178</v>
      </c>
      <c r="K198">
        <v>103</v>
      </c>
      <c r="L198">
        <v>1</v>
      </c>
    </row>
    <row r="199" spans="1:12" x14ac:dyDescent="0.35">
      <c r="A199" t="s">
        <v>7</v>
      </c>
      <c r="B199" t="s">
        <v>6</v>
      </c>
      <c r="C199">
        <v>20</v>
      </c>
      <c r="D199">
        <v>376</v>
      </c>
      <c r="E199">
        <v>337</v>
      </c>
      <c r="F199">
        <v>39</v>
      </c>
      <c r="G199">
        <v>1</v>
      </c>
      <c r="H199">
        <v>22</v>
      </c>
      <c r="I199">
        <v>366</v>
      </c>
      <c r="J199">
        <v>293</v>
      </c>
      <c r="K199">
        <v>73</v>
      </c>
      <c r="L199">
        <v>1</v>
      </c>
    </row>
    <row r="200" spans="1:12" x14ac:dyDescent="0.35">
      <c r="A200" t="s">
        <v>5</v>
      </c>
      <c r="C200">
        <v>18</v>
      </c>
      <c r="D200">
        <v>264</v>
      </c>
      <c r="E200">
        <v>128</v>
      </c>
      <c r="F200">
        <v>136</v>
      </c>
      <c r="G200">
        <v>2</v>
      </c>
      <c r="H200">
        <v>19</v>
      </c>
      <c r="I200">
        <v>297</v>
      </c>
      <c r="J200">
        <v>203</v>
      </c>
      <c r="K200">
        <v>94</v>
      </c>
      <c r="L200">
        <v>3</v>
      </c>
    </row>
    <row r="201" spans="1:12" x14ac:dyDescent="0.35">
      <c r="A201" t="s">
        <v>7</v>
      </c>
      <c r="C201">
        <v>31</v>
      </c>
      <c r="D201">
        <v>592</v>
      </c>
      <c r="E201">
        <v>426</v>
      </c>
      <c r="F201">
        <v>166</v>
      </c>
      <c r="G201">
        <v>1</v>
      </c>
      <c r="H201">
        <v>22</v>
      </c>
      <c r="I201">
        <v>373</v>
      </c>
      <c r="J201">
        <v>316</v>
      </c>
      <c r="K201">
        <v>57</v>
      </c>
      <c r="L201">
        <v>1</v>
      </c>
    </row>
    <row r="202" spans="1:12" x14ac:dyDescent="0.35">
      <c r="A202" t="s">
        <v>7</v>
      </c>
      <c r="B202" t="s">
        <v>6</v>
      </c>
      <c r="C202">
        <v>35</v>
      </c>
      <c r="D202">
        <v>472</v>
      </c>
      <c r="E202">
        <v>280</v>
      </c>
      <c r="F202">
        <v>192</v>
      </c>
      <c r="G202">
        <v>3</v>
      </c>
      <c r="H202">
        <v>20</v>
      </c>
      <c r="I202">
        <v>309</v>
      </c>
      <c r="J202">
        <v>256</v>
      </c>
      <c r="K202">
        <v>53</v>
      </c>
      <c r="L202">
        <v>2</v>
      </c>
    </row>
    <row r="203" spans="1:12" x14ac:dyDescent="0.35">
      <c r="A203" t="s">
        <v>5</v>
      </c>
      <c r="B203" t="s">
        <v>6</v>
      </c>
      <c r="C203">
        <v>21</v>
      </c>
      <c r="D203">
        <v>391</v>
      </c>
      <c r="E203">
        <v>291</v>
      </c>
      <c r="F203">
        <v>100</v>
      </c>
      <c r="G203">
        <v>2</v>
      </c>
      <c r="H203">
        <v>23</v>
      </c>
      <c r="I203">
        <v>383</v>
      </c>
      <c r="J203">
        <v>321</v>
      </c>
      <c r="K203">
        <v>62</v>
      </c>
      <c r="L203">
        <v>1</v>
      </c>
    </row>
    <row r="204" spans="1:12" x14ac:dyDescent="0.35">
      <c r="A204" t="s">
        <v>7</v>
      </c>
      <c r="C204">
        <v>29</v>
      </c>
      <c r="D204">
        <v>388</v>
      </c>
      <c r="E204">
        <v>258</v>
      </c>
      <c r="F204">
        <v>130</v>
      </c>
      <c r="H204">
        <v>15</v>
      </c>
      <c r="I204">
        <v>378</v>
      </c>
      <c r="J204">
        <v>285</v>
      </c>
      <c r="K204">
        <v>93</v>
      </c>
    </row>
    <row r="205" spans="1:12" x14ac:dyDescent="0.35">
      <c r="A205" t="s">
        <v>7</v>
      </c>
      <c r="B205" t="s">
        <v>6</v>
      </c>
      <c r="C205">
        <v>21</v>
      </c>
      <c r="D205">
        <v>410</v>
      </c>
      <c r="E205">
        <v>194</v>
      </c>
      <c r="F205">
        <v>216</v>
      </c>
      <c r="G205">
        <v>1</v>
      </c>
      <c r="H205">
        <v>21</v>
      </c>
      <c r="I205">
        <v>356</v>
      </c>
      <c r="J205">
        <v>282</v>
      </c>
      <c r="K205">
        <v>74</v>
      </c>
      <c r="L205">
        <v>4</v>
      </c>
    </row>
    <row r="206" spans="1:12" x14ac:dyDescent="0.35">
      <c r="A206" t="s">
        <v>5</v>
      </c>
      <c r="B206" t="s">
        <v>6</v>
      </c>
      <c r="C206">
        <v>16</v>
      </c>
      <c r="D206">
        <v>232</v>
      </c>
      <c r="E206">
        <v>110</v>
      </c>
      <c r="F206">
        <v>122</v>
      </c>
      <c r="G206">
        <v>2</v>
      </c>
      <c r="H206">
        <v>25</v>
      </c>
      <c r="I206">
        <v>491</v>
      </c>
      <c r="J206">
        <v>235</v>
      </c>
      <c r="K206">
        <v>256</v>
      </c>
    </row>
    <row r="207" spans="1:12" x14ac:dyDescent="0.35">
      <c r="A207" t="s">
        <v>7</v>
      </c>
      <c r="C207">
        <v>16</v>
      </c>
      <c r="D207">
        <v>396</v>
      </c>
      <c r="E207">
        <v>297</v>
      </c>
      <c r="F207">
        <v>99</v>
      </c>
      <c r="G207">
        <v>1</v>
      </c>
      <c r="H207">
        <v>19</v>
      </c>
      <c r="I207">
        <v>296</v>
      </c>
      <c r="J207">
        <v>121</v>
      </c>
      <c r="K207">
        <v>175</v>
      </c>
    </row>
    <row r="208" spans="1:12" x14ac:dyDescent="0.35">
      <c r="A208" t="s">
        <v>7</v>
      </c>
      <c r="C208">
        <v>16</v>
      </c>
      <c r="D208">
        <v>276</v>
      </c>
      <c r="E208">
        <v>224</v>
      </c>
      <c r="F208">
        <v>52</v>
      </c>
      <c r="H208">
        <v>29</v>
      </c>
      <c r="I208">
        <v>448</v>
      </c>
      <c r="J208">
        <v>303</v>
      </c>
      <c r="K208">
        <v>145</v>
      </c>
      <c r="L208">
        <v>1</v>
      </c>
    </row>
    <row r="209" spans="1:12" x14ac:dyDescent="0.35">
      <c r="A209" t="s">
        <v>5</v>
      </c>
      <c r="C209">
        <v>26</v>
      </c>
      <c r="D209">
        <v>414</v>
      </c>
      <c r="E209">
        <v>280</v>
      </c>
      <c r="F209">
        <v>134</v>
      </c>
      <c r="G209">
        <v>3</v>
      </c>
      <c r="H209">
        <v>22</v>
      </c>
      <c r="I209">
        <v>391</v>
      </c>
      <c r="J209">
        <v>301</v>
      </c>
      <c r="K209">
        <v>90</v>
      </c>
      <c r="L209">
        <v>1</v>
      </c>
    </row>
    <row r="210" spans="1:12" x14ac:dyDescent="0.35">
      <c r="A210" t="s">
        <v>7</v>
      </c>
      <c r="B210" t="s">
        <v>6</v>
      </c>
      <c r="C210">
        <v>23</v>
      </c>
      <c r="D210">
        <v>374</v>
      </c>
      <c r="E210">
        <v>234</v>
      </c>
      <c r="F210">
        <v>140</v>
      </c>
      <c r="G210">
        <v>2</v>
      </c>
      <c r="H210">
        <v>24</v>
      </c>
      <c r="I210">
        <v>432</v>
      </c>
      <c r="J210">
        <v>269</v>
      </c>
      <c r="K210">
        <v>163</v>
      </c>
      <c r="L210">
        <v>1</v>
      </c>
    </row>
    <row r="211" spans="1:12" x14ac:dyDescent="0.35">
      <c r="A211" t="s">
        <v>7</v>
      </c>
      <c r="B211" t="s">
        <v>6</v>
      </c>
      <c r="C211">
        <v>15</v>
      </c>
      <c r="D211">
        <v>229</v>
      </c>
      <c r="E211">
        <v>161</v>
      </c>
      <c r="F211">
        <v>68</v>
      </c>
      <c r="G211">
        <v>2</v>
      </c>
      <c r="H211">
        <v>19</v>
      </c>
      <c r="I211">
        <v>435</v>
      </c>
      <c r="J211">
        <v>329</v>
      </c>
      <c r="K211">
        <v>106</v>
      </c>
      <c r="L211">
        <v>5</v>
      </c>
    </row>
    <row r="212" spans="1:12" x14ac:dyDescent="0.35">
      <c r="A212" t="s">
        <v>5</v>
      </c>
      <c r="C212">
        <v>20</v>
      </c>
      <c r="D212">
        <v>301</v>
      </c>
      <c r="E212">
        <v>192</v>
      </c>
      <c r="F212">
        <v>109</v>
      </c>
      <c r="G212">
        <v>1</v>
      </c>
      <c r="H212">
        <v>25</v>
      </c>
      <c r="I212">
        <v>467</v>
      </c>
      <c r="J212">
        <v>222</v>
      </c>
      <c r="K212">
        <v>245</v>
      </c>
    </row>
    <row r="213" spans="1:12" x14ac:dyDescent="0.35">
      <c r="A213" t="s">
        <v>7</v>
      </c>
      <c r="C213">
        <v>19</v>
      </c>
      <c r="D213">
        <v>360</v>
      </c>
      <c r="E213">
        <v>219</v>
      </c>
      <c r="F213">
        <v>141</v>
      </c>
      <c r="G213">
        <v>1</v>
      </c>
      <c r="H213">
        <v>24</v>
      </c>
      <c r="I213">
        <v>425</v>
      </c>
      <c r="J213">
        <v>253</v>
      </c>
      <c r="K213">
        <v>172</v>
      </c>
      <c r="L213">
        <v>1</v>
      </c>
    </row>
    <row r="214" spans="1:12" x14ac:dyDescent="0.35">
      <c r="A214" t="s">
        <v>5</v>
      </c>
      <c r="B214" t="s">
        <v>6</v>
      </c>
      <c r="C214">
        <v>23</v>
      </c>
      <c r="D214">
        <v>442</v>
      </c>
      <c r="E214">
        <v>348</v>
      </c>
      <c r="F214">
        <v>94</v>
      </c>
      <c r="G214">
        <v>1</v>
      </c>
      <c r="H214">
        <v>29</v>
      </c>
      <c r="I214">
        <v>434</v>
      </c>
      <c r="J214">
        <v>316</v>
      </c>
      <c r="K214">
        <v>118</v>
      </c>
      <c r="L214">
        <v>1</v>
      </c>
    </row>
    <row r="215" spans="1:12" x14ac:dyDescent="0.35">
      <c r="A215" t="s">
        <v>5</v>
      </c>
      <c r="B215" t="s">
        <v>6</v>
      </c>
      <c r="C215">
        <v>22</v>
      </c>
      <c r="D215">
        <v>376</v>
      </c>
      <c r="E215">
        <v>173</v>
      </c>
      <c r="F215">
        <v>203</v>
      </c>
      <c r="H215">
        <v>25</v>
      </c>
      <c r="I215">
        <v>435</v>
      </c>
      <c r="J215">
        <v>310</v>
      </c>
      <c r="K215">
        <v>125</v>
      </c>
      <c r="L215">
        <v>2</v>
      </c>
    </row>
    <row r="216" spans="1:12" x14ac:dyDescent="0.35">
      <c r="A216" t="s">
        <v>7</v>
      </c>
      <c r="B216" t="s">
        <v>6</v>
      </c>
      <c r="C216">
        <v>21</v>
      </c>
      <c r="D216">
        <v>288</v>
      </c>
      <c r="E216">
        <v>121</v>
      </c>
      <c r="F216">
        <v>167</v>
      </c>
      <c r="G216">
        <v>2</v>
      </c>
      <c r="H216">
        <v>18</v>
      </c>
      <c r="I216">
        <v>243</v>
      </c>
      <c r="J216">
        <v>119</v>
      </c>
      <c r="K216">
        <v>124</v>
      </c>
    </row>
    <row r="217" spans="1:12" x14ac:dyDescent="0.35">
      <c r="A217" t="s">
        <v>7</v>
      </c>
      <c r="C217">
        <v>29</v>
      </c>
      <c r="D217">
        <v>379</v>
      </c>
      <c r="E217">
        <v>300</v>
      </c>
      <c r="F217">
        <v>79</v>
      </c>
      <c r="H217">
        <v>25</v>
      </c>
      <c r="I217">
        <v>397</v>
      </c>
      <c r="J217">
        <v>304</v>
      </c>
      <c r="K217">
        <v>93</v>
      </c>
      <c r="L217">
        <v>1</v>
      </c>
    </row>
    <row r="218" spans="1:12" x14ac:dyDescent="0.35">
      <c r="A218" t="s">
        <v>5</v>
      </c>
      <c r="C218">
        <v>22</v>
      </c>
      <c r="D218">
        <v>346</v>
      </c>
      <c r="E218">
        <v>265</v>
      </c>
      <c r="F218">
        <v>81</v>
      </c>
      <c r="G218">
        <v>2</v>
      </c>
      <c r="H218">
        <v>21</v>
      </c>
      <c r="I218">
        <v>377</v>
      </c>
      <c r="J218">
        <v>189</v>
      </c>
      <c r="K218">
        <v>188</v>
      </c>
      <c r="L218">
        <v>1</v>
      </c>
    </row>
    <row r="219" spans="1:12" x14ac:dyDescent="0.35">
      <c r="A219" t="s">
        <v>7</v>
      </c>
      <c r="B219" t="s">
        <v>6</v>
      </c>
      <c r="C219">
        <v>25</v>
      </c>
      <c r="D219">
        <v>331</v>
      </c>
      <c r="E219">
        <v>151</v>
      </c>
      <c r="F219">
        <v>180</v>
      </c>
      <c r="G219">
        <v>1</v>
      </c>
      <c r="H219">
        <v>18</v>
      </c>
      <c r="I219">
        <v>324</v>
      </c>
      <c r="J219">
        <v>288</v>
      </c>
      <c r="K219">
        <v>36</v>
      </c>
      <c r="L219">
        <v>1</v>
      </c>
    </row>
    <row r="220" spans="1:12" x14ac:dyDescent="0.35">
      <c r="A220" t="s">
        <v>7</v>
      </c>
      <c r="C220">
        <v>23</v>
      </c>
      <c r="D220">
        <v>383</v>
      </c>
      <c r="E220">
        <v>321</v>
      </c>
      <c r="F220">
        <v>62</v>
      </c>
      <c r="G220">
        <v>1</v>
      </c>
      <c r="H220">
        <v>21</v>
      </c>
      <c r="I220">
        <v>391</v>
      </c>
      <c r="J220">
        <v>291</v>
      </c>
      <c r="K220">
        <v>100</v>
      </c>
      <c r="L220">
        <v>2</v>
      </c>
    </row>
    <row r="221" spans="1:12" x14ac:dyDescent="0.35">
      <c r="A221" t="s">
        <v>7</v>
      </c>
      <c r="C221">
        <v>19</v>
      </c>
      <c r="D221">
        <v>318</v>
      </c>
      <c r="E221">
        <v>191</v>
      </c>
      <c r="F221">
        <v>127</v>
      </c>
      <c r="G221">
        <v>1</v>
      </c>
      <c r="H221">
        <v>21</v>
      </c>
      <c r="I221">
        <v>279</v>
      </c>
      <c r="J221">
        <v>166</v>
      </c>
      <c r="K221">
        <v>113</v>
      </c>
    </row>
    <row r="222" spans="1:12" x14ac:dyDescent="0.35">
      <c r="A222" t="s">
        <v>5</v>
      </c>
      <c r="B222" t="s">
        <v>6</v>
      </c>
      <c r="C222">
        <v>22</v>
      </c>
      <c r="D222">
        <v>328</v>
      </c>
      <c r="E222">
        <v>189</v>
      </c>
      <c r="F222">
        <v>139</v>
      </c>
      <c r="G222">
        <v>3</v>
      </c>
      <c r="H222">
        <v>17</v>
      </c>
      <c r="I222">
        <v>273</v>
      </c>
      <c r="J222">
        <v>183</v>
      </c>
      <c r="K222">
        <v>90</v>
      </c>
      <c r="L222">
        <v>2</v>
      </c>
    </row>
    <row r="223" spans="1:12" x14ac:dyDescent="0.35">
      <c r="A223" t="s">
        <v>5</v>
      </c>
      <c r="C223">
        <v>19</v>
      </c>
      <c r="D223">
        <v>300</v>
      </c>
      <c r="E223">
        <v>191</v>
      </c>
      <c r="F223">
        <v>109</v>
      </c>
      <c r="G223">
        <v>3</v>
      </c>
      <c r="H223">
        <v>13</v>
      </c>
      <c r="I223">
        <v>229</v>
      </c>
      <c r="J223">
        <v>159</v>
      </c>
      <c r="K223">
        <v>70</v>
      </c>
      <c r="L223">
        <v>2</v>
      </c>
    </row>
    <row r="224" spans="1:12" x14ac:dyDescent="0.35">
      <c r="A224" t="s">
        <v>7</v>
      </c>
      <c r="C224">
        <v>23</v>
      </c>
      <c r="D224">
        <v>389</v>
      </c>
      <c r="E224">
        <v>125</v>
      </c>
      <c r="F224">
        <v>264</v>
      </c>
      <c r="G224">
        <v>2</v>
      </c>
      <c r="H224">
        <v>15</v>
      </c>
      <c r="I224">
        <v>308</v>
      </c>
      <c r="J224">
        <v>279</v>
      </c>
      <c r="K224">
        <v>29</v>
      </c>
      <c r="L224">
        <v>1</v>
      </c>
    </row>
    <row r="225" spans="1:12" x14ac:dyDescent="0.35">
      <c r="A225" t="s">
        <v>5</v>
      </c>
      <c r="B225" t="s">
        <v>6</v>
      </c>
      <c r="C225">
        <v>19</v>
      </c>
      <c r="D225">
        <v>296</v>
      </c>
      <c r="E225">
        <v>121</v>
      </c>
      <c r="F225">
        <v>175</v>
      </c>
      <c r="H225">
        <v>16</v>
      </c>
      <c r="I225">
        <v>396</v>
      </c>
      <c r="J225">
        <v>297</v>
      </c>
      <c r="K225">
        <v>99</v>
      </c>
      <c r="L225">
        <v>1</v>
      </c>
    </row>
    <row r="226" spans="1:12" x14ac:dyDescent="0.35">
      <c r="A226" t="s">
        <v>5</v>
      </c>
      <c r="C226">
        <v>22</v>
      </c>
      <c r="D226">
        <v>391</v>
      </c>
      <c r="E226">
        <v>309</v>
      </c>
      <c r="F226">
        <v>82</v>
      </c>
      <c r="G226">
        <v>3</v>
      </c>
      <c r="H226">
        <v>15</v>
      </c>
      <c r="I226">
        <v>292</v>
      </c>
      <c r="J226">
        <v>138</v>
      </c>
      <c r="K226">
        <v>154</v>
      </c>
      <c r="L226">
        <v>2</v>
      </c>
    </row>
    <row r="227" spans="1:12" x14ac:dyDescent="0.35">
      <c r="A227" t="s">
        <v>5</v>
      </c>
      <c r="B227" t="s">
        <v>6</v>
      </c>
      <c r="C227">
        <v>16</v>
      </c>
      <c r="D227">
        <v>309</v>
      </c>
      <c r="E227">
        <v>243</v>
      </c>
      <c r="F227">
        <v>66</v>
      </c>
      <c r="G227">
        <v>1</v>
      </c>
      <c r="H227">
        <v>29</v>
      </c>
      <c r="I227">
        <v>542</v>
      </c>
      <c r="J227">
        <v>467</v>
      </c>
      <c r="K227">
        <v>75</v>
      </c>
      <c r="L227">
        <v>4</v>
      </c>
    </row>
    <row r="228" spans="1:12" x14ac:dyDescent="0.35">
      <c r="A228" t="s">
        <v>5</v>
      </c>
      <c r="B228" t="s">
        <v>6</v>
      </c>
      <c r="C228">
        <v>16</v>
      </c>
      <c r="D228">
        <v>205</v>
      </c>
      <c r="E228">
        <v>159</v>
      </c>
      <c r="F228">
        <v>46</v>
      </c>
      <c r="H228">
        <v>27</v>
      </c>
      <c r="I228">
        <v>424</v>
      </c>
      <c r="J228">
        <v>307</v>
      </c>
      <c r="K228">
        <v>117</v>
      </c>
    </row>
    <row r="229" spans="1:12" x14ac:dyDescent="0.35">
      <c r="A229" t="s">
        <v>7</v>
      </c>
      <c r="C229">
        <v>25</v>
      </c>
      <c r="D229">
        <v>324</v>
      </c>
      <c r="E229">
        <v>106</v>
      </c>
      <c r="F229">
        <v>218</v>
      </c>
      <c r="H229">
        <v>19</v>
      </c>
      <c r="I229">
        <v>286</v>
      </c>
      <c r="J229">
        <v>199</v>
      </c>
      <c r="K229">
        <v>87</v>
      </c>
      <c r="L229">
        <v>3</v>
      </c>
    </row>
    <row r="230" spans="1:12" x14ac:dyDescent="0.35">
      <c r="A230" t="s">
        <v>5</v>
      </c>
      <c r="B230" t="s">
        <v>6</v>
      </c>
      <c r="C230">
        <v>17</v>
      </c>
      <c r="D230">
        <v>275</v>
      </c>
      <c r="E230">
        <v>143</v>
      </c>
      <c r="F230">
        <v>132</v>
      </c>
      <c r="G230">
        <v>2</v>
      </c>
      <c r="H230">
        <v>23</v>
      </c>
      <c r="I230">
        <v>353</v>
      </c>
      <c r="J230">
        <v>286</v>
      </c>
      <c r="K230">
        <v>67</v>
      </c>
      <c r="L230">
        <v>1</v>
      </c>
    </row>
    <row r="231" spans="1:12" x14ac:dyDescent="0.35">
      <c r="A231" t="s">
        <v>5</v>
      </c>
      <c r="C231">
        <v>18</v>
      </c>
      <c r="D231">
        <v>428</v>
      </c>
      <c r="E231">
        <v>347</v>
      </c>
      <c r="F231">
        <v>81</v>
      </c>
      <c r="G231">
        <v>2</v>
      </c>
      <c r="H231">
        <v>24</v>
      </c>
      <c r="I231">
        <v>491</v>
      </c>
      <c r="J231">
        <v>378</v>
      </c>
      <c r="K231">
        <v>113</v>
      </c>
    </row>
    <row r="232" spans="1:12" x14ac:dyDescent="0.35">
      <c r="A232" t="s">
        <v>5</v>
      </c>
      <c r="B232" t="s">
        <v>6</v>
      </c>
      <c r="C232">
        <v>16</v>
      </c>
      <c r="D232">
        <v>281</v>
      </c>
      <c r="E232">
        <v>178</v>
      </c>
      <c r="F232">
        <v>103</v>
      </c>
      <c r="G232">
        <v>1</v>
      </c>
      <c r="H232">
        <v>17</v>
      </c>
      <c r="I232">
        <v>263</v>
      </c>
      <c r="J232">
        <v>137</v>
      </c>
      <c r="K232">
        <v>126</v>
      </c>
    </row>
    <row r="233" spans="1:12" x14ac:dyDescent="0.35">
      <c r="A233" t="s">
        <v>7</v>
      </c>
      <c r="C233">
        <v>12</v>
      </c>
      <c r="D233">
        <v>292</v>
      </c>
      <c r="E233">
        <v>204</v>
      </c>
      <c r="F233">
        <v>88</v>
      </c>
      <c r="H233">
        <v>21</v>
      </c>
      <c r="I233">
        <v>340</v>
      </c>
      <c r="J233">
        <v>249</v>
      </c>
      <c r="K233">
        <v>91</v>
      </c>
      <c r="L233">
        <v>1</v>
      </c>
    </row>
    <row r="234" spans="1:12" x14ac:dyDescent="0.35">
      <c r="A234" t="s">
        <v>7</v>
      </c>
      <c r="B234" t="s">
        <v>6</v>
      </c>
      <c r="C234">
        <v>25</v>
      </c>
      <c r="D234">
        <v>455</v>
      </c>
      <c r="E234">
        <v>186</v>
      </c>
      <c r="F234">
        <v>269</v>
      </c>
      <c r="H234">
        <v>19</v>
      </c>
      <c r="I234">
        <v>371</v>
      </c>
      <c r="J234">
        <v>303</v>
      </c>
      <c r="K234">
        <v>68</v>
      </c>
      <c r="L234">
        <v>1</v>
      </c>
    </row>
    <row r="235" spans="1:12" x14ac:dyDescent="0.35">
      <c r="A235" t="s">
        <v>5</v>
      </c>
      <c r="B235" t="s">
        <v>6</v>
      </c>
      <c r="C235">
        <v>28</v>
      </c>
      <c r="D235">
        <v>507</v>
      </c>
      <c r="E235">
        <v>358</v>
      </c>
      <c r="F235">
        <v>149</v>
      </c>
      <c r="G235">
        <v>3</v>
      </c>
      <c r="H235">
        <v>22</v>
      </c>
      <c r="I235">
        <v>445</v>
      </c>
      <c r="J235">
        <v>160</v>
      </c>
      <c r="K235">
        <v>285</v>
      </c>
    </row>
    <row r="236" spans="1:12" x14ac:dyDescent="0.35">
      <c r="A236" t="s">
        <v>5</v>
      </c>
      <c r="C236">
        <v>11</v>
      </c>
      <c r="D236">
        <v>226</v>
      </c>
      <c r="E236">
        <v>151</v>
      </c>
      <c r="F236">
        <v>75</v>
      </c>
      <c r="G236">
        <v>1</v>
      </c>
      <c r="H236">
        <v>18</v>
      </c>
      <c r="I236">
        <v>326</v>
      </c>
      <c r="J236">
        <v>222</v>
      </c>
      <c r="K236">
        <v>104</v>
      </c>
    </row>
    <row r="237" spans="1:12" x14ac:dyDescent="0.35">
      <c r="A237" t="s">
        <v>7</v>
      </c>
      <c r="B237" t="s">
        <v>6</v>
      </c>
      <c r="C237">
        <v>22</v>
      </c>
      <c r="D237">
        <v>460</v>
      </c>
      <c r="E237">
        <v>244</v>
      </c>
      <c r="F237">
        <v>216</v>
      </c>
      <c r="H237">
        <v>21</v>
      </c>
      <c r="I237">
        <v>291</v>
      </c>
      <c r="J237">
        <v>258</v>
      </c>
      <c r="K237">
        <v>33</v>
      </c>
      <c r="L237">
        <v>4</v>
      </c>
    </row>
    <row r="238" spans="1:12" x14ac:dyDescent="0.35">
      <c r="A238" t="s">
        <v>7</v>
      </c>
      <c r="C238">
        <v>21</v>
      </c>
      <c r="D238">
        <v>389</v>
      </c>
      <c r="E238">
        <v>278</v>
      </c>
      <c r="F238">
        <v>111</v>
      </c>
      <c r="G238">
        <v>1</v>
      </c>
      <c r="H238">
        <v>15</v>
      </c>
      <c r="I238">
        <v>213</v>
      </c>
      <c r="J238">
        <v>167</v>
      </c>
      <c r="K238">
        <v>46</v>
      </c>
      <c r="L238">
        <v>3</v>
      </c>
    </row>
    <row r="239" spans="1:12" x14ac:dyDescent="0.35">
      <c r="A239" t="s">
        <v>5</v>
      </c>
      <c r="C239">
        <v>21</v>
      </c>
      <c r="D239">
        <v>356</v>
      </c>
      <c r="E239">
        <v>282</v>
      </c>
      <c r="F239">
        <v>74</v>
      </c>
      <c r="G239">
        <v>4</v>
      </c>
      <c r="H239">
        <v>21</v>
      </c>
      <c r="I239">
        <v>410</v>
      </c>
      <c r="J239">
        <v>194</v>
      </c>
      <c r="K239">
        <v>216</v>
      </c>
      <c r="L239">
        <v>1</v>
      </c>
    </row>
    <row r="240" spans="1:12" x14ac:dyDescent="0.35">
      <c r="A240" t="s">
        <v>5</v>
      </c>
      <c r="B240" t="s">
        <v>6</v>
      </c>
      <c r="C240">
        <v>15</v>
      </c>
      <c r="D240">
        <v>308</v>
      </c>
      <c r="E240">
        <v>279</v>
      </c>
      <c r="F240">
        <v>29</v>
      </c>
      <c r="G240">
        <v>1</v>
      </c>
      <c r="H240">
        <v>23</v>
      </c>
      <c r="I240">
        <v>389</v>
      </c>
      <c r="J240">
        <v>125</v>
      </c>
      <c r="K240">
        <v>264</v>
      </c>
      <c r="L240">
        <v>2</v>
      </c>
    </row>
    <row r="241" spans="1:12" x14ac:dyDescent="0.35">
      <c r="A241" t="s">
        <v>5</v>
      </c>
      <c r="B241" t="s">
        <v>6</v>
      </c>
      <c r="C241">
        <v>23</v>
      </c>
      <c r="D241">
        <v>369</v>
      </c>
      <c r="E241">
        <v>252</v>
      </c>
      <c r="F241">
        <v>117</v>
      </c>
      <c r="G241">
        <v>1</v>
      </c>
      <c r="H241">
        <v>21</v>
      </c>
      <c r="I241">
        <v>471</v>
      </c>
      <c r="J241">
        <v>252</v>
      </c>
      <c r="K241">
        <v>219</v>
      </c>
      <c r="L241">
        <v>2</v>
      </c>
    </row>
    <row r="242" spans="1:12" x14ac:dyDescent="0.35">
      <c r="A242" t="s">
        <v>5</v>
      </c>
      <c r="C242">
        <v>14</v>
      </c>
      <c r="D242">
        <v>242</v>
      </c>
      <c r="E242">
        <v>193</v>
      </c>
      <c r="F242">
        <v>49</v>
      </c>
      <c r="G242">
        <v>4</v>
      </c>
      <c r="H242">
        <v>19</v>
      </c>
      <c r="I242">
        <v>315</v>
      </c>
      <c r="J242">
        <v>241</v>
      </c>
      <c r="K242">
        <v>74</v>
      </c>
      <c r="L242">
        <v>1</v>
      </c>
    </row>
    <row r="243" spans="1:12" x14ac:dyDescent="0.35">
      <c r="A243" t="s">
        <v>5</v>
      </c>
      <c r="C243">
        <v>15</v>
      </c>
      <c r="D243">
        <v>252</v>
      </c>
      <c r="E243">
        <v>164</v>
      </c>
      <c r="F243">
        <v>88</v>
      </c>
      <c r="H243">
        <v>27</v>
      </c>
      <c r="I243">
        <v>525</v>
      </c>
      <c r="J243">
        <v>330</v>
      </c>
      <c r="K243">
        <v>195</v>
      </c>
    </row>
    <row r="244" spans="1:12" x14ac:dyDescent="0.35">
      <c r="A244" t="s">
        <v>7</v>
      </c>
      <c r="B244" t="s">
        <v>6</v>
      </c>
      <c r="C244">
        <v>17</v>
      </c>
      <c r="D244">
        <v>262</v>
      </c>
      <c r="E244">
        <v>185</v>
      </c>
      <c r="F244">
        <v>77</v>
      </c>
      <c r="H244">
        <v>27</v>
      </c>
      <c r="I244">
        <v>364</v>
      </c>
      <c r="J244">
        <v>236</v>
      </c>
      <c r="K244">
        <v>128</v>
      </c>
    </row>
    <row r="245" spans="1:12" x14ac:dyDescent="0.35">
      <c r="A245" t="s">
        <v>5</v>
      </c>
      <c r="B245" t="s">
        <v>6</v>
      </c>
      <c r="C245">
        <v>17</v>
      </c>
      <c r="D245">
        <v>288</v>
      </c>
      <c r="E245">
        <v>173</v>
      </c>
      <c r="F245">
        <v>115</v>
      </c>
      <c r="G245">
        <v>1</v>
      </c>
      <c r="H245">
        <v>28</v>
      </c>
      <c r="I245">
        <v>518</v>
      </c>
      <c r="J245">
        <v>383</v>
      </c>
      <c r="K245">
        <v>135</v>
      </c>
      <c r="L245">
        <v>2</v>
      </c>
    </row>
    <row r="246" spans="1:12" x14ac:dyDescent="0.35">
      <c r="A246" t="s">
        <v>7</v>
      </c>
      <c r="C246">
        <v>23</v>
      </c>
      <c r="D246">
        <v>353</v>
      </c>
      <c r="E246">
        <v>286</v>
      </c>
      <c r="F246">
        <v>67</v>
      </c>
      <c r="G246">
        <v>1</v>
      </c>
      <c r="H246">
        <v>17</v>
      </c>
      <c r="I246">
        <v>275</v>
      </c>
      <c r="J246">
        <v>143</v>
      </c>
      <c r="K246">
        <v>132</v>
      </c>
      <c r="L246">
        <v>2</v>
      </c>
    </row>
    <row r="247" spans="1:12" x14ac:dyDescent="0.35">
      <c r="A247" t="s">
        <v>7</v>
      </c>
      <c r="B247" t="s">
        <v>6</v>
      </c>
      <c r="C247">
        <v>24</v>
      </c>
      <c r="D247">
        <v>491</v>
      </c>
      <c r="E247">
        <v>378</v>
      </c>
      <c r="F247">
        <v>113</v>
      </c>
      <c r="H247">
        <v>18</v>
      </c>
      <c r="I247">
        <v>428</v>
      </c>
      <c r="J247">
        <v>347</v>
      </c>
      <c r="K247">
        <v>81</v>
      </c>
      <c r="L247">
        <v>2</v>
      </c>
    </row>
    <row r="248" spans="1:12" x14ac:dyDescent="0.35">
      <c r="A248" t="s">
        <v>7</v>
      </c>
      <c r="B248" t="s">
        <v>6</v>
      </c>
      <c r="C248">
        <v>24</v>
      </c>
      <c r="D248">
        <v>467</v>
      </c>
      <c r="E248">
        <v>436</v>
      </c>
      <c r="F248">
        <v>31</v>
      </c>
      <c r="G248">
        <v>1</v>
      </c>
      <c r="H248">
        <v>19</v>
      </c>
      <c r="I248">
        <v>307</v>
      </c>
      <c r="J248">
        <v>178</v>
      </c>
      <c r="K248">
        <v>129</v>
      </c>
      <c r="L248">
        <v>2</v>
      </c>
    </row>
    <row r="249" spans="1:12" x14ac:dyDescent="0.35">
      <c r="A249" t="s">
        <v>7</v>
      </c>
      <c r="C249">
        <v>27</v>
      </c>
      <c r="D249">
        <v>503</v>
      </c>
      <c r="E249">
        <v>363</v>
      </c>
      <c r="F249">
        <v>140</v>
      </c>
      <c r="H249">
        <v>29</v>
      </c>
      <c r="I249">
        <v>452</v>
      </c>
      <c r="J249">
        <v>249</v>
      </c>
      <c r="K249">
        <v>203</v>
      </c>
    </row>
    <row r="250" spans="1:12" x14ac:dyDescent="0.35">
      <c r="A250" t="s">
        <v>7</v>
      </c>
      <c r="B250" t="s">
        <v>6</v>
      </c>
      <c r="C250">
        <v>29</v>
      </c>
      <c r="D250">
        <v>438</v>
      </c>
      <c r="E250">
        <v>315</v>
      </c>
      <c r="F250">
        <v>123</v>
      </c>
      <c r="G250">
        <v>3</v>
      </c>
      <c r="H250">
        <v>29</v>
      </c>
      <c r="I250">
        <v>447</v>
      </c>
      <c r="J250">
        <v>261</v>
      </c>
      <c r="K250">
        <v>186</v>
      </c>
      <c r="L250">
        <v>2</v>
      </c>
    </row>
    <row r="251" spans="1:12" x14ac:dyDescent="0.35">
      <c r="A251" t="s">
        <v>5</v>
      </c>
      <c r="C251">
        <v>18</v>
      </c>
      <c r="D251">
        <v>324</v>
      </c>
      <c r="E251">
        <v>288</v>
      </c>
      <c r="F251">
        <v>36</v>
      </c>
      <c r="G251">
        <v>1</v>
      </c>
      <c r="H251">
        <v>25</v>
      </c>
      <c r="I251">
        <v>331</v>
      </c>
      <c r="J251">
        <v>151</v>
      </c>
      <c r="K251">
        <v>180</v>
      </c>
      <c r="L251">
        <v>1</v>
      </c>
    </row>
    <row r="252" spans="1:12" x14ac:dyDescent="0.35">
      <c r="A252" t="s">
        <v>5</v>
      </c>
      <c r="C252">
        <v>20</v>
      </c>
      <c r="D252">
        <v>309</v>
      </c>
      <c r="E252">
        <v>256</v>
      </c>
      <c r="F252">
        <v>53</v>
      </c>
      <c r="G252">
        <v>2</v>
      </c>
      <c r="H252">
        <v>35</v>
      </c>
      <c r="I252">
        <v>472</v>
      </c>
      <c r="J252">
        <v>280</v>
      </c>
      <c r="K252">
        <v>192</v>
      </c>
      <c r="L252">
        <v>3</v>
      </c>
    </row>
    <row r="253" spans="1:12" x14ac:dyDescent="0.35">
      <c r="A253" t="s">
        <v>7</v>
      </c>
      <c r="B253" t="s">
        <v>6</v>
      </c>
      <c r="C253">
        <v>14</v>
      </c>
      <c r="D253">
        <v>271</v>
      </c>
      <c r="E253">
        <v>191</v>
      </c>
      <c r="F253">
        <v>80</v>
      </c>
      <c r="H253">
        <v>15</v>
      </c>
      <c r="I253">
        <v>205</v>
      </c>
      <c r="J253">
        <v>134</v>
      </c>
      <c r="K253">
        <v>71</v>
      </c>
      <c r="L253">
        <v>1</v>
      </c>
    </row>
    <row r="254" spans="1:12" x14ac:dyDescent="0.35">
      <c r="A254" t="s">
        <v>5</v>
      </c>
      <c r="C254">
        <v>21</v>
      </c>
      <c r="D254">
        <v>337</v>
      </c>
      <c r="E254">
        <v>249</v>
      </c>
      <c r="F254">
        <v>88</v>
      </c>
      <c r="G254">
        <v>1</v>
      </c>
      <c r="H254">
        <v>21</v>
      </c>
      <c r="I254">
        <v>374</v>
      </c>
      <c r="J254">
        <v>256</v>
      </c>
      <c r="K254">
        <v>118</v>
      </c>
    </row>
    <row r="255" spans="1:12" x14ac:dyDescent="0.35">
      <c r="A255" t="s">
        <v>7</v>
      </c>
      <c r="C255">
        <v>17</v>
      </c>
      <c r="D255">
        <v>377</v>
      </c>
      <c r="E255">
        <v>230</v>
      </c>
      <c r="F255">
        <v>147</v>
      </c>
      <c r="G255">
        <v>1</v>
      </c>
      <c r="H255">
        <v>17</v>
      </c>
      <c r="I255">
        <v>308</v>
      </c>
      <c r="J255">
        <v>212</v>
      </c>
      <c r="K255">
        <v>96</v>
      </c>
    </row>
    <row r="256" spans="1:12" x14ac:dyDescent="0.35">
      <c r="A256" t="s">
        <v>5</v>
      </c>
      <c r="B256" t="s">
        <v>6</v>
      </c>
      <c r="C256">
        <v>28</v>
      </c>
      <c r="D256">
        <v>530</v>
      </c>
      <c r="E256">
        <v>433</v>
      </c>
      <c r="F256">
        <v>97</v>
      </c>
      <c r="G256">
        <v>1</v>
      </c>
      <c r="H256">
        <v>19</v>
      </c>
      <c r="I256">
        <v>371</v>
      </c>
      <c r="J256">
        <v>146</v>
      </c>
      <c r="K256">
        <v>225</v>
      </c>
      <c r="L256">
        <v>1</v>
      </c>
    </row>
    <row r="257" spans="1:12" x14ac:dyDescent="0.35">
      <c r="A257" t="s">
        <v>7</v>
      </c>
      <c r="B257" t="s">
        <v>6</v>
      </c>
      <c r="C257">
        <v>18</v>
      </c>
      <c r="D257">
        <v>310</v>
      </c>
      <c r="E257">
        <v>180</v>
      </c>
      <c r="F257">
        <v>130</v>
      </c>
      <c r="G257">
        <v>1</v>
      </c>
      <c r="H257">
        <v>23</v>
      </c>
      <c r="I257">
        <v>438</v>
      </c>
      <c r="J257">
        <v>345</v>
      </c>
      <c r="K257">
        <v>93</v>
      </c>
      <c r="L257">
        <v>4</v>
      </c>
    </row>
    <row r="258" spans="1:12" x14ac:dyDescent="0.35">
      <c r="A258" t="s">
        <v>7</v>
      </c>
      <c r="C258">
        <v>22</v>
      </c>
      <c r="D258">
        <v>259</v>
      </c>
      <c r="E258">
        <v>163</v>
      </c>
      <c r="F258">
        <v>96</v>
      </c>
      <c r="H258">
        <v>19</v>
      </c>
      <c r="I258">
        <v>332</v>
      </c>
      <c r="J258">
        <v>210</v>
      </c>
      <c r="K258">
        <v>122</v>
      </c>
      <c r="L258">
        <v>3</v>
      </c>
    </row>
    <row r="259" spans="1:12" x14ac:dyDescent="0.35">
      <c r="A259" t="s">
        <v>7</v>
      </c>
      <c r="B259" t="s">
        <v>6</v>
      </c>
      <c r="C259">
        <v>20</v>
      </c>
      <c r="D259">
        <v>346</v>
      </c>
      <c r="E259">
        <v>271</v>
      </c>
      <c r="F259">
        <v>75</v>
      </c>
      <c r="G259">
        <v>2</v>
      </c>
      <c r="H259">
        <v>17</v>
      </c>
      <c r="I259">
        <v>278</v>
      </c>
      <c r="J259">
        <v>184</v>
      </c>
      <c r="K259">
        <v>94</v>
      </c>
      <c r="L259">
        <v>1</v>
      </c>
    </row>
    <row r="260" spans="1:12" x14ac:dyDescent="0.35">
      <c r="A260" t="s">
        <v>7</v>
      </c>
      <c r="C260">
        <v>27</v>
      </c>
      <c r="D260">
        <v>419</v>
      </c>
      <c r="E260">
        <v>327</v>
      </c>
      <c r="F260">
        <v>92</v>
      </c>
      <c r="G260">
        <v>1</v>
      </c>
      <c r="H260">
        <v>15</v>
      </c>
      <c r="I260">
        <v>251</v>
      </c>
      <c r="J260">
        <v>199</v>
      </c>
      <c r="K260">
        <v>52</v>
      </c>
      <c r="L260">
        <v>1</v>
      </c>
    </row>
    <row r="261" spans="1:12" x14ac:dyDescent="0.35">
      <c r="A261" t="s">
        <v>7</v>
      </c>
      <c r="B261" t="s">
        <v>6</v>
      </c>
      <c r="C261">
        <v>25</v>
      </c>
      <c r="D261">
        <v>350</v>
      </c>
      <c r="E261">
        <v>244</v>
      </c>
      <c r="F261">
        <v>106</v>
      </c>
      <c r="H261">
        <v>18</v>
      </c>
      <c r="I261">
        <v>234</v>
      </c>
      <c r="J261">
        <v>133</v>
      </c>
      <c r="K261">
        <v>101</v>
      </c>
    </row>
    <row r="262" spans="1:12" x14ac:dyDescent="0.35">
      <c r="A262" t="s">
        <v>7</v>
      </c>
      <c r="C262">
        <v>16</v>
      </c>
      <c r="D262">
        <v>336</v>
      </c>
      <c r="E262">
        <v>174</v>
      </c>
      <c r="F262">
        <v>162</v>
      </c>
      <c r="G262">
        <v>1</v>
      </c>
      <c r="H262">
        <v>25</v>
      </c>
      <c r="I262">
        <v>366</v>
      </c>
      <c r="J262">
        <v>258</v>
      </c>
      <c r="K262">
        <v>108</v>
      </c>
      <c r="L262">
        <v>2</v>
      </c>
    </row>
    <row r="263" spans="1:12" x14ac:dyDescent="0.35">
      <c r="A263" t="s">
        <v>7</v>
      </c>
      <c r="C263">
        <v>29</v>
      </c>
      <c r="D263">
        <v>434</v>
      </c>
      <c r="E263">
        <v>316</v>
      </c>
      <c r="F263">
        <v>118</v>
      </c>
      <c r="G263">
        <v>1</v>
      </c>
      <c r="H263">
        <v>23</v>
      </c>
      <c r="I263">
        <v>442</v>
      </c>
      <c r="J263">
        <v>348</v>
      </c>
      <c r="K263">
        <v>94</v>
      </c>
      <c r="L263">
        <v>1</v>
      </c>
    </row>
    <row r="264" spans="1:12" x14ac:dyDescent="0.35">
      <c r="A264" t="s">
        <v>7</v>
      </c>
      <c r="C264">
        <v>27</v>
      </c>
      <c r="D264">
        <v>404</v>
      </c>
      <c r="E264">
        <v>292</v>
      </c>
      <c r="F264">
        <v>112</v>
      </c>
      <c r="H264">
        <v>20</v>
      </c>
      <c r="I264">
        <v>295</v>
      </c>
      <c r="J264">
        <v>210</v>
      </c>
      <c r="K264">
        <v>85</v>
      </c>
    </row>
    <row r="265" spans="1:12" x14ac:dyDescent="0.35">
      <c r="A265" t="s">
        <v>7</v>
      </c>
      <c r="B265" t="s">
        <v>8</v>
      </c>
      <c r="C265">
        <v>26</v>
      </c>
      <c r="D265">
        <v>397</v>
      </c>
      <c r="E265">
        <v>268</v>
      </c>
      <c r="F265">
        <v>129</v>
      </c>
      <c r="G265">
        <v>2</v>
      </c>
      <c r="H265">
        <v>21</v>
      </c>
      <c r="I265">
        <v>351</v>
      </c>
      <c r="J265">
        <v>210</v>
      </c>
      <c r="K265">
        <v>141</v>
      </c>
      <c r="L265">
        <v>2</v>
      </c>
    </row>
    <row r="266" spans="1:12" x14ac:dyDescent="0.35">
      <c r="A266" t="s">
        <v>7</v>
      </c>
      <c r="C266">
        <v>25</v>
      </c>
      <c r="D266">
        <v>435</v>
      </c>
      <c r="E266">
        <v>310</v>
      </c>
      <c r="F266">
        <v>125</v>
      </c>
      <c r="G266">
        <v>2</v>
      </c>
      <c r="H266">
        <v>22</v>
      </c>
      <c r="I266">
        <v>376</v>
      </c>
      <c r="J266">
        <v>173</v>
      </c>
      <c r="K266">
        <v>203</v>
      </c>
    </row>
    <row r="267" spans="1:12" x14ac:dyDescent="0.35">
      <c r="A267" t="s">
        <v>5</v>
      </c>
      <c r="B267" t="s">
        <v>6</v>
      </c>
      <c r="C267">
        <v>21</v>
      </c>
      <c r="D267">
        <v>424</v>
      </c>
      <c r="E267">
        <v>287</v>
      </c>
      <c r="F267">
        <v>137</v>
      </c>
      <c r="G267">
        <v>2</v>
      </c>
      <c r="H267">
        <v>19</v>
      </c>
      <c r="I267">
        <v>339</v>
      </c>
      <c r="J267">
        <v>245</v>
      </c>
      <c r="K267">
        <v>94</v>
      </c>
      <c r="L267">
        <v>2</v>
      </c>
    </row>
    <row r="268" spans="1:12" x14ac:dyDescent="0.35">
      <c r="A268" t="s">
        <v>5</v>
      </c>
      <c r="C268">
        <v>22</v>
      </c>
      <c r="D268">
        <v>366</v>
      </c>
      <c r="E268">
        <v>293</v>
      </c>
      <c r="F268">
        <v>73</v>
      </c>
      <c r="G268">
        <v>1</v>
      </c>
      <c r="H268">
        <v>20</v>
      </c>
      <c r="I268">
        <v>376</v>
      </c>
      <c r="J268">
        <v>337</v>
      </c>
      <c r="K268">
        <v>39</v>
      </c>
      <c r="L268">
        <v>1</v>
      </c>
    </row>
    <row r="269" spans="1:12" x14ac:dyDescent="0.35">
      <c r="A269" t="s">
        <v>7</v>
      </c>
      <c r="B269" t="s">
        <v>6</v>
      </c>
      <c r="C269">
        <v>24</v>
      </c>
      <c r="D269">
        <v>390</v>
      </c>
      <c r="E269">
        <v>311</v>
      </c>
      <c r="F269">
        <v>79</v>
      </c>
      <c r="H269">
        <v>13</v>
      </c>
      <c r="I269">
        <v>233</v>
      </c>
      <c r="J269">
        <v>161</v>
      </c>
      <c r="K269">
        <v>72</v>
      </c>
      <c r="L269">
        <v>1</v>
      </c>
    </row>
    <row r="270" spans="1:12" x14ac:dyDescent="0.35">
      <c r="A270" t="s">
        <v>5</v>
      </c>
      <c r="C270">
        <v>19</v>
      </c>
      <c r="D270">
        <v>246</v>
      </c>
      <c r="E270">
        <v>211</v>
      </c>
      <c r="F270">
        <v>35</v>
      </c>
      <c r="G270">
        <v>3</v>
      </c>
      <c r="H270">
        <v>15</v>
      </c>
      <c r="I270">
        <v>350</v>
      </c>
      <c r="J270">
        <v>159</v>
      </c>
      <c r="K270">
        <v>191</v>
      </c>
      <c r="L270">
        <v>2</v>
      </c>
    </row>
    <row r="271" spans="1:12" x14ac:dyDescent="0.35">
      <c r="A271" t="s">
        <v>5</v>
      </c>
      <c r="C271">
        <v>23</v>
      </c>
      <c r="D271">
        <v>348</v>
      </c>
      <c r="E271">
        <v>316</v>
      </c>
      <c r="F271">
        <v>32</v>
      </c>
      <c r="G271">
        <v>3</v>
      </c>
      <c r="H271">
        <v>18</v>
      </c>
      <c r="I271">
        <v>256</v>
      </c>
      <c r="J271">
        <v>132</v>
      </c>
      <c r="K271">
        <v>124</v>
      </c>
      <c r="L271">
        <v>1</v>
      </c>
    </row>
    <row r="272" spans="1:12" x14ac:dyDescent="0.35">
      <c r="A272" t="s">
        <v>5</v>
      </c>
      <c r="B272" t="s">
        <v>6</v>
      </c>
      <c r="C272">
        <v>24</v>
      </c>
      <c r="D272">
        <v>365</v>
      </c>
      <c r="E272">
        <v>326</v>
      </c>
      <c r="F272">
        <v>39</v>
      </c>
      <c r="G272">
        <v>1</v>
      </c>
      <c r="H272">
        <v>22</v>
      </c>
      <c r="I272">
        <v>403</v>
      </c>
      <c r="J272">
        <v>306</v>
      </c>
      <c r="K272">
        <v>97</v>
      </c>
      <c r="L272">
        <v>1</v>
      </c>
    </row>
    <row r="273" spans="1:12" x14ac:dyDescent="0.35">
      <c r="A273" t="s">
        <v>7</v>
      </c>
      <c r="B273" t="s">
        <v>6</v>
      </c>
      <c r="C273">
        <v>11</v>
      </c>
      <c r="D273">
        <v>231</v>
      </c>
      <c r="E273">
        <v>195</v>
      </c>
      <c r="F273">
        <v>36</v>
      </c>
      <c r="G273">
        <v>1</v>
      </c>
      <c r="H273">
        <v>26</v>
      </c>
      <c r="I273">
        <v>388</v>
      </c>
      <c r="J273">
        <v>226</v>
      </c>
      <c r="K273">
        <v>162</v>
      </c>
      <c r="L273">
        <v>2</v>
      </c>
    </row>
    <row r="274" spans="1:12" x14ac:dyDescent="0.35">
      <c r="A274" t="s">
        <v>7</v>
      </c>
      <c r="C274">
        <v>24</v>
      </c>
      <c r="D274">
        <v>442</v>
      </c>
      <c r="E274">
        <v>283</v>
      </c>
      <c r="F274">
        <v>159</v>
      </c>
      <c r="H274">
        <v>13</v>
      </c>
      <c r="I274">
        <v>184</v>
      </c>
      <c r="J274">
        <v>139</v>
      </c>
      <c r="K274">
        <v>45</v>
      </c>
    </row>
    <row r="275" spans="1:12" x14ac:dyDescent="0.35">
      <c r="A275" t="s">
        <v>5</v>
      </c>
      <c r="B275" t="s">
        <v>6</v>
      </c>
      <c r="C275">
        <v>26</v>
      </c>
      <c r="D275">
        <v>315</v>
      </c>
      <c r="E275">
        <v>169</v>
      </c>
      <c r="F275">
        <v>146</v>
      </c>
      <c r="G275">
        <v>3</v>
      </c>
      <c r="H275">
        <v>18</v>
      </c>
      <c r="I275">
        <v>278</v>
      </c>
      <c r="J275">
        <v>200</v>
      </c>
      <c r="K275">
        <v>78</v>
      </c>
    </row>
    <row r="276" spans="1:12" x14ac:dyDescent="0.35">
      <c r="A276" t="s">
        <v>5</v>
      </c>
      <c r="C276">
        <v>23</v>
      </c>
      <c r="D276">
        <v>438</v>
      </c>
      <c r="E276">
        <v>345</v>
      </c>
      <c r="F276">
        <v>93</v>
      </c>
      <c r="G276">
        <v>4</v>
      </c>
      <c r="H276">
        <v>18</v>
      </c>
      <c r="I276">
        <v>310</v>
      </c>
      <c r="J276">
        <v>180</v>
      </c>
      <c r="K276">
        <v>130</v>
      </c>
      <c r="L276">
        <v>1</v>
      </c>
    </row>
    <row r="277" spans="1:12" x14ac:dyDescent="0.35">
      <c r="A277" t="s">
        <v>5</v>
      </c>
      <c r="B277" t="s">
        <v>6</v>
      </c>
      <c r="C277">
        <v>17</v>
      </c>
      <c r="D277">
        <v>359</v>
      </c>
      <c r="E277">
        <v>244</v>
      </c>
      <c r="F277">
        <v>115</v>
      </c>
      <c r="G277">
        <v>2</v>
      </c>
      <c r="H277">
        <v>13</v>
      </c>
      <c r="I277">
        <v>218</v>
      </c>
      <c r="J277">
        <v>134</v>
      </c>
      <c r="K277">
        <v>84</v>
      </c>
      <c r="L277">
        <v>1</v>
      </c>
    </row>
    <row r="278" spans="1:12" x14ac:dyDescent="0.35">
      <c r="A278" t="s">
        <v>7</v>
      </c>
      <c r="B278" t="s">
        <v>6</v>
      </c>
      <c r="C278">
        <v>27</v>
      </c>
      <c r="D278">
        <v>525</v>
      </c>
      <c r="E278">
        <v>330</v>
      </c>
      <c r="F278">
        <v>195</v>
      </c>
      <c r="H278">
        <v>15</v>
      </c>
      <c r="I278">
        <v>252</v>
      </c>
      <c r="J278">
        <v>164</v>
      </c>
      <c r="K278">
        <v>88</v>
      </c>
    </row>
    <row r="279" spans="1:12" x14ac:dyDescent="0.35">
      <c r="A279" t="s">
        <v>5</v>
      </c>
      <c r="C279">
        <v>17</v>
      </c>
      <c r="D279">
        <v>345</v>
      </c>
      <c r="E279">
        <v>283</v>
      </c>
      <c r="F279">
        <v>62</v>
      </c>
      <c r="G279">
        <v>7</v>
      </c>
      <c r="H279">
        <v>18</v>
      </c>
      <c r="I279">
        <v>344</v>
      </c>
      <c r="J279">
        <v>207</v>
      </c>
      <c r="K279">
        <v>137</v>
      </c>
      <c r="L279">
        <v>1</v>
      </c>
    </row>
    <row r="280" spans="1:12" x14ac:dyDescent="0.35">
      <c r="A280" t="s">
        <v>5</v>
      </c>
      <c r="C280">
        <v>21</v>
      </c>
      <c r="D280">
        <v>284</v>
      </c>
      <c r="E280">
        <v>265</v>
      </c>
      <c r="F280">
        <v>19</v>
      </c>
      <c r="H280">
        <v>19</v>
      </c>
      <c r="I280">
        <v>366</v>
      </c>
      <c r="J280">
        <v>267</v>
      </c>
      <c r="K280">
        <v>99</v>
      </c>
    </row>
    <row r="281" spans="1:12" x14ac:dyDescent="0.35">
      <c r="A281" t="s">
        <v>5</v>
      </c>
      <c r="B281" t="s">
        <v>6</v>
      </c>
      <c r="C281">
        <v>25</v>
      </c>
      <c r="D281">
        <v>366</v>
      </c>
      <c r="E281">
        <v>258</v>
      </c>
      <c r="F281">
        <v>108</v>
      </c>
      <c r="G281">
        <v>2</v>
      </c>
      <c r="H281">
        <v>16</v>
      </c>
      <c r="I281">
        <v>336</v>
      </c>
      <c r="J281">
        <v>174</v>
      </c>
      <c r="K281">
        <v>162</v>
      </c>
      <c r="L281">
        <v>1</v>
      </c>
    </row>
    <row r="282" spans="1:12" x14ac:dyDescent="0.35">
      <c r="A282" t="s">
        <v>7</v>
      </c>
      <c r="B282" t="s">
        <v>6</v>
      </c>
      <c r="C282">
        <v>22</v>
      </c>
      <c r="D282">
        <v>349</v>
      </c>
      <c r="E282">
        <v>183</v>
      </c>
      <c r="F282">
        <v>166</v>
      </c>
      <c r="G282">
        <v>1</v>
      </c>
      <c r="H282">
        <v>21</v>
      </c>
      <c r="I282">
        <v>343</v>
      </c>
      <c r="J282">
        <v>216</v>
      </c>
      <c r="K282">
        <v>127</v>
      </c>
      <c r="L282">
        <v>3</v>
      </c>
    </row>
    <row r="283" spans="1:12" x14ac:dyDescent="0.35">
      <c r="A283" t="s">
        <v>7</v>
      </c>
      <c r="C283">
        <v>20</v>
      </c>
      <c r="D283">
        <v>380</v>
      </c>
      <c r="E283">
        <v>265</v>
      </c>
      <c r="F283">
        <v>115</v>
      </c>
      <c r="G283">
        <v>1</v>
      </c>
      <c r="H283">
        <v>15</v>
      </c>
      <c r="I283">
        <v>244</v>
      </c>
      <c r="J283">
        <v>187</v>
      </c>
      <c r="K283">
        <v>57</v>
      </c>
      <c r="L283">
        <v>1</v>
      </c>
    </row>
    <row r="284" spans="1:12" x14ac:dyDescent="0.35">
      <c r="A284" t="s">
        <v>7</v>
      </c>
      <c r="B284" t="s">
        <v>6</v>
      </c>
      <c r="C284">
        <v>20</v>
      </c>
      <c r="D284">
        <v>344</v>
      </c>
      <c r="E284">
        <v>254</v>
      </c>
      <c r="F284">
        <v>90</v>
      </c>
      <c r="G284">
        <v>3</v>
      </c>
      <c r="H284">
        <v>18</v>
      </c>
      <c r="I284">
        <v>270</v>
      </c>
      <c r="J284">
        <v>175</v>
      </c>
      <c r="K284">
        <v>95</v>
      </c>
      <c r="L284">
        <v>1</v>
      </c>
    </row>
    <row r="285" spans="1:12" x14ac:dyDescent="0.35">
      <c r="A285" t="s">
        <v>5</v>
      </c>
      <c r="C285">
        <v>36</v>
      </c>
      <c r="D285">
        <v>518</v>
      </c>
      <c r="E285">
        <v>490</v>
      </c>
      <c r="F285">
        <v>28</v>
      </c>
      <c r="G285">
        <v>4</v>
      </c>
      <c r="H285">
        <v>27</v>
      </c>
      <c r="I285">
        <v>464</v>
      </c>
      <c r="J285">
        <v>376</v>
      </c>
      <c r="K285">
        <v>88</v>
      </c>
      <c r="L285">
        <v>1</v>
      </c>
    </row>
    <row r="286" spans="1:12" x14ac:dyDescent="0.35">
      <c r="A286" t="s">
        <v>5</v>
      </c>
      <c r="B286" t="s">
        <v>6</v>
      </c>
      <c r="C286">
        <v>24</v>
      </c>
      <c r="D286">
        <v>477</v>
      </c>
      <c r="E286">
        <v>395</v>
      </c>
      <c r="F286">
        <v>82</v>
      </c>
      <c r="G286">
        <v>2</v>
      </c>
      <c r="H286">
        <v>25</v>
      </c>
      <c r="I286">
        <v>429</v>
      </c>
      <c r="J286">
        <v>262</v>
      </c>
      <c r="K286">
        <v>167</v>
      </c>
      <c r="L286">
        <v>1</v>
      </c>
    </row>
    <row r="287" spans="1:12" x14ac:dyDescent="0.35">
      <c r="A287" t="s">
        <v>5</v>
      </c>
      <c r="C287">
        <v>10</v>
      </c>
      <c r="D287">
        <v>157</v>
      </c>
      <c r="E287">
        <v>48</v>
      </c>
      <c r="F287">
        <v>109</v>
      </c>
      <c r="G287">
        <v>1</v>
      </c>
      <c r="H287">
        <v>22</v>
      </c>
      <c r="I287">
        <v>331</v>
      </c>
      <c r="J287">
        <v>232</v>
      </c>
      <c r="K287">
        <v>99</v>
      </c>
      <c r="L287">
        <v>2</v>
      </c>
    </row>
    <row r="288" spans="1:12" x14ac:dyDescent="0.35">
      <c r="A288" t="s">
        <v>7</v>
      </c>
      <c r="B288" t="s">
        <v>6</v>
      </c>
      <c r="C288">
        <v>23</v>
      </c>
      <c r="D288">
        <v>381</v>
      </c>
      <c r="E288">
        <v>291</v>
      </c>
      <c r="F288">
        <v>90</v>
      </c>
      <c r="H288">
        <v>14</v>
      </c>
      <c r="I288">
        <v>224</v>
      </c>
      <c r="J288">
        <v>186</v>
      </c>
      <c r="K288">
        <v>38</v>
      </c>
      <c r="L288">
        <v>3</v>
      </c>
    </row>
    <row r="289" spans="1:12" x14ac:dyDescent="0.35">
      <c r="A289" t="s">
        <v>7</v>
      </c>
      <c r="C289">
        <v>19</v>
      </c>
      <c r="D289">
        <v>470</v>
      </c>
      <c r="E289">
        <v>372</v>
      </c>
      <c r="F289">
        <v>98</v>
      </c>
      <c r="H289">
        <v>24</v>
      </c>
      <c r="I289">
        <v>401</v>
      </c>
      <c r="J289">
        <v>297</v>
      </c>
      <c r="K289">
        <v>104</v>
      </c>
    </row>
    <row r="290" spans="1:12" x14ac:dyDescent="0.35">
      <c r="A290" t="s">
        <v>5</v>
      </c>
      <c r="B290" t="s">
        <v>6</v>
      </c>
      <c r="C290">
        <v>16</v>
      </c>
      <c r="D290">
        <v>306</v>
      </c>
      <c r="E290">
        <v>218</v>
      </c>
      <c r="F290">
        <v>88</v>
      </c>
      <c r="G290">
        <v>4</v>
      </c>
      <c r="H290">
        <v>15</v>
      </c>
      <c r="I290">
        <v>273</v>
      </c>
      <c r="J290">
        <v>231</v>
      </c>
      <c r="K290">
        <v>42</v>
      </c>
      <c r="L290">
        <v>2</v>
      </c>
    </row>
    <row r="291" spans="1:12" x14ac:dyDescent="0.35">
      <c r="A291" t="s">
        <v>7</v>
      </c>
      <c r="C291">
        <v>13</v>
      </c>
      <c r="D291">
        <v>283</v>
      </c>
      <c r="E291">
        <v>173</v>
      </c>
      <c r="F291">
        <v>110</v>
      </c>
      <c r="G291">
        <v>2</v>
      </c>
      <c r="H291">
        <v>17</v>
      </c>
      <c r="I291">
        <v>267</v>
      </c>
      <c r="J291">
        <v>193</v>
      </c>
      <c r="K291">
        <v>74</v>
      </c>
      <c r="L291">
        <v>1</v>
      </c>
    </row>
    <row r="292" spans="1:12" x14ac:dyDescent="0.35">
      <c r="A292" t="s">
        <v>5</v>
      </c>
      <c r="C292">
        <v>14</v>
      </c>
      <c r="D292">
        <v>221</v>
      </c>
      <c r="E292">
        <v>199</v>
      </c>
      <c r="F292">
        <v>22</v>
      </c>
      <c r="G292">
        <v>2</v>
      </c>
      <c r="H292">
        <v>31</v>
      </c>
      <c r="I292">
        <v>480</v>
      </c>
      <c r="J292">
        <v>195</v>
      </c>
      <c r="K292">
        <v>285</v>
      </c>
    </row>
    <row r="293" spans="1:12" x14ac:dyDescent="0.35">
      <c r="A293" t="s">
        <v>7</v>
      </c>
      <c r="B293" t="s">
        <v>6</v>
      </c>
      <c r="C293">
        <v>27</v>
      </c>
      <c r="D293">
        <v>549</v>
      </c>
      <c r="E293">
        <v>417</v>
      </c>
      <c r="F293">
        <v>132</v>
      </c>
      <c r="H293">
        <v>13</v>
      </c>
      <c r="I293">
        <v>198</v>
      </c>
      <c r="J293">
        <v>124</v>
      </c>
      <c r="K293">
        <v>74</v>
      </c>
      <c r="L293">
        <v>1</v>
      </c>
    </row>
    <row r="294" spans="1:12" x14ac:dyDescent="0.35">
      <c r="A294" t="s">
        <v>7</v>
      </c>
      <c r="C294">
        <v>26</v>
      </c>
      <c r="D294">
        <v>455</v>
      </c>
      <c r="E294">
        <v>293</v>
      </c>
      <c r="F294">
        <v>162</v>
      </c>
      <c r="G294">
        <v>2</v>
      </c>
      <c r="H294">
        <v>16</v>
      </c>
      <c r="I294">
        <v>308</v>
      </c>
      <c r="J294">
        <v>202</v>
      </c>
      <c r="K294">
        <v>106</v>
      </c>
      <c r="L294">
        <v>1</v>
      </c>
    </row>
    <row r="295" spans="1:12" x14ac:dyDescent="0.35">
      <c r="A295" t="s">
        <v>5</v>
      </c>
      <c r="B295" t="s">
        <v>6</v>
      </c>
      <c r="C295">
        <v>23</v>
      </c>
      <c r="D295">
        <v>289</v>
      </c>
      <c r="E295">
        <v>267</v>
      </c>
      <c r="F295">
        <v>22</v>
      </c>
      <c r="G295">
        <v>1</v>
      </c>
      <c r="H295">
        <v>25</v>
      </c>
      <c r="I295">
        <v>475</v>
      </c>
      <c r="J295">
        <v>212</v>
      </c>
      <c r="K295">
        <v>263</v>
      </c>
    </row>
    <row r="296" spans="1:12" x14ac:dyDescent="0.35">
      <c r="A296" t="s">
        <v>5</v>
      </c>
      <c r="B296" t="s">
        <v>6</v>
      </c>
      <c r="C296">
        <v>24</v>
      </c>
      <c r="D296">
        <v>395</v>
      </c>
      <c r="E296">
        <v>323</v>
      </c>
      <c r="F296">
        <v>72</v>
      </c>
      <c r="G296">
        <v>1</v>
      </c>
      <c r="H296">
        <v>19</v>
      </c>
      <c r="I296">
        <v>334</v>
      </c>
      <c r="J296">
        <v>215</v>
      </c>
      <c r="K296">
        <v>119</v>
      </c>
      <c r="L296">
        <v>2</v>
      </c>
    </row>
    <row r="297" spans="1:12" x14ac:dyDescent="0.35">
      <c r="A297" t="s">
        <v>7</v>
      </c>
      <c r="C297">
        <v>25</v>
      </c>
      <c r="D297">
        <v>424</v>
      </c>
      <c r="E297">
        <v>311</v>
      </c>
      <c r="F297">
        <v>113</v>
      </c>
      <c r="H297">
        <v>22</v>
      </c>
      <c r="I297">
        <v>393</v>
      </c>
      <c r="J297">
        <v>322</v>
      </c>
      <c r="K297">
        <v>71</v>
      </c>
      <c r="L297">
        <v>5</v>
      </c>
    </row>
    <row r="298" spans="1:12" x14ac:dyDescent="0.35">
      <c r="A298" t="s">
        <v>5</v>
      </c>
      <c r="C298">
        <v>12</v>
      </c>
      <c r="D298">
        <v>200</v>
      </c>
      <c r="E298">
        <v>179</v>
      </c>
      <c r="F298">
        <v>21</v>
      </c>
      <c r="G298">
        <v>3</v>
      </c>
      <c r="H298">
        <v>31</v>
      </c>
      <c r="I298">
        <v>643</v>
      </c>
      <c r="J298">
        <v>378</v>
      </c>
      <c r="K298">
        <v>265</v>
      </c>
    </row>
    <row r="299" spans="1:12" x14ac:dyDescent="0.35">
      <c r="A299" t="s">
        <v>5</v>
      </c>
      <c r="C299">
        <v>11</v>
      </c>
      <c r="D299">
        <v>184</v>
      </c>
      <c r="E299">
        <v>142</v>
      </c>
      <c r="F299">
        <v>42</v>
      </c>
      <c r="G299">
        <v>4</v>
      </c>
      <c r="H299">
        <v>27</v>
      </c>
      <c r="I299">
        <v>379</v>
      </c>
      <c r="J299">
        <v>255</v>
      </c>
      <c r="K299">
        <v>124</v>
      </c>
      <c r="L299">
        <v>1</v>
      </c>
    </row>
    <row r="300" spans="1:12" x14ac:dyDescent="0.35">
      <c r="A300" t="s">
        <v>5</v>
      </c>
      <c r="B300" t="s">
        <v>6</v>
      </c>
      <c r="C300">
        <v>17</v>
      </c>
      <c r="D300">
        <v>283</v>
      </c>
      <c r="E300">
        <v>211</v>
      </c>
      <c r="F300">
        <v>72</v>
      </c>
      <c r="G300">
        <v>1</v>
      </c>
      <c r="H300">
        <v>28</v>
      </c>
      <c r="I300">
        <v>476</v>
      </c>
      <c r="J300">
        <v>241</v>
      </c>
      <c r="K300">
        <v>235</v>
      </c>
      <c r="L300">
        <v>1</v>
      </c>
    </row>
    <row r="301" spans="1:12" x14ac:dyDescent="0.35">
      <c r="A301" t="s">
        <v>5</v>
      </c>
      <c r="C301">
        <v>13</v>
      </c>
      <c r="D301">
        <v>233</v>
      </c>
      <c r="E301">
        <v>161</v>
      </c>
      <c r="F301">
        <v>72</v>
      </c>
      <c r="G301">
        <v>1</v>
      </c>
      <c r="H301">
        <v>24</v>
      </c>
      <c r="I301">
        <v>390</v>
      </c>
      <c r="J301">
        <v>311</v>
      </c>
      <c r="K301">
        <v>79</v>
      </c>
    </row>
    <row r="302" spans="1:12" x14ac:dyDescent="0.35">
      <c r="A302" t="s">
        <v>5</v>
      </c>
      <c r="C302">
        <v>21</v>
      </c>
      <c r="D302">
        <v>271</v>
      </c>
      <c r="E302">
        <v>187</v>
      </c>
      <c r="F302">
        <v>84</v>
      </c>
      <c r="G302">
        <v>2</v>
      </c>
      <c r="H302">
        <v>13</v>
      </c>
      <c r="I302">
        <v>311</v>
      </c>
      <c r="J302">
        <v>166</v>
      </c>
      <c r="K302">
        <v>145</v>
      </c>
    </row>
    <row r="303" spans="1:12" x14ac:dyDescent="0.35">
      <c r="A303" t="s">
        <v>5</v>
      </c>
      <c r="B303" t="s">
        <v>6</v>
      </c>
      <c r="C303">
        <v>24</v>
      </c>
      <c r="D303">
        <v>381</v>
      </c>
      <c r="E303">
        <v>272</v>
      </c>
      <c r="F303">
        <v>109</v>
      </c>
      <c r="G303">
        <v>2</v>
      </c>
      <c r="H303">
        <v>17</v>
      </c>
      <c r="I303">
        <v>305</v>
      </c>
      <c r="J303">
        <v>188</v>
      </c>
      <c r="K303">
        <v>117</v>
      </c>
    </row>
    <row r="304" spans="1:12" x14ac:dyDescent="0.35">
      <c r="A304" t="s">
        <v>5</v>
      </c>
      <c r="B304" t="s">
        <v>6</v>
      </c>
      <c r="C304">
        <v>16</v>
      </c>
      <c r="D304">
        <v>230</v>
      </c>
      <c r="E304">
        <v>170</v>
      </c>
      <c r="F304">
        <v>60</v>
      </c>
      <c r="G304">
        <v>4</v>
      </c>
      <c r="H304">
        <v>21</v>
      </c>
      <c r="I304">
        <v>394</v>
      </c>
      <c r="J304">
        <v>236</v>
      </c>
      <c r="K304">
        <v>158</v>
      </c>
      <c r="L304">
        <v>1</v>
      </c>
    </row>
    <row r="305" spans="1:12" x14ac:dyDescent="0.35">
      <c r="A305" t="s">
        <v>7</v>
      </c>
      <c r="C305">
        <v>22</v>
      </c>
      <c r="D305">
        <v>316</v>
      </c>
      <c r="E305">
        <v>266</v>
      </c>
      <c r="F305">
        <v>50</v>
      </c>
      <c r="H305">
        <v>17</v>
      </c>
      <c r="I305">
        <v>321</v>
      </c>
      <c r="J305">
        <v>238</v>
      </c>
      <c r="K305">
        <v>83</v>
      </c>
      <c r="L305">
        <v>1</v>
      </c>
    </row>
    <row r="306" spans="1:12" x14ac:dyDescent="0.35">
      <c r="A306" t="s">
        <v>7</v>
      </c>
      <c r="B306" t="s">
        <v>6</v>
      </c>
      <c r="C306">
        <v>13</v>
      </c>
      <c r="D306">
        <v>229</v>
      </c>
      <c r="E306">
        <v>159</v>
      </c>
      <c r="F306">
        <v>70</v>
      </c>
      <c r="G306">
        <v>2</v>
      </c>
      <c r="H306">
        <v>19</v>
      </c>
      <c r="I306">
        <v>300</v>
      </c>
      <c r="J306">
        <v>191</v>
      </c>
      <c r="K306">
        <v>109</v>
      </c>
      <c r="L306">
        <v>3</v>
      </c>
    </row>
    <row r="307" spans="1:12" x14ac:dyDescent="0.35">
      <c r="A307" t="s">
        <v>5</v>
      </c>
      <c r="C307">
        <v>19</v>
      </c>
      <c r="D307">
        <v>303</v>
      </c>
      <c r="E307">
        <v>280</v>
      </c>
      <c r="F307">
        <v>23</v>
      </c>
      <c r="G307">
        <v>1</v>
      </c>
      <c r="H307">
        <v>22</v>
      </c>
      <c r="I307">
        <v>424</v>
      </c>
      <c r="J307">
        <v>256</v>
      </c>
      <c r="K307">
        <v>168</v>
      </c>
    </row>
    <row r="308" spans="1:12" x14ac:dyDescent="0.35">
      <c r="A308" t="s">
        <v>5</v>
      </c>
      <c r="B308" t="s">
        <v>6</v>
      </c>
      <c r="C308">
        <v>22</v>
      </c>
      <c r="D308">
        <v>284</v>
      </c>
      <c r="E308">
        <v>192</v>
      </c>
      <c r="F308">
        <v>92</v>
      </c>
      <c r="G308">
        <v>2</v>
      </c>
      <c r="H308">
        <v>30</v>
      </c>
      <c r="I308">
        <v>467</v>
      </c>
      <c r="J308">
        <v>320</v>
      </c>
      <c r="K308">
        <v>147</v>
      </c>
      <c r="L308">
        <v>1</v>
      </c>
    </row>
    <row r="309" spans="1:12" x14ac:dyDescent="0.35">
      <c r="A309" t="s">
        <v>7</v>
      </c>
      <c r="C309">
        <v>26</v>
      </c>
      <c r="D309">
        <v>409</v>
      </c>
      <c r="E309">
        <v>351</v>
      </c>
      <c r="F309">
        <v>58</v>
      </c>
      <c r="G309">
        <v>1</v>
      </c>
      <c r="H309">
        <v>23</v>
      </c>
      <c r="I309">
        <v>386</v>
      </c>
      <c r="J309">
        <v>294</v>
      </c>
      <c r="K309">
        <v>92</v>
      </c>
      <c r="L309">
        <v>1</v>
      </c>
    </row>
    <row r="310" spans="1:12" x14ac:dyDescent="0.35">
      <c r="A310" t="s">
        <v>5</v>
      </c>
      <c r="B310" t="s">
        <v>6</v>
      </c>
      <c r="C310">
        <v>22</v>
      </c>
      <c r="D310">
        <v>362</v>
      </c>
      <c r="E310">
        <v>240</v>
      </c>
      <c r="F310">
        <v>122</v>
      </c>
      <c r="G310">
        <v>1</v>
      </c>
      <c r="H310">
        <v>22</v>
      </c>
      <c r="I310">
        <v>374</v>
      </c>
      <c r="J310">
        <v>262</v>
      </c>
      <c r="K310">
        <v>112</v>
      </c>
      <c r="L310">
        <v>1</v>
      </c>
    </row>
    <row r="311" spans="1:12" x14ac:dyDescent="0.35">
      <c r="A311" t="s">
        <v>5</v>
      </c>
      <c r="B311" t="s">
        <v>6</v>
      </c>
      <c r="C311">
        <v>22</v>
      </c>
      <c r="D311">
        <v>384</v>
      </c>
      <c r="E311">
        <v>262</v>
      </c>
      <c r="F311">
        <v>122</v>
      </c>
      <c r="G311">
        <v>1</v>
      </c>
      <c r="H311">
        <v>24</v>
      </c>
      <c r="I311">
        <v>412</v>
      </c>
      <c r="J311">
        <v>274</v>
      </c>
      <c r="K311">
        <v>138</v>
      </c>
      <c r="L311">
        <v>3</v>
      </c>
    </row>
    <row r="312" spans="1:12" x14ac:dyDescent="0.35">
      <c r="A312" t="s">
        <v>7</v>
      </c>
      <c r="C312">
        <v>29</v>
      </c>
      <c r="D312">
        <v>502</v>
      </c>
      <c r="E312">
        <v>406</v>
      </c>
      <c r="F312">
        <v>96</v>
      </c>
      <c r="G312">
        <v>1</v>
      </c>
      <c r="H312">
        <v>25</v>
      </c>
      <c r="I312">
        <v>430</v>
      </c>
      <c r="J312">
        <v>371</v>
      </c>
      <c r="K312">
        <v>59</v>
      </c>
      <c r="L312">
        <v>1</v>
      </c>
    </row>
    <row r="313" spans="1:12" x14ac:dyDescent="0.35">
      <c r="A313" t="s">
        <v>7</v>
      </c>
      <c r="B313" t="s">
        <v>6</v>
      </c>
      <c r="C313">
        <v>26</v>
      </c>
      <c r="D313">
        <v>389</v>
      </c>
      <c r="E313">
        <v>326</v>
      </c>
      <c r="F313">
        <v>63</v>
      </c>
      <c r="H313">
        <v>18</v>
      </c>
      <c r="I313">
        <v>352</v>
      </c>
      <c r="J313">
        <v>217</v>
      </c>
      <c r="K313">
        <v>135</v>
      </c>
      <c r="L313">
        <v>2</v>
      </c>
    </row>
    <row r="314" spans="1:12" x14ac:dyDescent="0.35">
      <c r="A314" t="s">
        <v>7</v>
      </c>
      <c r="C314">
        <v>18</v>
      </c>
      <c r="D314">
        <v>269</v>
      </c>
      <c r="E314">
        <v>97</v>
      </c>
      <c r="F314">
        <v>172</v>
      </c>
      <c r="H314">
        <v>27</v>
      </c>
      <c r="I314">
        <v>345</v>
      </c>
      <c r="J314">
        <v>272</v>
      </c>
      <c r="K314">
        <v>73</v>
      </c>
      <c r="L314">
        <v>3</v>
      </c>
    </row>
    <row r="315" spans="1:12" x14ac:dyDescent="0.35">
      <c r="A315" t="s">
        <v>5</v>
      </c>
      <c r="B315" t="s">
        <v>6</v>
      </c>
      <c r="C315">
        <v>15</v>
      </c>
      <c r="D315">
        <v>421</v>
      </c>
      <c r="E315">
        <v>223</v>
      </c>
      <c r="F315">
        <v>198</v>
      </c>
      <c r="G315">
        <v>4</v>
      </c>
      <c r="H315">
        <v>20</v>
      </c>
      <c r="I315">
        <v>335</v>
      </c>
      <c r="J315">
        <v>191</v>
      </c>
      <c r="K315">
        <v>144</v>
      </c>
      <c r="L315">
        <v>2</v>
      </c>
    </row>
    <row r="316" spans="1:12" x14ac:dyDescent="0.35">
      <c r="A316" t="s">
        <v>7</v>
      </c>
      <c r="C316">
        <v>23</v>
      </c>
      <c r="D316">
        <v>385</v>
      </c>
      <c r="E316">
        <v>174</v>
      </c>
      <c r="F316">
        <v>211</v>
      </c>
      <c r="H316">
        <v>17</v>
      </c>
      <c r="I316">
        <v>302</v>
      </c>
      <c r="J316">
        <v>214</v>
      </c>
      <c r="K316">
        <v>88</v>
      </c>
      <c r="L316">
        <v>1</v>
      </c>
    </row>
    <row r="317" spans="1:12" x14ac:dyDescent="0.35">
      <c r="A317" t="s">
        <v>5</v>
      </c>
      <c r="B317" t="s">
        <v>6</v>
      </c>
      <c r="C317">
        <v>15</v>
      </c>
      <c r="D317">
        <v>222</v>
      </c>
      <c r="E317">
        <v>182</v>
      </c>
      <c r="F317">
        <v>40</v>
      </c>
      <c r="G317">
        <v>2</v>
      </c>
      <c r="H317">
        <v>17</v>
      </c>
      <c r="I317">
        <v>269</v>
      </c>
      <c r="J317">
        <v>197</v>
      </c>
      <c r="K317">
        <v>72</v>
      </c>
    </row>
    <row r="318" spans="1:12" x14ac:dyDescent="0.35">
      <c r="A318" t="s">
        <v>7</v>
      </c>
      <c r="B318" t="s">
        <v>6</v>
      </c>
      <c r="C318">
        <v>22</v>
      </c>
      <c r="D318">
        <v>490</v>
      </c>
      <c r="E318">
        <v>279</v>
      </c>
      <c r="F318">
        <v>211</v>
      </c>
      <c r="G318">
        <v>1</v>
      </c>
      <c r="H318">
        <v>18</v>
      </c>
      <c r="I318">
        <v>211</v>
      </c>
      <c r="J318">
        <v>147</v>
      </c>
      <c r="K318">
        <v>64</v>
      </c>
      <c r="L318">
        <v>1</v>
      </c>
    </row>
    <row r="319" spans="1:12" x14ac:dyDescent="0.35">
      <c r="A319" t="s">
        <v>7</v>
      </c>
      <c r="C319">
        <v>26</v>
      </c>
      <c r="D319">
        <v>447</v>
      </c>
      <c r="E319">
        <v>325</v>
      </c>
      <c r="F319">
        <v>122</v>
      </c>
      <c r="G319">
        <v>2</v>
      </c>
      <c r="H319">
        <v>19</v>
      </c>
      <c r="I319">
        <v>400</v>
      </c>
      <c r="J319">
        <v>292</v>
      </c>
      <c r="K319">
        <v>108</v>
      </c>
      <c r="L319">
        <v>3</v>
      </c>
    </row>
    <row r="320" spans="1:12" x14ac:dyDescent="0.35">
      <c r="A320" t="s">
        <v>7</v>
      </c>
      <c r="B320" t="s">
        <v>6</v>
      </c>
      <c r="C320">
        <v>32</v>
      </c>
      <c r="D320">
        <v>504</v>
      </c>
      <c r="E320">
        <v>338</v>
      </c>
      <c r="F320">
        <v>166</v>
      </c>
      <c r="H320">
        <v>26</v>
      </c>
      <c r="I320">
        <v>433</v>
      </c>
      <c r="J320">
        <v>352</v>
      </c>
      <c r="K320">
        <v>81</v>
      </c>
      <c r="L320">
        <v>1</v>
      </c>
    </row>
    <row r="321" spans="1:12" x14ac:dyDescent="0.35">
      <c r="A321" t="s">
        <v>7</v>
      </c>
      <c r="C321">
        <v>22</v>
      </c>
      <c r="D321">
        <v>434</v>
      </c>
      <c r="E321">
        <v>273</v>
      </c>
      <c r="F321">
        <v>161</v>
      </c>
      <c r="G321">
        <v>1</v>
      </c>
      <c r="H321">
        <v>14</v>
      </c>
      <c r="I321">
        <v>216</v>
      </c>
      <c r="J321">
        <v>131</v>
      </c>
      <c r="K321">
        <v>85</v>
      </c>
      <c r="L321">
        <v>2</v>
      </c>
    </row>
    <row r="322" spans="1:12" x14ac:dyDescent="0.35">
      <c r="A322" t="s">
        <v>5</v>
      </c>
      <c r="B322" t="s">
        <v>6</v>
      </c>
      <c r="C322">
        <v>17</v>
      </c>
      <c r="D322">
        <v>308</v>
      </c>
      <c r="E322">
        <v>212</v>
      </c>
      <c r="F322">
        <v>96</v>
      </c>
      <c r="H322">
        <v>17</v>
      </c>
      <c r="I322">
        <v>377</v>
      </c>
      <c r="J322">
        <v>230</v>
      </c>
      <c r="K322">
        <v>147</v>
      </c>
      <c r="L322">
        <v>1</v>
      </c>
    </row>
    <row r="323" spans="1:12" x14ac:dyDescent="0.35">
      <c r="A323" t="s">
        <v>7</v>
      </c>
      <c r="B323" t="s">
        <v>6</v>
      </c>
      <c r="C323">
        <v>27</v>
      </c>
      <c r="D323">
        <v>364</v>
      </c>
      <c r="E323">
        <v>211</v>
      </c>
      <c r="F323">
        <v>153</v>
      </c>
      <c r="H323">
        <v>24</v>
      </c>
      <c r="I323">
        <v>443</v>
      </c>
      <c r="J323">
        <v>393</v>
      </c>
      <c r="K323">
        <v>50</v>
      </c>
      <c r="L323">
        <v>1</v>
      </c>
    </row>
    <row r="324" spans="1:12" x14ac:dyDescent="0.35">
      <c r="A324" t="s">
        <v>7</v>
      </c>
      <c r="C324">
        <v>19</v>
      </c>
      <c r="D324">
        <v>321</v>
      </c>
      <c r="E324">
        <v>284</v>
      </c>
      <c r="F324">
        <v>37</v>
      </c>
      <c r="G324">
        <v>2</v>
      </c>
      <c r="H324">
        <v>20</v>
      </c>
      <c r="I324">
        <v>394</v>
      </c>
      <c r="J324">
        <v>270</v>
      </c>
      <c r="K324">
        <v>124</v>
      </c>
      <c r="L324">
        <v>1</v>
      </c>
    </row>
    <row r="325" spans="1:12" x14ac:dyDescent="0.35">
      <c r="A325" t="s">
        <v>5</v>
      </c>
      <c r="B325" t="s">
        <v>6</v>
      </c>
      <c r="C325">
        <v>17</v>
      </c>
      <c r="D325">
        <v>354</v>
      </c>
      <c r="E325">
        <v>276</v>
      </c>
      <c r="F325">
        <v>78</v>
      </c>
      <c r="G325">
        <v>3</v>
      </c>
      <c r="H325">
        <v>24</v>
      </c>
      <c r="I325">
        <v>444</v>
      </c>
      <c r="J325">
        <v>226</v>
      </c>
      <c r="K325">
        <v>218</v>
      </c>
      <c r="L325">
        <v>2</v>
      </c>
    </row>
    <row r="326" spans="1:12" x14ac:dyDescent="0.35">
      <c r="A326" t="s">
        <v>7</v>
      </c>
      <c r="C326">
        <v>22</v>
      </c>
      <c r="D326">
        <v>354</v>
      </c>
      <c r="E326">
        <v>234</v>
      </c>
      <c r="F326">
        <v>120</v>
      </c>
      <c r="H326">
        <v>18</v>
      </c>
      <c r="I326">
        <v>231</v>
      </c>
      <c r="J326">
        <v>161</v>
      </c>
      <c r="K326">
        <v>70</v>
      </c>
      <c r="L326">
        <v>2</v>
      </c>
    </row>
    <row r="327" spans="1:12" x14ac:dyDescent="0.35">
      <c r="A327" t="s">
        <v>7</v>
      </c>
      <c r="B327" t="s">
        <v>6</v>
      </c>
      <c r="C327">
        <v>18</v>
      </c>
      <c r="D327">
        <v>344</v>
      </c>
      <c r="E327">
        <v>207</v>
      </c>
      <c r="F327">
        <v>137</v>
      </c>
      <c r="G327">
        <v>1</v>
      </c>
      <c r="H327">
        <v>17</v>
      </c>
      <c r="I327">
        <v>345</v>
      </c>
      <c r="J327">
        <v>283</v>
      </c>
      <c r="K327">
        <v>62</v>
      </c>
      <c r="L327">
        <v>7</v>
      </c>
    </row>
    <row r="328" spans="1:12" x14ac:dyDescent="0.35">
      <c r="A328" t="s">
        <v>5</v>
      </c>
      <c r="C328">
        <v>7</v>
      </c>
      <c r="D328">
        <v>139</v>
      </c>
      <c r="E328">
        <v>82</v>
      </c>
      <c r="F328">
        <v>57</v>
      </c>
      <c r="G328">
        <v>1</v>
      </c>
      <c r="H328">
        <v>22</v>
      </c>
      <c r="I328">
        <v>383</v>
      </c>
      <c r="J328">
        <v>199</v>
      </c>
      <c r="K328">
        <v>184</v>
      </c>
      <c r="L328">
        <v>3</v>
      </c>
    </row>
    <row r="329" spans="1:12" x14ac:dyDescent="0.35">
      <c r="A329" t="s">
        <v>5</v>
      </c>
      <c r="C329">
        <v>14</v>
      </c>
      <c r="D329">
        <v>300</v>
      </c>
      <c r="E329">
        <v>126</v>
      </c>
      <c r="F329">
        <v>174</v>
      </c>
      <c r="G329">
        <v>3</v>
      </c>
      <c r="H329">
        <v>24</v>
      </c>
      <c r="I329">
        <v>337</v>
      </c>
      <c r="J329">
        <v>179</v>
      </c>
      <c r="K329">
        <v>158</v>
      </c>
      <c r="L329">
        <v>1</v>
      </c>
    </row>
    <row r="330" spans="1:12" x14ac:dyDescent="0.35">
      <c r="A330" t="s">
        <v>7</v>
      </c>
      <c r="B330" t="s">
        <v>6</v>
      </c>
      <c r="C330">
        <v>22</v>
      </c>
      <c r="D330">
        <v>362</v>
      </c>
      <c r="E330">
        <v>226</v>
      </c>
      <c r="F330">
        <v>136</v>
      </c>
      <c r="G330">
        <v>1</v>
      </c>
      <c r="H330">
        <v>19</v>
      </c>
      <c r="I330">
        <v>324</v>
      </c>
      <c r="J330">
        <v>227</v>
      </c>
      <c r="K330">
        <v>97</v>
      </c>
      <c r="L330">
        <v>2</v>
      </c>
    </row>
    <row r="331" spans="1:12" x14ac:dyDescent="0.35">
      <c r="A331" t="s">
        <v>5</v>
      </c>
      <c r="B331" t="s">
        <v>6</v>
      </c>
      <c r="C331">
        <v>7</v>
      </c>
      <c r="D331">
        <v>147</v>
      </c>
      <c r="E331">
        <v>126</v>
      </c>
      <c r="F331">
        <v>21</v>
      </c>
      <c r="G331">
        <v>2</v>
      </c>
      <c r="H331">
        <v>21</v>
      </c>
      <c r="I331">
        <v>308</v>
      </c>
      <c r="J331">
        <v>122</v>
      </c>
      <c r="K331">
        <v>186</v>
      </c>
      <c r="L331">
        <v>2</v>
      </c>
    </row>
    <row r="332" spans="1:12" x14ac:dyDescent="0.35">
      <c r="A332" t="s">
        <v>7</v>
      </c>
      <c r="C332">
        <v>24</v>
      </c>
      <c r="D332">
        <v>465</v>
      </c>
      <c r="E332">
        <v>366</v>
      </c>
      <c r="F332">
        <v>99</v>
      </c>
      <c r="H332">
        <v>15</v>
      </c>
      <c r="I332">
        <v>308</v>
      </c>
      <c r="J332">
        <v>276</v>
      </c>
      <c r="K332">
        <v>32</v>
      </c>
      <c r="L332">
        <v>1</v>
      </c>
    </row>
    <row r="333" spans="1:12" x14ac:dyDescent="0.35">
      <c r="A333" t="s">
        <v>7</v>
      </c>
      <c r="B333" t="s">
        <v>6</v>
      </c>
      <c r="C333">
        <v>27</v>
      </c>
      <c r="D333">
        <v>379</v>
      </c>
      <c r="E333">
        <v>255</v>
      </c>
      <c r="F333">
        <v>124</v>
      </c>
      <c r="G333">
        <v>1</v>
      </c>
      <c r="H333">
        <v>11</v>
      </c>
      <c r="I333">
        <v>184</v>
      </c>
      <c r="J333">
        <v>142</v>
      </c>
      <c r="K333">
        <v>42</v>
      </c>
      <c r="L333">
        <v>4</v>
      </c>
    </row>
    <row r="334" spans="1:12" x14ac:dyDescent="0.35">
      <c r="A334" t="s">
        <v>7</v>
      </c>
      <c r="C334">
        <v>21</v>
      </c>
      <c r="D334">
        <v>381</v>
      </c>
      <c r="E334">
        <v>313</v>
      </c>
      <c r="F334">
        <v>68</v>
      </c>
      <c r="G334">
        <v>2</v>
      </c>
      <c r="H334">
        <v>6</v>
      </c>
      <c r="I334">
        <v>105</v>
      </c>
      <c r="J334">
        <v>69</v>
      </c>
      <c r="K334">
        <v>36</v>
      </c>
      <c r="L334">
        <v>1</v>
      </c>
    </row>
    <row r="335" spans="1:12" x14ac:dyDescent="0.35">
      <c r="A335" t="s">
        <v>7</v>
      </c>
      <c r="B335" t="s">
        <v>6</v>
      </c>
      <c r="C335">
        <v>11</v>
      </c>
      <c r="D335">
        <v>224</v>
      </c>
      <c r="E335">
        <v>150</v>
      </c>
      <c r="F335">
        <v>74</v>
      </c>
      <c r="G335">
        <v>1</v>
      </c>
      <c r="H335">
        <v>23</v>
      </c>
      <c r="I335">
        <v>375</v>
      </c>
      <c r="J335">
        <v>240</v>
      </c>
      <c r="K335">
        <v>135</v>
      </c>
      <c r="L335">
        <v>4</v>
      </c>
    </row>
    <row r="336" spans="1:12" x14ac:dyDescent="0.35">
      <c r="A336" t="s">
        <v>7</v>
      </c>
      <c r="B336" t="s">
        <v>6</v>
      </c>
      <c r="C336">
        <v>23</v>
      </c>
      <c r="D336">
        <v>442</v>
      </c>
      <c r="E336">
        <v>312</v>
      </c>
      <c r="F336">
        <v>130</v>
      </c>
      <c r="G336">
        <v>1</v>
      </c>
      <c r="H336">
        <v>11</v>
      </c>
      <c r="I336">
        <v>223</v>
      </c>
      <c r="J336">
        <v>78</v>
      </c>
      <c r="K336">
        <v>145</v>
      </c>
      <c r="L336">
        <v>2</v>
      </c>
    </row>
    <row r="337" spans="1:12" x14ac:dyDescent="0.35">
      <c r="A337" t="s">
        <v>7</v>
      </c>
      <c r="C337">
        <v>27</v>
      </c>
      <c r="D337">
        <v>427</v>
      </c>
      <c r="E337">
        <v>313</v>
      </c>
      <c r="F337">
        <v>114</v>
      </c>
      <c r="G337">
        <v>2</v>
      </c>
      <c r="H337">
        <v>10</v>
      </c>
      <c r="I337">
        <v>213</v>
      </c>
      <c r="J337">
        <v>161</v>
      </c>
      <c r="K337">
        <v>52</v>
      </c>
      <c r="L337">
        <v>4</v>
      </c>
    </row>
    <row r="338" spans="1:12" x14ac:dyDescent="0.35">
      <c r="A338" t="s">
        <v>7</v>
      </c>
      <c r="B338" t="s">
        <v>6</v>
      </c>
      <c r="C338">
        <v>22</v>
      </c>
      <c r="D338">
        <v>323</v>
      </c>
      <c r="E338">
        <v>249</v>
      </c>
      <c r="F338">
        <v>74</v>
      </c>
      <c r="G338">
        <v>1</v>
      </c>
      <c r="H338">
        <v>12</v>
      </c>
      <c r="I338">
        <v>154</v>
      </c>
      <c r="J338">
        <v>73</v>
      </c>
      <c r="K338">
        <v>81</v>
      </c>
      <c r="L338">
        <v>6</v>
      </c>
    </row>
    <row r="339" spans="1:12" x14ac:dyDescent="0.35">
      <c r="A339" t="s">
        <v>7</v>
      </c>
      <c r="C339">
        <v>19</v>
      </c>
      <c r="D339">
        <v>318</v>
      </c>
      <c r="E339">
        <v>239</v>
      </c>
      <c r="F339">
        <v>79</v>
      </c>
      <c r="H339">
        <v>15</v>
      </c>
      <c r="I339">
        <v>310</v>
      </c>
      <c r="J339">
        <v>151</v>
      </c>
      <c r="K339">
        <v>159</v>
      </c>
      <c r="L339">
        <v>3</v>
      </c>
    </row>
    <row r="340" spans="1:12" x14ac:dyDescent="0.35">
      <c r="A340" t="s">
        <v>5</v>
      </c>
      <c r="B340" t="s">
        <v>6</v>
      </c>
      <c r="C340">
        <v>22</v>
      </c>
      <c r="D340">
        <v>342</v>
      </c>
      <c r="E340">
        <v>268</v>
      </c>
      <c r="F340">
        <v>74</v>
      </c>
      <c r="G340">
        <v>2</v>
      </c>
      <c r="H340">
        <v>26</v>
      </c>
      <c r="I340">
        <v>372</v>
      </c>
      <c r="J340">
        <v>162</v>
      </c>
      <c r="K340">
        <v>210</v>
      </c>
      <c r="L340">
        <v>2</v>
      </c>
    </row>
    <row r="341" spans="1:12" x14ac:dyDescent="0.35">
      <c r="A341" t="s">
        <v>7</v>
      </c>
      <c r="B341" t="s">
        <v>6</v>
      </c>
      <c r="C341">
        <v>19</v>
      </c>
      <c r="D341">
        <v>298</v>
      </c>
      <c r="E341">
        <v>224</v>
      </c>
      <c r="F341">
        <v>74</v>
      </c>
      <c r="H341">
        <v>21</v>
      </c>
      <c r="I341">
        <v>255</v>
      </c>
      <c r="J341">
        <v>174</v>
      </c>
      <c r="K341">
        <v>81</v>
      </c>
      <c r="L341">
        <v>1</v>
      </c>
    </row>
    <row r="342" spans="1:12" x14ac:dyDescent="0.35">
      <c r="A342" t="s">
        <v>7</v>
      </c>
      <c r="C342">
        <v>17</v>
      </c>
      <c r="D342">
        <v>282</v>
      </c>
      <c r="E342">
        <v>181</v>
      </c>
      <c r="F342">
        <v>101</v>
      </c>
      <c r="H342">
        <v>16</v>
      </c>
      <c r="I342">
        <v>321</v>
      </c>
      <c r="J342">
        <v>212</v>
      </c>
      <c r="K342">
        <v>109</v>
      </c>
      <c r="L342">
        <v>1</v>
      </c>
    </row>
    <row r="343" spans="1:12" x14ac:dyDescent="0.35">
      <c r="A343" t="s">
        <v>5</v>
      </c>
      <c r="B343" t="s">
        <v>6</v>
      </c>
      <c r="C343">
        <v>29</v>
      </c>
      <c r="D343">
        <v>448</v>
      </c>
      <c r="E343">
        <v>303</v>
      </c>
      <c r="F343">
        <v>145</v>
      </c>
      <c r="G343">
        <v>1</v>
      </c>
      <c r="H343">
        <v>16</v>
      </c>
      <c r="I343">
        <v>276</v>
      </c>
      <c r="J343">
        <v>224</v>
      </c>
      <c r="K343">
        <v>52</v>
      </c>
    </row>
    <row r="344" spans="1:12" x14ac:dyDescent="0.35">
      <c r="A344" t="s">
        <v>5</v>
      </c>
      <c r="C344">
        <v>17</v>
      </c>
      <c r="D344">
        <v>278</v>
      </c>
      <c r="E344">
        <v>184</v>
      </c>
      <c r="F344">
        <v>94</v>
      </c>
      <c r="G344">
        <v>1</v>
      </c>
      <c r="H344">
        <v>20</v>
      </c>
      <c r="I344">
        <v>346</v>
      </c>
      <c r="J344">
        <v>271</v>
      </c>
      <c r="K344">
        <v>75</v>
      </c>
      <c r="L344">
        <v>2</v>
      </c>
    </row>
    <row r="345" spans="1:12" x14ac:dyDescent="0.35">
      <c r="A345" t="s">
        <v>7</v>
      </c>
      <c r="B345" t="s">
        <v>6</v>
      </c>
      <c r="C345">
        <v>19</v>
      </c>
      <c r="D345">
        <v>291</v>
      </c>
      <c r="E345">
        <v>116</v>
      </c>
      <c r="F345">
        <v>175</v>
      </c>
      <c r="H345">
        <v>19</v>
      </c>
      <c r="I345">
        <v>315</v>
      </c>
      <c r="J345">
        <v>151</v>
      </c>
      <c r="K345">
        <v>164</v>
      </c>
      <c r="L345">
        <v>5</v>
      </c>
    </row>
    <row r="346" spans="1:12" x14ac:dyDescent="0.35">
      <c r="A346" t="s">
        <v>7</v>
      </c>
      <c r="C346">
        <v>23</v>
      </c>
      <c r="D346">
        <v>414</v>
      </c>
      <c r="E346">
        <v>271</v>
      </c>
      <c r="F346">
        <v>143</v>
      </c>
      <c r="G346">
        <v>1</v>
      </c>
      <c r="H346">
        <v>14</v>
      </c>
      <c r="I346">
        <v>268</v>
      </c>
      <c r="J346">
        <v>176</v>
      </c>
      <c r="K346">
        <v>92</v>
      </c>
    </row>
    <row r="347" spans="1:12" x14ac:dyDescent="0.35">
      <c r="A347" t="s">
        <v>5</v>
      </c>
      <c r="C347">
        <v>18</v>
      </c>
      <c r="D347">
        <v>352</v>
      </c>
      <c r="E347">
        <v>217</v>
      </c>
      <c r="F347">
        <v>135</v>
      </c>
      <c r="G347">
        <v>2</v>
      </c>
      <c r="H347">
        <v>26</v>
      </c>
      <c r="I347">
        <v>389</v>
      </c>
      <c r="J347">
        <v>326</v>
      </c>
      <c r="K347">
        <v>63</v>
      </c>
    </row>
    <row r="348" spans="1:12" x14ac:dyDescent="0.35">
      <c r="A348" t="s">
        <v>5</v>
      </c>
      <c r="C348">
        <v>18</v>
      </c>
      <c r="D348">
        <v>307</v>
      </c>
      <c r="E348">
        <v>209</v>
      </c>
      <c r="F348">
        <v>98</v>
      </c>
      <c r="G348">
        <v>2</v>
      </c>
      <c r="H348">
        <v>19</v>
      </c>
      <c r="I348">
        <v>272</v>
      </c>
      <c r="J348">
        <v>71</v>
      </c>
      <c r="K348">
        <v>201</v>
      </c>
      <c r="L348">
        <v>1</v>
      </c>
    </row>
    <row r="349" spans="1:12" x14ac:dyDescent="0.35">
      <c r="A349" t="s">
        <v>7</v>
      </c>
      <c r="C349">
        <v>25</v>
      </c>
      <c r="D349">
        <v>510</v>
      </c>
      <c r="E349">
        <v>362</v>
      </c>
      <c r="F349">
        <v>148</v>
      </c>
      <c r="G349">
        <v>1</v>
      </c>
      <c r="H349">
        <v>22</v>
      </c>
      <c r="I349">
        <v>414</v>
      </c>
      <c r="J349">
        <v>234</v>
      </c>
      <c r="K349">
        <v>180</v>
      </c>
      <c r="L349">
        <v>1</v>
      </c>
    </row>
    <row r="350" spans="1:12" x14ac:dyDescent="0.35">
      <c r="A350" t="s">
        <v>5</v>
      </c>
      <c r="B350" t="s">
        <v>6</v>
      </c>
      <c r="C350">
        <v>15</v>
      </c>
      <c r="D350">
        <v>244</v>
      </c>
      <c r="E350">
        <v>187</v>
      </c>
      <c r="F350">
        <v>57</v>
      </c>
      <c r="G350">
        <v>1</v>
      </c>
      <c r="H350">
        <v>20</v>
      </c>
      <c r="I350">
        <v>380</v>
      </c>
      <c r="J350">
        <v>265</v>
      </c>
      <c r="K350">
        <v>115</v>
      </c>
      <c r="L350">
        <v>1</v>
      </c>
    </row>
    <row r="351" spans="1:12" x14ac:dyDescent="0.35">
      <c r="A351" t="s">
        <v>7</v>
      </c>
      <c r="B351" t="s">
        <v>6</v>
      </c>
      <c r="C351">
        <v>15</v>
      </c>
      <c r="D351">
        <v>265</v>
      </c>
      <c r="E351">
        <v>177</v>
      </c>
      <c r="F351">
        <v>88</v>
      </c>
      <c r="G351">
        <v>1</v>
      </c>
      <c r="H351">
        <v>26</v>
      </c>
      <c r="I351">
        <v>514</v>
      </c>
      <c r="J351">
        <v>406</v>
      </c>
      <c r="K351">
        <v>108</v>
      </c>
      <c r="L351">
        <v>1</v>
      </c>
    </row>
    <row r="352" spans="1:12" x14ac:dyDescent="0.35">
      <c r="A352" t="s">
        <v>7</v>
      </c>
      <c r="C352">
        <v>18</v>
      </c>
      <c r="D352">
        <v>266</v>
      </c>
      <c r="E352">
        <v>149</v>
      </c>
      <c r="F352">
        <v>117</v>
      </c>
      <c r="G352">
        <v>1</v>
      </c>
      <c r="H352">
        <v>15</v>
      </c>
      <c r="I352">
        <v>257</v>
      </c>
      <c r="J352">
        <v>212</v>
      </c>
      <c r="K352">
        <v>45</v>
      </c>
      <c r="L352">
        <v>3</v>
      </c>
    </row>
    <row r="353" spans="1:12" x14ac:dyDescent="0.35">
      <c r="A353" t="s">
        <v>7</v>
      </c>
      <c r="C353">
        <v>25</v>
      </c>
      <c r="D353">
        <v>457</v>
      </c>
      <c r="E353">
        <v>345</v>
      </c>
      <c r="F353">
        <v>112</v>
      </c>
      <c r="G353">
        <v>1</v>
      </c>
      <c r="H353">
        <v>19</v>
      </c>
      <c r="I353">
        <v>252</v>
      </c>
      <c r="J353">
        <v>158</v>
      </c>
      <c r="K353">
        <v>94</v>
      </c>
    </row>
    <row r="354" spans="1:12" x14ac:dyDescent="0.35">
      <c r="A354" t="s">
        <v>7</v>
      </c>
      <c r="B354" t="s">
        <v>6</v>
      </c>
      <c r="C354">
        <v>18</v>
      </c>
      <c r="D354">
        <v>326</v>
      </c>
      <c r="E354">
        <v>222</v>
      </c>
      <c r="F354">
        <v>104</v>
      </c>
      <c r="H354">
        <v>11</v>
      </c>
      <c r="I354">
        <v>226</v>
      </c>
      <c r="J354">
        <v>151</v>
      </c>
      <c r="K354">
        <v>75</v>
      </c>
      <c r="L354">
        <v>1</v>
      </c>
    </row>
    <row r="355" spans="1:12" x14ac:dyDescent="0.35">
      <c r="A355" t="s">
        <v>7</v>
      </c>
      <c r="B355" t="s">
        <v>6</v>
      </c>
      <c r="C355">
        <v>24</v>
      </c>
      <c r="D355">
        <v>424</v>
      </c>
      <c r="E355">
        <v>273</v>
      </c>
      <c r="F355">
        <v>151</v>
      </c>
      <c r="H355">
        <v>16</v>
      </c>
      <c r="I355">
        <v>252</v>
      </c>
      <c r="J355">
        <v>235</v>
      </c>
      <c r="K355">
        <v>17</v>
      </c>
      <c r="L355">
        <v>2</v>
      </c>
    </row>
    <row r="356" spans="1:12" x14ac:dyDescent="0.35">
      <c r="A356" t="s">
        <v>7</v>
      </c>
      <c r="C356">
        <v>28</v>
      </c>
      <c r="D356">
        <v>510</v>
      </c>
      <c r="E356">
        <v>373</v>
      </c>
      <c r="F356">
        <v>137</v>
      </c>
      <c r="G356">
        <v>1</v>
      </c>
      <c r="H356">
        <v>10</v>
      </c>
      <c r="I356">
        <v>237</v>
      </c>
      <c r="J356">
        <v>197</v>
      </c>
      <c r="K356">
        <v>40</v>
      </c>
    </row>
    <row r="357" spans="1:12" x14ac:dyDescent="0.35">
      <c r="A357" t="s">
        <v>5</v>
      </c>
      <c r="C357">
        <v>18</v>
      </c>
      <c r="D357">
        <v>310</v>
      </c>
      <c r="E357">
        <v>258</v>
      </c>
      <c r="F357">
        <v>52</v>
      </c>
      <c r="H357">
        <v>24</v>
      </c>
      <c r="I357">
        <v>317</v>
      </c>
      <c r="J357">
        <v>174</v>
      </c>
      <c r="K357">
        <v>143</v>
      </c>
      <c r="L357">
        <v>1</v>
      </c>
    </row>
    <row r="358" spans="1:12" x14ac:dyDescent="0.35">
      <c r="A358" t="s">
        <v>7</v>
      </c>
      <c r="B358" t="s">
        <v>6</v>
      </c>
      <c r="C358">
        <v>21</v>
      </c>
      <c r="D358">
        <v>328</v>
      </c>
      <c r="E358">
        <v>219</v>
      </c>
      <c r="F358">
        <v>109</v>
      </c>
      <c r="H358">
        <v>21</v>
      </c>
      <c r="I358">
        <v>334</v>
      </c>
      <c r="J358">
        <v>298</v>
      </c>
      <c r="K358">
        <v>36</v>
      </c>
      <c r="L358">
        <v>4</v>
      </c>
    </row>
    <row r="359" spans="1:12" x14ac:dyDescent="0.35">
      <c r="A359" t="s">
        <v>7</v>
      </c>
      <c r="C359">
        <v>23</v>
      </c>
      <c r="D359">
        <v>418</v>
      </c>
      <c r="E359">
        <v>300</v>
      </c>
      <c r="F359">
        <v>118</v>
      </c>
      <c r="G359">
        <v>1</v>
      </c>
      <c r="H359">
        <v>26</v>
      </c>
      <c r="I359">
        <v>351</v>
      </c>
      <c r="J359">
        <v>230</v>
      </c>
      <c r="K359">
        <v>121</v>
      </c>
      <c r="L359">
        <v>1</v>
      </c>
    </row>
    <row r="360" spans="1:12" x14ac:dyDescent="0.35">
      <c r="A360" t="s">
        <v>7</v>
      </c>
      <c r="B360" t="s">
        <v>6</v>
      </c>
      <c r="C360">
        <v>14</v>
      </c>
      <c r="D360">
        <v>279</v>
      </c>
      <c r="E360">
        <v>184</v>
      </c>
      <c r="F360">
        <v>95</v>
      </c>
      <c r="H360">
        <v>27</v>
      </c>
      <c r="I360">
        <v>348</v>
      </c>
      <c r="J360">
        <v>259</v>
      </c>
      <c r="K360">
        <v>89</v>
      </c>
      <c r="L360">
        <v>3</v>
      </c>
    </row>
    <row r="361" spans="1:12" x14ac:dyDescent="0.35">
      <c r="A361" t="s">
        <v>5</v>
      </c>
      <c r="C361">
        <v>28</v>
      </c>
      <c r="D361">
        <v>465</v>
      </c>
      <c r="E361">
        <v>349</v>
      </c>
      <c r="F361">
        <v>116</v>
      </c>
      <c r="G361">
        <v>1</v>
      </c>
      <c r="H361">
        <v>25</v>
      </c>
      <c r="I361">
        <v>516</v>
      </c>
      <c r="J361">
        <v>354</v>
      </c>
      <c r="K361">
        <v>162</v>
      </c>
      <c r="L361">
        <v>1</v>
      </c>
    </row>
    <row r="362" spans="1:12" x14ac:dyDescent="0.35">
      <c r="A362" t="s">
        <v>7</v>
      </c>
      <c r="C362">
        <v>27</v>
      </c>
      <c r="D362">
        <v>424</v>
      </c>
      <c r="E362">
        <v>307</v>
      </c>
      <c r="F362">
        <v>117</v>
      </c>
      <c r="H362">
        <v>16</v>
      </c>
      <c r="I362">
        <v>205</v>
      </c>
      <c r="J362">
        <v>159</v>
      </c>
      <c r="K362">
        <v>46</v>
      </c>
    </row>
    <row r="363" spans="1:12" x14ac:dyDescent="0.35">
      <c r="A363" t="s">
        <v>7</v>
      </c>
      <c r="B363" t="s">
        <v>6</v>
      </c>
      <c r="C363">
        <v>23</v>
      </c>
      <c r="D363">
        <v>377</v>
      </c>
      <c r="E363">
        <v>275</v>
      </c>
      <c r="F363">
        <v>102</v>
      </c>
      <c r="H363">
        <v>17</v>
      </c>
      <c r="I363">
        <v>397</v>
      </c>
      <c r="J363">
        <v>248</v>
      </c>
      <c r="K363">
        <v>149</v>
      </c>
      <c r="L363">
        <v>1</v>
      </c>
    </row>
    <row r="364" spans="1:12" x14ac:dyDescent="0.35">
      <c r="A364" t="s">
        <v>7</v>
      </c>
      <c r="B364" t="s">
        <v>6</v>
      </c>
      <c r="C364">
        <v>25</v>
      </c>
      <c r="D364">
        <v>379</v>
      </c>
      <c r="E364">
        <v>264</v>
      </c>
      <c r="F364">
        <v>115</v>
      </c>
      <c r="H364">
        <v>16</v>
      </c>
      <c r="I364">
        <v>329</v>
      </c>
      <c r="J364">
        <v>288</v>
      </c>
      <c r="K364">
        <v>41</v>
      </c>
      <c r="L364">
        <v>3</v>
      </c>
    </row>
    <row r="365" spans="1:12" x14ac:dyDescent="0.35">
      <c r="A365" t="s">
        <v>5</v>
      </c>
      <c r="C365">
        <v>19</v>
      </c>
      <c r="D365">
        <v>324</v>
      </c>
      <c r="E365">
        <v>227</v>
      </c>
      <c r="F365">
        <v>97</v>
      </c>
      <c r="G365">
        <v>2</v>
      </c>
      <c r="H365">
        <v>22</v>
      </c>
      <c r="I365">
        <v>362</v>
      </c>
      <c r="J365">
        <v>226</v>
      </c>
      <c r="K365">
        <v>136</v>
      </c>
      <c r="L365">
        <v>1</v>
      </c>
    </row>
    <row r="366" spans="1:12" x14ac:dyDescent="0.35">
      <c r="A366" t="s">
        <v>5</v>
      </c>
      <c r="B366" t="s">
        <v>6</v>
      </c>
      <c r="C366">
        <v>25</v>
      </c>
      <c r="D366">
        <v>470</v>
      </c>
      <c r="E366">
        <v>319</v>
      </c>
      <c r="F366">
        <v>151</v>
      </c>
      <c r="G366">
        <v>2</v>
      </c>
      <c r="H366">
        <v>23</v>
      </c>
      <c r="I366">
        <v>494</v>
      </c>
      <c r="J366">
        <v>405</v>
      </c>
      <c r="K366">
        <v>89</v>
      </c>
    </row>
    <row r="367" spans="1:12" x14ac:dyDescent="0.35">
      <c r="A367" t="s">
        <v>5</v>
      </c>
      <c r="C367">
        <v>21</v>
      </c>
      <c r="D367">
        <v>370</v>
      </c>
      <c r="E367">
        <v>241</v>
      </c>
      <c r="F367">
        <v>129</v>
      </c>
      <c r="G367">
        <v>2</v>
      </c>
      <c r="H367">
        <v>24</v>
      </c>
      <c r="I367">
        <v>388</v>
      </c>
      <c r="J367">
        <v>237</v>
      </c>
      <c r="K367">
        <v>151</v>
      </c>
    </row>
    <row r="368" spans="1:12" x14ac:dyDescent="0.35">
      <c r="A368" t="s">
        <v>7</v>
      </c>
      <c r="B368" t="s">
        <v>6</v>
      </c>
      <c r="C368">
        <v>17</v>
      </c>
      <c r="D368">
        <v>384</v>
      </c>
      <c r="E368">
        <v>312</v>
      </c>
      <c r="F368">
        <v>72</v>
      </c>
      <c r="G368">
        <v>2</v>
      </c>
      <c r="H368">
        <v>24</v>
      </c>
      <c r="I368">
        <v>499</v>
      </c>
      <c r="J368">
        <v>355</v>
      </c>
      <c r="K368">
        <v>144</v>
      </c>
      <c r="L368">
        <v>1</v>
      </c>
    </row>
    <row r="369" spans="1:12" x14ac:dyDescent="0.35">
      <c r="A369" t="s">
        <v>7</v>
      </c>
      <c r="C369">
        <v>24</v>
      </c>
      <c r="D369">
        <v>389</v>
      </c>
      <c r="E369">
        <v>225</v>
      </c>
      <c r="F369">
        <v>164</v>
      </c>
      <c r="G369">
        <v>4</v>
      </c>
      <c r="H369">
        <v>8</v>
      </c>
      <c r="I369">
        <v>176</v>
      </c>
      <c r="J369">
        <v>121</v>
      </c>
      <c r="K369">
        <v>55</v>
      </c>
      <c r="L369">
        <v>4</v>
      </c>
    </row>
    <row r="370" spans="1:12" x14ac:dyDescent="0.35">
      <c r="A370" t="s">
        <v>5</v>
      </c>
      <c r="C370">
        <v>18</v>
      </c>
      <c r="D370">
        <v>211</v>
      </c>
      <c r="E370">
        <v>147</v>
      </c>
      <c r="F370">
        <v>64</v>
      </c>
      <c r="G370">
        <v>1</v>
      </c>
      <c r="H370">
        <v>22</v>
      </c>
      <c r="I370">
        <v>490</v>
      </c>
      <c r="J370">
        <v>279</v>
      </c>
      <c r="K370">
        <v>211</v>
      </c>
      <c r="L370">
        <v>1</v>
      </c>
    </row>
    <row r="371" spans="1:12" x14ac:dyDescent="0.35">
      <c r="A371" t="s">
        <v>5</v>
      </c>
      <c r="B371" t="s">
        <v>6</v>
      </c>
      <c r="C371">
        <v>10</v>
      </c>
      <c r="D371">
        <v>213</v>
      </c>
      <c r="E371">
        <v>161</v>
      </c>
      <c r="F371">
        <v>52</v>
      </c>
      <c r="G371">
        <v>4</v>
      </c>
      <c r="H371">
        <v>27</v>
      </c>
      <c r="I371">
        <v>427</v>
      </c>
      <c r="J371">
        <v>313</v>
      </c>
      <c r="K371">
        <v>114</v>
      </c>
      <c r="L371">
        <v>2</v>
      </c>
    </row>
    <row r="372" spans="1:12" x14ac:dyDescent="0.35">
      <c r="A372" t="s">
        <v>5</v>
      </c>
      <c r="C372">
        <v>21</v>
      </c>
      <c r="D372">
        <v>263</v>
      </c>
      <c r="E372">
        <v>156</v>
      </c>
      <c r="F372">
        <v>107</v>
      </c>
      <c r="G372">
        <v>3</v>
      </c>
      <c r="H372">
        <v>18</v>
      </c>
      <c r="I372">
        <v>245</v>
      </c>
      <c r="J372">
        <v>89</v>
      </c>
      <c r="K372">
        <v>156</v>
      </c>
    </row>
    <row r="373" spans="1:12" x14ac:dyDescent="0.35">
      <c r="A373" t="s">
        <v>5</v>
      </c>
      <c r="B373" t="s">
        <v>6</v>
      </c>
      <c r="C373">
        <v>24</v>
      </c>
      <c r="D373">
        <v>370</v>
      </c>
      <c r="E373">
        <v>290</v>
      </c>
      <c r="F373">
        <v>80</v>
      </c>
      <c r="G373">
        <v>1</v>
      </c>
      <c r="H373">
        <v>17</v>
      </c>
      <c r="I373">
        <v>375</v>
      </c>
      <c r="J373">
        <v>316</v>
      </c>
      <c r="K373">
        <v>59</v>
      </c>
      <c r="L373">
        <v>2</v>
      </c>
    </row>
    <row r="374" spans="1:12" x14ac:dyDescent="0.35">
      <c r="A374" t="s">
        <v>5</v>
      </c>
      <c r="C374">
        <v>20</v>
      </c>
      <c r="D374">
        <v>271</v>
      </c>
      <c r="E374">
        <v>171</v>
      </c>
      <c r="F374">
        <v>100</v>
      </c>
      <c r="G374">
        <v>3</v>
      </c>
      <c r="H374">
        <v>24</v>
      </c>
      <c r="I374">
        <v>429</v>
      </c>
      <c r="J374">
        <v>257</v>
      </c>
      <c r="K374">
        <v>172</v>
      </c>
      <c r="L374">
        <v>2</v>
      </c>
    </row>
    <row r="375" spans="1:12" x14ac:dyDescent="0.35">
      <c r="A375" t="s">
        <v>5</v>
      </c>
      <c r="B375" t="s">
        <v>6</v>
      </c>
      <c r="C375">
        <v>15</v>
      </c>
      <c r="D375">
        <v>281</v>
      </c>
      <c r="E375">
        <v>258</v>
      </c>
      <c r="F375">
        <v>23</v>
      </c>
      <c r="G375">
        <v>2</v>
      </c>
      <c r="H375">
        <v>18</v>
      </c>
      <c r="I375">
        <v>294</v>
      </c>
      <c r="J375">
        <v>218</v>
      </c>
      <c r="K375">
        <v>76</v>
      </c>
    </row>
    <row r="376" spans="1:12" x14ac:dyDescent="0.35">
      <c r="A376" t="s">
        <v>5</v>
      </c>
      <c r="B376" t="s">
        <v>6</v>
      </c>
      <c r="C376">
        <v>14</v>
      </c>
      <c r="D376">
        <v>243</v>
      </c>
      <c r="E376">
        <v>134</v>
      </c>
      <c r="F376">
        <v>109</v>
      </c>
      <c r="G376">
        <v>1</v>
      </c>
      <c r="H376">
        <v>20</v>
      </c>
      <c r="I376">
        <v>335</v>
      </c>
      <c r="J376">
        <v>270</v>
      </c>
      <c r="K376">
        <v>65</v>
      </c>
      <c r="L376">
        <v>2</v>
      </c>
    </row>
    <row r="377" spans="1:12" x14ac:dyDescent="0.35">
      <c r="A377" t="s">
        <v>5</v>
      </c>
      <c r="C377">
        <v>20</v>
      </c>
      <c r="D377">
        <v>335</v>
      </c>
      <c r="E377">
        <v>240</v>
      </c>
      <c r="F377">
        <v>95</v>
      </c>
      <c r="G377">
        <v>3</v>
      </c>
      <c r="H377">
        <v>19</v>
      </c>
      <c r="I377">
        <v>322</v>
      </c>
      <c r="J377">
        <v>243</v>
      </c>
      <c r="K377">
        <v>79</v>
      </c>
    </row>
    <row r="378" spans="1:12" x14ac:dyDescent="0.35">
      <c r="A378" t="s">
        <v>5</v>
      </c>
      <c r="B378" t="s">
        <v>6</v>
      </c>
      <c r="C378">
        <v>11</v>
      </c>
      <c r="D378">
        <v>255</v>
      </c>
      <c r="E378">
        <v>182</v>
      </c>
      <c r="F378">
        <v>73</v>
      </c>
      <c r="H378">
        <v>27</v>
      </c>
      <c r="I378">
        <v>418</v>
      </c>
      <c r="J378">
        <v>300</v>
      </c>
      <c r="K378">
        <v>118</v>
      </c>
      <c r="L378">
        <v>1</v>
      </c>
    </row>
    <row r="379" spans="1:12" x14ac:dyDescent="0.35">
      <c r="A379" t="s">
        <v>7</v>
      </c>
      <c r="C379">
        <v>24</v>
      </c>
      <c r="D379">
        <v>412</v>
      </c>
      <c r="E379">
        <v>274</v>
      </c>
      <c r="F379">
        <v>138</v>
      </c>
      <c r="G379">
        <v>3</v>
      </c>
      <c r="H379">
        <v>22</v>
      </c>
      <c r="I379">
        <v>384</v>
      </c>
      <c r="J379">
        <v>262</v>
      </c>
      <c r="K379">
        <v>122</v>
      </c>
      <c r="L379">
        <v>1</v>
      </c>
    </row>
    <row r="380" spans="1:12" x14ac:dyDescent="0.35">
      <c r="A380" t="s">
        <v>7</v>
      </c>
      <c r="B380" t="s">
        <v>6</v>
      </c>
      <c r="C380">
        <v>28</v>
      </c>
      <c r="D380">
        <v>552</v>
      </c>
      <c r="E380">
        <v>346</v>
      </c>
      <c r="F380">
        <v>206</v>
      </c>
      <c r="H380">
        <v>25</v>
      </c>
      <c r="I380">
        <v>361</v>
      </c>
      <c r="J380">
        <v>281</v>
      </c>
      <c r="K380">
        <v>80</v>
      </c>
    </row>
    <row r="381" spans="1:12" x14ac:dyDescent="0.35">
      <c r="A381" t="s">
        <v>5</v>
      </c>
      <c r="C381">
        <v>19</v>
      </c>
      <c r="D381">
        <v>397</v>
      </c>
      <c r="E381">
        <v>275</v>
      </c>
      <c r="F381">
        <v>122</v>
      </c>
      <c r="G381">
        <v>2</v>
      </c>
      <c r="H381">
        <v>25</v>
      </c>
      <c r="I381">
        <v>400</v>
      </c>
      <c r="J381">
        <v>279</v>
      </c>
      <c r="K381">
        <v>121</v>
      </c>
    </row>
    <row r="382" spans="1:12" x14ac:dyDescent="0.35">
      <c r="A382" t="s">
        <v>5</v>
      </c>
      <c r="C382">
        <v>17</v>
      </c>
      <c r="D382">
        <v>223</v>
      </c>
      <c r="E382">
        <v>155</v>
      </c>
      <c r="F382">
        <v>68</v>
      </c>
      <c r="G382">
        <v>1</v>
      </c>
      <c r="H382">
        <v>23</v>
      </c>
      <c r="I382">
        <v>370</v>
      </c>
      <c r="J382">
        <v>242</v>
      </c>
      <c r="K382">
        <v>128</v>
      </c>
      <c r="L382">
        <v>4</v>
      </c>
    </row>
    <row r="383" spans="1:12" x14ac:dyDescent="0.35">
      <c r="A383" t="s">
        <v>5</v>
      </c>
      <c r="C383">
        <v>13</v>
      </c>
      <c r="D383">
        <v>262</v>
      </c>
      <c r="E383">
        <v>169</v>
      </c>
      <c r="F383">
        <v>93</v>
      </c>
      <c r="G383">
        <v>1</v>
      </c>
      <c r="H383">
        <v>16</v>
      </c>
      <c r="I383">
        <v>375</v>
      </c>
      <c r="J383">
        <v>305</v>
      </c>
      <c r="K383">
        <v>70</v>
      </c>
      <c r="L383">
        <v>1</v>
      </c>
    </row>
    <row r="384" spans="1:12" x14ac:dyDescent="0.35">
      <c r="A384" t="s">
        <v>5</v>
      </c>
      <c r="B384" t="s">
        <v>6</v>
      </c>
      <c r="C384">
        <v>6</v>
      </c>
      <c r="D384">
        <v>105</v>
      </c>
      <c r="E384">
        <v>69</v>
      </c>
      <c r="F384">
        <v>36</v>
      </c>
      <c r="G384">
        <v>1</v>
      </c>
      <c r="H384">
        <v>21</v>
      </c>
      <c r="I384">
        <v>381</v>
      </c>
      <c r="J384">
        <v>313</v>
      </c>
      <c r="K384">
        <v>68</v>
      </c>
      <c r="L384">
        <v>2</v>
      </c>
    </row>
    <row r="385" spans="1:12" x14ac:dyDescent="0.35">
      <c r="A385" t="s">
        <v>5</v>
      </c>
      <c r="B385" t="s">
        <v>6</v>
      </c>
      <c r="C385">
        <v>9</v>
      </c>
      <c r="D385">
        <v>128</v>
      </c>
      <c r="E385">
        <v>61</v>
      </c>
      <c r="F385">
        <v>67</v>
      </c>
      <c r="G385">
        <v>3</v>
      </c>
      <c r="H385">
        <v>17</v>
      </c>
      <c r="I385">
        <v>265</v>
      </c>
      <c r="J385">
        <v>181</v>
      </c>
      <c r="K385">
        <v>84</v>
      </c>
      <c r="L385">
        <v>1</v>
      </c>
    </row>
    <row r="386" spans="1:12" x14ac:dyDescent="0.35">
      <c r="A386" t="s">
        <v>7</v>
      </c>
      <c r="C386">
        <v>20</v>
      </c>
      <c r="D386">
        <v>382</v>
      </c>
      <c r="E386">
        <v>326</v>
      </c>
      <c r="F386">
        <v>56</v>
      </c>
      <c r="G386">
        <v>1</v>
      </c>
      <c r="H386">
        <v>26</v>
      </c>
      <c r="I386">
        <v>399</v>
      </c>
      <c r="J386">
        <v>270</v>
      </c>
      <c r="K386">
        <v>129</v>
      </c>
    </row>
    <row r="387" spans="1:12" x14ac:dyDescent="0.35">
      <c r="A387" t="s">
        <v>5</v>
      </c>
      <c r="C387">
        <v>12</v>
      </c>
      <c r="D387">
        <v>154</v>
      </c>
      <c r="E387">
        <v>73</v>
      </c>
      <c r="F387">
        <v>81</v>
      </c>
      <c r="G387">
        <v>6</v>
      </c>
      <c r="H387">
        <v>22</v>
      </c>
      <c r="I387">
        <v>323</v>
      </c>
      <c r="J387">
        <v>249</v>
      </c>
      <c r="K387">
        <v>74</v>
      </c>
      <c r="L387">
        <v>1</v>
      </c>
    </row>
    <row r="388" spans="1:12" x14ac:dyDescent="0.35">
      <c r="A388" t="s">
        <v>5</v>
      </c>
      <c r="B388" t="s">
        <v>6</v>
      </c>
      <c r="C388">
        <v>15</v>
      </c>
      <c r="D388">
        <v>213</v>
      </c>
      <c r="E388">
        <v>167</v>
      </c>
      <c r="F388">
        <v>46</v>
      </c>
      <c r="G388">
        <v>3</v>
      </c>
      <c r="H388">
        <v>21</v>
      </c>
      <c r="I388">
        <v>389</v>
      </c>
      <c r="J388">
        <v>278</v>
      </c>
      <c r="K388">
        <v>111</v>
      </c>
      <c r="L388">
        <v>1</v>
      </c>
    </row>
    <row r="389" spans="1:12" x14ac:dyDescent="0.35">
      <c r="A389" t="s">
        <v>5</v>
      </c>
      <c r="B389" t="s">
        <v>6</v>
      </c>
      <c r="C389">
        <v>17</v>
      </c>
      <c r="D389">
        <v>321</v>
      </c>
      <c r="E389">
        <v>238</v>
      </c>
      <c r="F389">
        <v>83</v>
      </c>
      <c r="G389">
        <v>1</v>
      </c>
      <c r="H389">
        <v>22</v>
      </c>
      <c r="I389">
        <v>316</v>
      </c>
      <c r="J389">
        <v>266</v>
      </c>
      <c r="K389">
        <v>50</v>
      </c>
    </row>
    <row r="390" spans="1:12" x14ac:dyDescent="0.35">
      <c r="A390" t="s">
        <v>7</v>
      </c>
      <c r="C390">
        <v>18</v>
      </c>
      <c r="D390">
        <v>294</v>
      </c>
      <c r="E390">
        <v>218</v>
      </c>
      <c r="F390">
        <v>76</v>
      </c>
      <c r="H390">
        <v>15</v>
      </c>
      <c r="I390">
        <v>281</v>
      </c>
      <c r="J390">
        <v>258</v>
      </c>
      <c r="K390">
        <v>23</v>
      </c>
      <c r="L390">
        <v>2</v>
      </c>
    </row>
    <row r="391" spans="1:12" x14ac:dyDescent="0.35">
      <c r="A391" t="s">
        <v>7</v>
      </c>
      <c r="B391" t="s">
        <v>6</v>
      </c>
      <c r="C391">
        <v>23</v>
      </c>
      <c r="D391">
        <v>400</v>
      </c>
      <c r="E391">
        <v>285</v>
      </c>
      <c r="F391">
        <v>115</v>
      </c>
      <c r="G391">
        <v>2</v>
      </c>
      <c r="H391">
        <v>13</v>
      </c>
      <c r="I391">
        <v>225</v>
      </c>
      <c r="J391">
        <v>171</v>
      </c>
      <c r="K391">
        <v>54</v>
      </c>
      <c r="L391">
        <v>1</v>
      </c>
    </row>
    <row r="392" spans="1:12" x14ac:dyDescent="0.35">
      <c r="A392" t="s">
        <v>7</v>
      </c>
      <c r="C392">
        <v>21</v>
      </c>
      <c r="D392">
        <v>401</v>
      </c>
      <c r="E392">
        <v>313</v>
      </c>
      <c r="F392">
        <v>88</v>
      </c>
      <c r="G392">
        <v>1</v>
      </c>
      <c r="H392">
        <v>10</v>
      </c>
      <c r="I392">
        <v>208</v>
      </c>
      <c r="J392">
        <v>140</v>
      </c>
      <c r="K392">
        <v>68</v>
      </c>
      <c r="L392">
        <v>2</v>
      </c>
    </row>
    <row r="393" spans="1:12" x14ac:dyDescent="0.35">
      <c r="A393" t="s">
        <v>5</v>
      </c>
      <c r="B393" t="s">
        <v>6</v>
      </c>
      <c r="C393">
        <v>15</v>
      </c>
      <c r="D393">
        <v>271</v>
      </c>
      <c r="E393">
        <v>209</v>
      </c>
      <c r="F393">
        <v>62</v>
      </c>
      <c r="H393">
        <v>18</v>
      </c>
      <c r="I393">
        <v>277</v>
      </c>
      <c r="J393">
        <v>233</v>
      </c>
      <c r="K393">
        <v>44</v>
      </c>
    </row>
    <row r="394" spans="1:12" x14ac:dyDescent="0.35">
      <c r="A394" t="s">
        <v>7</v>
      </c>
      <c r="C394">
        <v>22</v>
      </c>
      <c r="D394">
        <v>374</v>
      </c>
      <c r="E394">
        <v>262</v>
      </c>
      <c r="F394">
        <v>112</v>
      </c>
      <c r="G394">
        <v>1</v>
      </c>
      <c r="H394">
        <v>22</v>
      </c>
      <c r="I394">
        <v>362</v>
      </c>
      <c r="J394">
        <v>240</v>
      </c>
      <c r="K394">
        <v>122</v>
      </c>
      <c r="L394">
        <v>1</v>
      </c>
    </row>
    <row r="395" spans="1:12" x14ac:dyDescent="0.35">
      <c r="A395" t="s">
        <v>5</v>
      </c>
      <c r="B395" t="s">
        <v>6</v>
      </c>
      <c r="C395">
        <v>13</v>
      </c>
      <c r="D395">
        <v>310</v>
      </c>
      <c r="E395">
        <v>207</v>
      </c>
      <c r="F395">
        <v>103</v>
      </c>
      <c r="G395">
        <v>2</v>
      </c>
      <c r="H395">
        <v>23</v>
      </c>
      <c r="I395">
        <v>430</v>
      </c>
      <c r="J395">
        <v>212</v>
      </c>
      <c r="K395">
        <v>218</v>
      </c>
    </row>
    <row r="396" spans="1:12" x14ac:dyDescent="0.35">
      <c r="A396" t="s">
        <v>7</v>
      </c>
      <c r="C396">
        <v>14</v>
      </c>
      <c r="D396">
        <v>259</v>
      </c>
      <c r="E396">
        <v>174</v>
      </c>
      <c r="F396">
        <v>85</v>
      </c>
      <c r="G396">
        <v>1</v>
      </c>
      <c r="H396">
        <v>16</v>
      </c>
      <c r="I396">
        <v>260</v>
      </c>
      <c r="J396">
        <v>185</v>
      </c>
      <c r="K396">
        <v>75</v>
      </c>
      <c r="L396">
        <v>2</v>
      </c>
    </row>
    <row r="397" spans="1:12" x14ac:dyDescent="0.35">
      <c r="A397" t="s">
        <v>7</v>
      </c>
      <c r="B397" t="s">
        <v>6</v>
      </c>
      <c r="C397">
        <v>18</v>
      </c>
      <c r="D397">
        <v>271</v>
      </c>
      <c r="E397">
        <v>185</v>
      </c>
      <c r="F397">
        <v>86</v>
      </c>
      <c r="G397">
        <v>1</v>
      </c>
      <c r="H397">
        <v>17</v>
      </c>
      <c r="I397">
        <v>309</v>
      </c>
      <c r="J397">
        <v>236</v>
      </c>
      <c r="K397">
        <v>73</v>
      </c>
      <c r="L397">
        <v>3</v>
      </c>
    </row>
    <row r="398" spans="1:12" x14ac:dyDescent="0.35">
      <c r="A398" t="s">
        <v>7</v>
      </c>
      <c r="C398">
        <v>19</v>
      </c>
      <c r="D398">
        <v>357</v>
      </c>
      <c r="E398">
        <v>259</v>
      </c>
      <c r="F398">
        <v>98</v>
      </c>
      <c r="H398">
        <v>18</v>
      </c>
      <c r="I398">
        <v>344</v>
      </c>
      <c r="J398">
        <v>249</v>
      </c>
      <c r="K398">
        <v>95</v>
      </c>
    </row>
    <row r="399" spans="1:12" x14ac:dyDescent="0.35">
      <c r="A399" t="s">
        <v>5</v>
      </c>
      <c r="C399">
        <v>19</v>
      </c>
      <c r="D399">
        <v>307</v>
      </c>
      <c r="E399">
        <v>178</v>
      </c>
      <c r="F399">
        <v>129</v>
      </c>
      <c r="G399">
        <v>2</v>
      </c>
      <c r="H399">
        <v>24</v>
      </c>
      <c r="I399">
        <v>467</v>
      </c>
      <c r="J399">
        <v>436</v>
      </c>
      <c r="K399">
        <v>31</v>
      </c>
      <c r="L399">
        <v>1</v>
      </c>
    </row>
    <row r="400" spans="1:12" x14ac:dyDescent="0.35">
      <c r="A400" t="s">
        <v>5</v>
      </c>
      <c r="B400" t="s">
        <v>6</v>
      </c>
      <c r="C400">
        <v>17</v>
      </c>
      <c r="D400">
        <v>302</v>
      </c>
      <c r="E400">
        <v>214</v>
      </c>
      <c r="F400">
        <v>88</v>
      </c>
      <c r="G400">
        <v>1</v>
      </c>
      <c r="H400">
        <v>23</v>
      </c>
      <c r="I400">
        <v>385</v>
      </c>
      <c r="J400">
        <v>174</v>
      </c>
      <c r="K400">
        <v>211</v>
      </c>
    </row>
    <row r="401" spans="1:12" x14ac:dyDescent="0.35">
      <c r="A401" t="s">
        <v>7</v>
      </c>
      <c r="B401" t="s">
        <v>6</v>
      </c>
      <c r="C401">
        <v>21</v>
      </c>
      <c r="D401">
        <v>377</v>
      </c>
      <c r="E401">
        <v>189</v>
      </c>
      <c r="F401">
        <v>188</v>
      </c>
      <c r="G401">
        <v>1</v>
      </c>
      <c r="H401">
        <v>22</v>
      </c>
      <c r="I401">
        <v>346</v>
      </c>
      <c r="J401">
        <v>265</v>
      </c>
      <c r="K401">
        <v>81</v>
      </c>
      <c r="L401">
        <v>2</v>
      </c>
    </row>
    <row r="402" spans="1:12" x14ac:dyDescent="0.35">
      <c r="A402" t="s">
        <v>7</v>
      </c>
      <c r="C402">
        <v>25</v>
      </c>
      <c r="D402">
        <v>398</v>
      </c>
      <c r="E402">
        <v>229</v>
      </c>
      <c r="F402">
        <v>169</v>
      </c>
      <c r="G402">
        <v>2</v>
      </c>
      <c r="H402">
        <v>15</v>
      </c>
      <c r="I402">
        <v>236</v>
      </c>
      <c r="J402">
        <v>194</v>
      </c>
      <c r="K402">
        <v>42</v>
      </c>
      <c r="L402">
        <v>2</v>
      </c>
    </row>
    <row r="403" spans="1:12" x14ac:dyDescent="0.35">
      <c r="A403" t="s">
        <v>5</v>
      </c>
      <c r="B403" t="s">
        <v>6</v>
      </c>
      <c r="C403">
        <v>21</v>
      </c>
      <c r="D403">
        <v>484</v>
      </c>
      <c r="E403">
        <v>329</v>
      </c>
      <c r="F403">
        <v>155</v>
      </c>
      <c r="G403">
        <v>2</v>
      </c>
      <c r="H403">
        <v>22</v>
      </c>
      <c r="I403">
        <v>481</v>
      </c>
      <c r="J403">
        <v>421</v>
      </c>
      <c r="K403">
        <v>60</v>
      </c>
    </row>
    <row r="404" spans="1:12" x14ac:dyDescent="0.35">
      <c r="A404" t="s">
        <v>5</v>
      </c>
      <c r="B404" t="s">
        <v>6</v>
      </c>
      <c r="C404">
        <v>15</v>
      </c>
      <c r="D404">
        <v>378</v>
      </c>
      <c r="E404">
        <v>285</v>
      </c>
      <c r="F404">
        <v>93</v>
      </c>
      <c r="H404">
        <v>29</v>
      </c>
      <c r="I404">
        <v>388</v>
      </c>
      <c r="J404">
        <v>258</v>
      </c>
      <c r="K404">
        <v>130</v>
      </c>
    </row>
    <row r="405" spans="1:12" x14ac:dyDescent="0.35">
      <c r="A405" t="s">
        <v>7</v>
      </c>
      <c r="C405">
        <v>25</v>
      </c>
      <c r="D405">
        <v>450</v>
      </c>
      <c r="E405">
        <v>279</v>
      </c>
      <c r="F405">
        <v>171</v>
      </c>
      <c r="H405">
        <v>26</v>
      </c>
      <c r="I405">
        <v>473</v>
      </c>
      <c r="J405">
        <v>383</v>
      </c>
      <c r="K405">
        <v>90</v>
      </c>
      <c r="L405">
        <v>2</v>
      </c>
    </row>
    <row r="406" spans="1:12" x14ac:dyDescent="0.35">
      <c r="A406" t="s">
        <v>7</v>
      </c>
      <c r="C406">
        <v>18</v>
      </c>
      <c r="D406">
        <v>278</v>
      </c>
      <c r="E406">
        <v>200</v>
      </c>
      <c r="F406">
        <v>78</v>
      </c>
      <c r="H406">
        <v>26</v>
      </c>
      <c r="I406">
        <v>315</v>
      </c>
      <c r="J406">
        <v>169</v>
      </c>
      <c r="K406">
        <v>146</v>
      </c>
      <c r="L406">
        <v>3</v>
      </c>
    </row>
    <row r="407" spans="1:12" x14ac:dyDescent="0.35">
      <c r="A407" t="s">
        <v>7</v>
      </c>
      <c r="C407">
        <v>20</v>
      </c>
      <c r="D407">
        <v>386</v>
      </c>
      <c r="E407">
        <v>273</v>
      </c>
      <c r="F407">
        <v>113</v>
      </c>
      <c r="G407">
        <v>2</v>
      </c>
      <c r="H407">
        <v>16</v>
      </c>
      <c r="I407">
        <v>246</v>
      </c>
      <c r="J407">
        <v>73</v>
      </c>
      <c r="K407">
        <v>173</v>
      </c>
      <c r="L407">
        <v>2</v>
      </c>
    </row>
    <row r="408" spans="1:12" x14ac:dyDescent="0.35">
      <c r="A408" t="s">
        <v>5</v>
      </c>
      <c r="B408" t="s">
        <v>6</v>
      </c>
      <c r="C408">
        <v>10</v>
      </c>
      <c r="D408">
        <v>208</v>
      </c>
      <c r="E408">
        <v>140</v>
      </c>
      <c r="F408">
        <v>68</v>
      </c>
      <c r="G408">
        <v>2</v>
      </c>
      <c r="H408">
        <v>21</v>
      </c>
      <c r="I408">
        <v>401</v>
      </c>
      <c r="J408">
        <v>313</v>
      </c>
      <c r="K408">
        <v>88</v>
      </c>
      <c r="L408">
        <v>1</v>
      </c>
    </row>
    <row r="409" spans="1:12" x14ac:dyDescent="0.35">
      <c r="A409" t="s">
        <v>5</v>
      </c>
      <c r="B409" t="s">
        <v>6</v>
      </c>
      <c r="C409">
        <v>19</v>
      </c>
      <c r="D409">
        <v>332</v>
      </c>
      <c r="E409">
        <v>210</v>
      </c>
      <c r="F409">
        <v>122</v>
      </c>
      <c r="G409">
        <v>3</v>
      </c>
      <c r="H409">
        <v>22</v>
      </c>
      <c r="I409">
        <v>259</v>
      </c>
      <c r="J409">
        <v>163</v>
      </c>
      <c r="K409">
        <v>96</v>
      </c>
    </row>
    <row r="410" spans="1:12" x14ac:dyDescent="0.35">
      <c r="A410" t="s">
        <v>5</v>
      </c>
      <c r="C410">
        <v>22</v>
      </c>
      <c r="D410">
        <v>355</v>
      </c>
      <c r="E410">
        <v>258</v>
      </c>
      <c r="F410">
        <v>97</v>
      </c>
      <c r="G410">
        <v>1</v>
      </c>
      <c r="H410">
        <v>26</v>
      </c>
      <c r="I410">
        <v>552</v>
      </c>
      <c r="J410">
        <v>391</v>
      </c>
      <c r="K410">
        <v>161</v>
      </c>
      <c r="L410">
        <v>1</v>
      </c>
    </row>
    <row r="411" spans="1:12" x14ac:dyDescent="0.35">
      <c r="A411" t="s">
        <v>5</v>
      </c>
      <c r="C411">
        <v>27</v>
      </c>
      <c r="D411">
        <v>364</v>
      </c>
      <c r="E411">
        <v>236</v>
      </c>
      <c r="F411">
        <v>128</v>
      </c>
      <c r="H411">
        <v>17</v>
      </c>
      <c r="I411">
        <v>262</v>
      </c>
      <c r="J411">
        <v>185</v>
      </c>
      <c r="K411">
        <v>77</v>
      </c>
    </row>
    <row r="412" spans="1:12" x14ac:dyDescent="0.35">
      <c r="A412" t="s">
        <v>7</v>
      </c>
      <c r="B412" t="s">
        <v>6</v>
      </c>
      <c r="C412">
        <v>19</v>
      </c>
      <c r="D412">
        <v>366</v>
      </c>
      <c r="E412">
        <v>267</v>
      </c>
      <c r="F412">
        <v>99</v>
      </c>
      <c r="H412">
        <v>21</v>
      </c>
      <c r="I412">
        <v>284</v>
      </c>
      <c r="J412">
        <v>265</v>
      </c>
      <c r="K412">
        <v>19</v>
      </c>
    </row>
    <row r="413" spans="1:12" x14ac:dyDescent="0.35">
      <c r="A413" t="s">
        <v>5</v>
      </c>
      <c r="B413" t="s">
        <v>6</v>
      </c>
      <c r="C413">
        <v>18</v>
      </c>
      <c r="D413">
        <v>477</v>
      </c>
      <c r="E413">
        <v>380</v>
      </c>
      <c r="F413">
        <v>97</v>
      </c>
      <c r="G413">
        <v>1</v>
      </c>
      <c r="H413">
        <v>16</v>
      </c>
      <c r="I413">
        <v>238</v>
      </c>
      <c r="J413">
        <v>168</v>
      </c>
      <c r="K413">
        <v>70</v>
      </c>
      <c r="L413">
        <v>1</v>
      </c>
    </row>
    <row r="414" spans="1:12" x14ac:dyDescent="0.35">
      <c r="A414" t="s">
        <v>7</v>
      </c>
      <c r="C414">
        <v>22</v>
      </c>
      <c r="D414">
        <v>436</v>
      </c>
      <c r="E414">
        <v>313</v>
      </c>
      <c r="F414">
        <v>123</v>
      </c>
      <c r="H414">
        <v>15</v>
      </c>
      <c r="I414">
        <v>398</v>
      </c>
      <c r="J414">
        <v>370</v>
      </c>
      <c r="K414">
        <v>28</v>
      </c>
    </row>
    <row r="415" spans="1:12" x14ac:dyDescent="0.35">
      <c r="A415" t="s">
        <v>5</v>
      </c>
      <c r="B415" t="s">
        <v>6</v>
      </c>
      <c r="C415">
        <v>18</v>
      </c>
      <c r="D415">
        <v>286</v>
      </c>
      <c r="E415">
        <v>237</v>
      </c>
      <c r="F415">
        <v>49</v>
      </c>
      <c r="G415">
        <v>3</v>
      </c>
      <c r="H415">
        <v>19</v>
      </c>
      <c r="I415">
        <v>367</v>
      </c>
      <c r="J415">
        <v>310</v>
      </c>
      <c r="K415">
        <v>57</v>
      </c>
      <c r="L415">
        <v>3</v>
      </c>
    </row>
    <row r="416" spans="1:12" x14ac:dyDescent="0.35">
      <c r="A416" t="s">
        <v>5</v>
      </c>
      <c r="C416">
        <v>22</v>
      </c>
      <c r="D416">
        <v>373</v>
      </c>
      <c r="E416">
        <v>246</v>
      </c>
      <c r="F416">
        <v>127</v>
      </c>
      <c r="G416">
        <v>2</v>
      </c>
      <c r="H416">
        <v>16</v>
      </c>
      <c r="I416">
        <v>287</v>
      </c>
      <c r="J416">
        <v>201</v>
      </c>
      <c r="K416">
        <v>86</v>
      </c>
    </row>
    <row r="417" spans="1:12" x14ac:dyDescent="0.35">
      <c r="A417" t="s">
        <v>7</v>
      </c>
      <c r="B417" t="s">
        <v>6</v>
      </c>
      <c r="C417">
        <v>24</v>
      </c>
      <c r="D417">
        <v>336</v>
      </c>
      <c r="E417">
        <v>160</v>
      </c>
      <c r="F417">
        <v>176</v>
      </c>
      <c r="H417">
        <v>31</v>
      </c>
      <c r="I417">
        <v>491</v>
      </c>
      <c r="J417">
        <v>414</v>
      </c>
      <c r="K417">
        <v>77</v>
      </c>
      <c r="L417">
        <v>2</v>
      </c>
    </row>
    <row r="418" spans="1:12" x14ac:dyDescent="0.35">
      <c r="A418" t="s">
        <v>7</v>
      </c>
      <c r="C418">
        <v>17</v>
      </c>
      <c r="D418">
        <v>265</v>
      </c>
      <c r="E418">
        <v>181</v>
      </c>
      <c r="F418">
        <v>84</v>
      </c>
      <c r="G418">
        <v>1</v>
      </c>
      <c r="H418">
        <v>9</v>
      </c>
      <c r="I418">
        <v>128</v>
      </c>
      <c r="J418">
        <v>61</v>
      </c>
      <c r="K418">
        <v>67</v>
      </c>
      <c r="L418">
        <v>3</v>
      </c>
    </row>
    <row r="419" spans="1:12" x14ac:dyDescent="0.35">
      <c r="A419" t="s">
        <v>5</v>
      </c>
      <c r="B419" t="s">
        <v>6</v>
      </c>
      <c r="C419">
        <v>19</v>
      </c>
      <c r="D419">
        <v>400</v>
      </c>
      <c r="E419">
        <v>292</v>
      </c>
      <c r="F419">
        <v>108</v>
      </c>
      <c r="G419">
        <v>3</v>
      </c>
      <c r="H419">
        <v>26</v>
      </c>
      <c r="I419">
        <v>447</v>
      </c>
      <c r="J419">
        <v>325</v>
      </c>
      <c r="K419">
        <v>122</v>
      </c>
      <c r="L419">
        <v>2</v>
      </c>
    </row>
    <row r="420" spans="1:12" x14ac:dyDescent="0.35">
      <c r="A420" t="s">
        <v>5</v>
      </c>
      <c r="B420" t="s">
        <v>6</v>
      </c>
      <c r="C420">
        <v>16</v>
      </c>
      <c r="D420">
        <v>283</v>
      </c>
      <c r="E420">
        <v>168</v>
      </c>
      <c r="F420">
        <v>115</v>
      </c>
      <c r="G420">
        <v>4</v>
      </c>
      <c r="H420">
        <v>23</v>
      </c>
      <c r="I420">
        <v>402</v>
      </c>
      <c r="J420">
        <v>213</v>
      </c>
      <c r="K420">
        <v>189</v>
      </c>
      <c r="L420">
        <v>1</v>
      </c>
    </row>
    <row r="421" spans="1:12" x14ac:dyDescent="0.35">
      <c r="A421" t="s">
        <v>7</v>
      </c>
      <c r="B421" t="s">
        <v>6</v>
      </c>
      <c r="C421">
        <v>21</v>
      </c>
      <c r="D421">
        <v>371</v>
      </c>
      <c r="E421">
        <v>153</v>
      </c>
      <c r="F421">
        <v>218</v>
      </c>
      <c r="G421">
        <v>1</v>
      </c>
      <c r="H421">
        <v>16</v>
      </c>
      <c r="I421">
        <v>253</v>
      </c>
      <c r="J421">
        <v>155</v>
      </c>
      <c r="K421">
        <v>98</v>
      </c>
      <c r="L421">
        <v>1</v>
      </c>
    </row>
    <row r="422" spans="1:12" x14ac:dyDescent="0.35">
      <c r="A422" t="s">
        <v>7</v>
      </c>
      <c r="C422">
        <v>26</v>
      </c>
      <c r="D422">
        <v>373</v>
      </c>
      <c r="E422">
        <v>227</v>
      </c>
      <c r="F422">
        <v>146</v>
      </c>
      <c r="H422">
        <v>10</v>
      </c>
      <c r="I422">
        <v>164</v>
      </c>
      <c r="J422">
        <v>102</v>
      </c>
      <c r="K422">
        <v>62</v>
      </c>
      <c r="L422">
        <v>1</v>
      </c>
    </row>
    <row r="423" spans="1:12" x14ac:dyDescent="0.35">
      <c r="A423" t="s">
        <v>5</v>
      </c>
      <c r="C423">
        <v>21</v>
      </c>
      <c r="D423">
        <v>255</v>
      </c>
      <c r="E423">
        <v>174</v>
      </c>
      <c r="F423">
        <v>81</v>
      </c>
      <c r="G423">
        <v>1</v>
      </c>
      <c r="H423">
        <v>19</v>
      </c>
      <c r="I423">
        <v>298</v>
      </c>
      <c r="J423">
        <v>224</v>
      </c>
      <c r="K423">
        <v>74</v>
      </c>
    </row>
    <row r="424" spans="1:12" x14ac:dyDescent="0.35">
      <c r="A424" t="s">
        <v>5</v>
      </c>
      <c r="C424">
        <v>23</v>
      </c>
      <c r="D424">
        <v>344</v>
      </c>
      <c r="E424">
        <v>238</v>
      </c>
      <c r="F424">
        <v>106</v>
      </c>
      <c r="G424">
        <v>5</v>
      </c>
      <c r="H424">
        <v>14</v>
      </c>
      <c r="I424">
        <v>348</v>
      </c>
      <c r="J424">
        <v>174</v>
      </c>
      <c r="K424">
        <v>174</v>
      </c>
      <c r="L424">
        <v>2</v>
      </c>
    </row>
    <row r="425" spans="1:12" x14ac:dyDescent="0.35">
      <c r="A425" t="s">
        <v>5</v>
      </c>
      <c r="B425" t="s">
        <v>6</v>
      </c>
      <c r="C425">
        <v>23</v>
      </c>
      <c r="D425">
        <v>386</v>
      </c>
      <c r="E425">
        <v>294</v>
      </c>
      <c r="F425">
        <v>92</v>
      </c>
      <c r="G425">
        <v>1</v>
      </c>
      <c r="H425">
        <v>26</v>
      </c>
      <c r="I425">
        <v>409</v>
      </c>
      <c r="J425">
        <v>351</v>
      </c>
      <c r="K425">
        <v>58</v>
      </c>
      <c r="L425">
        <v>1</v>
      </c>
    </row>
    <row r="426" spans="1:12" x14ac:dyDescent="0.35">
      <c r="A426" t="s">
        <v>7</v>
      </c>
      <c r="C426">
        <v>27</v>
      </c>
      <c r="D426">
        <v>418</v>
      </c>
      <c r="E426">
        <v>300</v>
      </c>
      <c r="F426">
        <v>118</v>
      </c>
      <c r="G426">
        <v>1</v>
      </c>
      <c r="H426">
        <v>11</v>
      </c>
      <c r="I426">
        <v>255</v>
      </c>
      <c r="J426">
        <v>182</v>
      </c>
      <c r="K426">
        <v>73</v>
      </c>
    </row>
    <row r="427" spans="1:12" x14ac:dyDescent="0.35">
      <c r="A427" t="s">
        <v>7</v>
      </c>
      <c r="B427" t="s">
        <v>6</v>
      </c>
      <c r="C427">
        <v>27</v>
      </c>
      <c r="D427">
        <v>415</v>
      </c>
      <c r="E427">
        <v>258</v>
      </c>
      <c r="F427">
        <v>157</v>
      </c>
      <c r="G427">
        <v>1</v>
      </c>
      <c r="H427">
        <v>19</v>
      </c>
      <c r="I427">
        <v>352</v>
      </c>
      <c r="J427">
        <v>251</v>
      </c>
      <c r="K427">
        <v>101</v>
      </c>
      <c r="L427">
        <v>1</v>
      </c>
    </row>
    <row r="428" spans="1:12" x14ac:dyDescent="0.35">
      <c r="A428" t="s">
        <v>7</v>
      </c>
      <c r="C428">
        <v>23</v>
      </c>
      <c r="D428">
        <v>431</v>
      </c>
      <c r="E428">
        <v>313</v>
      </c>
      <c r="F428">
        <v>118</v>
      </c>
      <c r="H428">
        <v>16</v>
      </c>
      <c r="I428">
        <v>311</v>
      </c>
      <c r="J428">
        <v>257</v>
      </c>
      <c r="K428">
        <v>54</v>
      </c>
      <c r="L428">
        <v>1</v>
      </c>
    </row>
    <row r="429" spans="1:12" x14ac:dyDescent="0.35">
      <c r="A429" t="s">
        <v>7</v>
      </c>
      <c r="B429" t="s">
        <v>6</v>
      </c>
      <c r="C429">
        <v>25</v>
      </c>
      <c r="D429">
        <v>400</v>
      </c>
      <c r="E429">
        <v>279</v>
      </c>
      <c r="F429">
        <v>121</v>
      </c>
      <c r="H429">
        <v>19</v>
      </c>
      <c r="I429">
        <v>397</v>
      </c>
      <c r="J429">
        <v>275</v>
      </c>
      <c r="K429">
        <v>122</v>
      </c>
      <c r="L429">
        <v>2</v>
      </c>
    </row>
    <row r="430" spans="1:12" x14ac:dyDescent="0.35">
      <c r="A430" t="s">
        <v>5</v>
      </c>
      <c r="C430">
        <v>20</v>
      </c>
      <c r="D430">
        <v>282</v>
      </c>
      <c r="E430">
        <v>162</v>
      </c>
      <c r="F430">
        <v>120</v>
      </c>
      <c r="H430">
        <v>16</v>
      </c>
      <c r="I430">
        <v>382</v>
      </c>
      <c r="J430">
        <v>318</v>
      </c>
      <c r="K430">
        <v>64</v>
      </c>
    </row>
    <row r="431" spans="1:12" x14ac:dyDescent="0.35">
      <c r="A431" t="s">
        <v>5</v>
      </c>
      <c r="B431" t="s">
        <v>6</v>
      </c>
      <c r="C431">
        <v>15</v>
      </c>
      <c r="D431">
        <v>308</v>
      </c>
      <c r="E431">
        <v>276</v>
      </c>
      <c r="F431">
        <v>32</v>
      </c>
      <c r="G431">
        <v>1</v>
      </c>
      <c r="H431">
        <v>24</v>
      </c>
      <c r="I431">
        <v>465</v>
      </c>
      <c r="J431">
        <v>366</v>
      </c>
      <c r="K431">
        <v>99</v>
      </c>
    </row>
    <row r="432" spans="1:12" x14ac:dyDescent="0.35">
      <c r="A432" t="s">
        <v>5</v>
      </c>
      <c r="C432">
        <v>17</v>
      </c>
      <c r="D432">
        <v>261</v>
      </c>
      <c r="E432">
        <v>180</v>
      </c>
      <c r="F432">
        <v>81</v>
      </c>
      <c r="G432">
        <v>1</v>
      </c>
      <c r="H432">
        <v>25</v>
      </c>
      <c r="I432">
        <v>425</v>
      </c>
      <c r="J432">
        <v>274</v>
      </c>
      <c r="K432">
        <v>151</v>
      </c>
      <c r="L432">
        <v>2</v>
      </c>
    </row>
    <row r="433" spans="1:12" x14ac:dyDescent="0.35">
      <c r="A433" t="s">
        <v>5</v>
      </c>
      <c r="B433" t="s">
        <v>6</v>
      </c>
      <c r="C433">
        <v>11</v>
      </c>
      <c r="D433">
        <v>239</v>
      </c>
      <c r="E433">
        <v>160</v>
      </c>
      <c r="F433">
        <v>79</v>
      </c>
      <c r="G433">
        <v>2</v>
      </c>
      <c r="H433">
        <v>26</v>
      </c>
      <c r="I433">
        <v>436</v>
      </c>
      <c r="J433">
        <v>268</v>
      </c>
      <c r="K433">
        <v>168</v>
      </c>
      <c r="L433">
        <v>5</v>
      </c>
    </row>
    <row r="434" spans="1:12" x14ac:dyDescent="0.35">
      <c r="A434" t="s">
        <v>7</v>
      </c>
      <c r="C434">
        <v>20</v>
      </c>
      <c r="D434">
        <v>326</v>
      </c>
      <c r="E434">
        <v>260</v>
      </c>
      <c r="F434">
        <v>66</v>
      </c>
      <c r="G434">
        <v>1</v>
      </c>
      <c r="H434">
        <v>16</v>
      </c>
      <c r="I434">
        <v>175</v>
      </c>
      <c r="J434">
        <v>102</v>
      </c>
      <c r="K434">
        <v>73</v>
      </c>
      <c r="L434">
        <v>2</v>
      </c>
    </row>
    <row r="435" spans="1:12" x14ac:dyDescent="0.35">
      <c r="A435" t="s">
        <v>5</v>
      </c>
      <c r="C435">
        <v>18</v>
      </c>
      <c r="D435">
        <v>269</v>
      </c>
      <c r="E435">
        <v>192</v>
      </c>
      <c r="F435">
        <v>77</v>
      </c>
      <c r="G435">
        <v>2</v>
      </c>
      <c r="H435">
        <v>22</v>
      </c>
      <c r="I435">
        <v>277</v>
      </c>
      <c r="J435">
        <v>139</v>
      </c>
      <c r="K435">
        <v>138</v>
      </c>
      <c r="L435">
        <v>3</v>
      </c>
    </row>
    <row r="436" spans="1:12" x14ac:dyDescent="0.35">
      <c r="A436" t="s">
        <v>7</v>
      </c>
      <c r="B436" t="s">
        <v>6</v>
      </c>
      <c r="C436">
        <v>18</v>
      </c>
      <c r="D436">
        <v>256</v>
      </c>
      <c r="E436">
        <v>132</v>
      </c>
      <c r="F436">
        <v>124</v>
      </c>
      <c r="G436">
        <v>1</v>
      </c>
      <c r="H436">
        <v>23</v>
      </c>
      <c r="I436">
        <v>348</v>
      </c>
      <c r="J436">
        <v>316</v>
      </c>
      <c r="K436">
        <v>32</v>
      </c>
      <c r="L436">
        <v>3</v>
      </c>
    </row>
    <row r="437" spans="1:12" x14ac:dyDescent="0.35">
      <c r="A437" t="s">
        <v>7</v>
      </c>
      <c r="C437">
        <v>21</v>
      </c>
      <c r="D437">
        <v>394</v>
      </c>
      <c r="E437">
        <v>236</v>
      </c>
      <c r="F437">
        <v>158</v>
      </c>
      <c r="G437">
        <v>1</v>
      </c>
      <c r="H437">
        <v>16</v>
      </c>
      <c r="I437">
        <v>230</v>
      </c>
      <c r="J437">
        <v>170</v>
      </c>
      <c r="K437">
        <v>60</v>
      </c>
      <c r="L437">
        <v>4</v>
      </c>
    </row>
    <row r="438" spans="1:12" x14ac:dyDescent="0.35">
      <c r="A438" t="s">
        <v>7</v>
      </c>
      <c r="C438">
        <v>17</v>
      </c>
      <c r="D438">
        <v>273</v>
      </c>
      <c r="E438">
        <v>183</v>
      </c>
      <c r="F438">
        <v>90</v>
      </c>
      <c r="G438">
        <v>2</v>
      </c>
      <c r="H438">
        <v>22</v>
      </c>
      <c r="I438">
        <v>328</v>
      </c>
      <c r="J438">
        <v>189</v>
      </c>
      <c r="K438">
        <v>139</v>
      </c>
      <c r="L438">
        <v>3</v>
      </c>
    </row>
    <row r="439" spans="1:12" x14ac:dyDescent="0.35">
      <c r="A439" t="s">
        <v>7</v>
      </c>
      <c r="C439">
        <v>15</v>
      </c>
      <c r="D439">
        <v>273</v>
      </c>
      <c r="E439">
        <v>231</v>
      </c>
      <c r="F439">
        <v>42</v>
      </c>
      <c r="G439">
        <v>2</v>
      </c>
      <c r="H439">
        <v>16</v>
      </c>
      <c r="I439">
        <v>306</v>
      </c>
      <c r="J439">
        <v>218</v>
      </c>
      <c r="K439">
        <v>88</v>
      </c>
      <c r="L439">
        <v>4</v>
      </c>
    </row>
    <row r="440" spans="1:12" x14ac:dyDescent="0.35">
      <c r="A440" t="s">
        <v>5</v>
      </c>
      <c r="B440" t="s">
        <v>6</v>
      </c>
      <c r="C440">
        <v>18</v>
      </c>
      <c r="D440">
        <v>236</v>
      </c>
      <c r="E440">
        <v>178</v>
      </c>
      <c r="F440">
        <v>58</v>
      </c>
      <c r="G440">
        <v>4</v>
      </c>
      <c r="H440">
        <v>17</v>
      </c>
      <c r="I440">
        <v>293</v>
      </c>
      <c r="J440">
        <v>189</v>
      </c>
      <c r="K440">
        <v>104</v>
      </c>
    </row>
    <row r="441" spans="1:12" x14ac:dyDescent="0.35">
      <c r="A441" t="s">
        <v>7</v>
      </c>
      <c r="B441" t="s">
        <v>6</v>
      </c>
      <c r="C441">
        <v>16</v>
      </c>
      <c r="D441">
        <v>338</v>
      </c>
      <c r="E441">
        <v>179</v>
      </c>
      <c r="F441">
        <v>159</v>
      </c>
      <c r="G441">
        <v>1</v>
      </c>
      <c r="H441">
        <v>11</v>
      </c>
      <c r="I441">
        <v>244</v>
      </c>
      <c r="J441">
        <v>158</v>
      </c>
      <c r="K441">
        <v>86</v>
      </c>
      <c r="L441">
        <v>2</v>
      </c>
    </row>
    <row r="442" spans="1:12" x14ac:dyDescent="0.35">
      <c r="A442" t="s">
        <v>7</v>
      </c>
      <c r="C442">
        <v>18</v>
      </c>
      <c r="D442">
        <v>323</v>
      </c>
      <c r="E442">
        <v>199</v>
      </c>
      <c r="F442">
        <v>124</v>
      </c>
      <c r="G442">
        <v>1</v>
      </c>
      <c r="H442">
        <v>19</v>
      </c>
      <c r="I442">
        <v>279</v>
      </c>
      <c r="J442">
        <v>173</v>
      </c>
      <c r="K442">
        <v>106</v>
      </c>
      <c r="L442">
        <v>2</v>
      </c>
    </row>
    <row r="443" spans="1:12" x14ac:dyDescent="0.35">
      <c r="A443" t="s">
        <v>7</v>
      </c>
      <c r="B443" t="s">
        <v>6</v>
      </c>
      <c r="C443">
        <v>20</v>
      </c>
      <c r="D443">
        <v>275</v>
      </c>
      <c r="E443">
        <v>135</v>
      </c>
      <c r="F443">
        <v>140</v>
      </c>
      <c r="G443">
        <v>2</v>
      </c>
      <c r="H443">
        <v>17</v>
      </c>
      <c r="I443">
        <v>236</v>
      </c>
      <c r="J443">
        <v>165</v>
      </c>
      <c r="K443">
        <v>71</v>
      </c>
      <c r="L443">
        <v>3</v>
      </c>
    </row>
    <row r="444" spans="1:12" x14ac:dyDescent="0.35">
      <c r="A444" t="s">
        <v>5</v>
      </c>
      <c r="C444">
        <v>15</v>
      </c>
      <c r="D444">
        <v>229</v>
      </c>
      <c r="E444">
        <v>178</v>
      </c>
      <c r="F444">
        <v>51</v>
      </c>
      <c r="G444">
        <v>5</v>
      </c>
      <c r="H444">
        <v>17</v>
      </c>
      <c r="I444">
        <v>261</v>
      </c>
      <c r="J444">
        <v>131</v>
      </c>
      <c r="K444">
        <v>130</v>
      </c>
      <c r="L444">
        <v>2</v>
      </c>
    </row>
    <row r="445" spans="1:12" x14ac:dyDescent="0.35">
      <c r="A445" t="s">
        <v>5</v>
      </c>
      <c r="B445" t="s">
        <v>6</v>
      </c>
      <c r="C445">
        <v>16</v>
      </c>
      <c r="D445">
        <v>260</v>
      </c>
      <c r="E445">
        <v>185</v>
      </c>
      <c r="F445">
        <v>75</v>
      </c>
      <c r="G445">
        <v>2</v>
      </c>
      <c r="H445">
        <v>14</v>
      </c>
      <c r="I445">
        <v>259</v>
      </c>
      <c r="J445">
        <v>174</v>
      </c>
      <c r="K445">
        <v>85</v>
      </c>
      <c r="L445">
        <v>1</v>
      </c>
    </row>
    <row r="446" spans="1:12" x14ac:dyDescent="0.35">
      <c r="A446" t="s">
        <v>5</v>
      </c>
      <c r="B446" t="s">
        <v>6</v>
      </c>
      <c r="C446">
        <v>10</v>
      </c>
      <c r="D446">
        <v>168</v>
      </c>
      <c r="E446">
        <v>77</v>
      </c>
      <c r="F446">
        <v>91</v>
      </c>
      <c r="G446">
        <v>2</v>
      </c>
      <c r="H446">
        <v>19</v>
      </c>
      <c r="I446">
        <v>304</v>
      </c>
      <c r="J446">
        <v>81</v>
      </c>
      <c r="K446">
        <v>223</v>
      </c>
      <c r="L446">
        <v>2</v>
      </c>
    </row>
    <row r="447" spans="1:12" x14ac:dyDescent="0.35">
      <c r="A447" t="s">
        <v>7</v>
      </c>
      <c r="B447" t="s">
        <v>6</v>
      </c>
      <c r="C447">
        <v>17</v>
      </c>
      <c r="D447">
        <v>256</v>
      </c>
      <c r="E447">
        <v>158</v>
      </c>
      <c r="F447">
        <v>98</v>
      </c>
      <c r="G447">
        <v>2</v>
      </c>
      <c r="H447">
        <v>21</v>
      </c>
      <c r="I447">
        <v>295</v>
      </c>
      <c r="J447">
        <v>174</v>
      </c>
      <c r="K447">
        <v>121</v>
      </c>
      <c r="L447">
        <v>4</v>
      </c>
    </row>
    <row r="448" spans="1:12" x14ac:dyDescent="0.35">
      <c r="A448" t="s">
        <v>7</v>
      </c>
      <c r="B448" t="s">
        <v>6</v>
      </c>
      <c r="C448">
        <v>27</v>
      </c>
      <c r="D448">
        <v>571</v>
      </c>
      <c r="E448">
        <v>312</v>
      </c>
      <c r="F448">
        <v>259</v>
      </c>
      <c r="G448">
        <v>1</v>
      </c>
      <c r="H448">
        <v>14</v>
      </c>
      <c r="I448">
        <v>316</v>
      </c>
      <c r="J448">
        <v>291</v>
      </c>
      <c r="K448">
        <v>25</v>
      </c>
      <c r="L448">
        <v>1</v>
      </c>
    </row>
    <row r="449" spans="1:12" x14ac:dyDescent="0.35">
      <c r="A449" t="s">
        <v>7</v>
      </c>
      <c r="C449">
        <v>26</v>
      </c>
      <c r="D449">
        <v>436</v>
      </c>
      <c r="E449">
        <v>268</v>
      </c>
      <c r="F449">
        <v>168</v>
      </c>
      <c r="G449">
        <v>5</v>
      </c>
      <c r="H449">
        <v>11</v>
      </c>
      <c r="I449">
        <v>239</v>
      </c>
      <c r="J449">
        <v>160</v>
      </c>
      <c r="K449">
        <v>79</v>
      </c>
      <c r="L449">
        <v>2</v>
      </c>
    </row>
    <row r="450" spans="1:12" x14ac:dyDescent="0.35">
      <c r="A450" t="s">
        <v>7</v>
      </c>
      <c r="C450">
        <v>22</v>
      </c>
      <c r="D450">
        <v>446</v>
      </c>
      <c r="E450">
        <v>171</v>
      </c>
      <c r="F450">
        <v>275</v>
      </c>
      <c r="H450">
        <v>9</v>
      </c>
      <c r="I450">
        <v>180</v>
      </c>
      <c r="J450">
        <v>78</v>
      </c>
      <c r="K450">
        <v>102</v>
      </c>
      <c r="L450">
        <v>4</v>
      </c>
    </row>
    <row r="451" spans="1:12" x14ac:dyDescent="0.35">
      <c r="A451" t="s">
        <v>7</v>
      </c>
      <c r="B451" t="s">
        <v>6</v>
      </c>
      <c r="C451">
        <v>22</v>
      </c>
      <c r="D451">
        <v>331</v>
      </c>
      <c r="E451">
        <v>232</v>
      </c>
      <c r="F451">
        <v>99</v>
      </c>
      <c r="G451">
        <v>2</v>
      </c>
      <c r="H451">
        <v>10</v>
      </c>
      <c r="I451">
        <v>157</v>
      </c>
      <c r="J451">
        <v>48</v>
      </c>
      <c r="K451">
        <v>109</v>
      </c>
      <c r="L451">
        <v>1</v>
      </c>
    </row>
    <row r="452" spans="1:12" x14ac:dyDescent="0.35">
      <c r="A452" t="s">
        <v>7</v>
      </c>
      <c r="B452" t="s">
        <v>6</v>
      </c>
      <c r="C452">
        <v>17</v>
      </c>
      <c r="D452">
        <v>283</v>
      </c>
      <c r="E452">
        <v>146</v>
      </c>
      <c r="F452">
        <v>137</v>
      </c>
      <c r="G452">
        <v>1</v>
      </c>
      <c r="H452">
        <v>10</v>
      </c>
      <c r="I452">
        <v>154</v>
      </c>
      <c r="J452">
        <v>50</v>
      </c>
      <c r="K452">
        <v>104</v>
      </c>
      <c r="L452">
        <v>1</v>
      </c>
    </row>
    <row r="453" spans="1:12" x14ac:dyDescent="0.35">
      <c r="A453" t="s">
        <v>7</v>
      </c>
      <c r="C453">
        <v>24</v>
      </c>
      <c r="D453">
        <v>388</v>
      </c>
      <c r="E453">
        <v>156</v>
      </c>
      <c r="F453">
        <v>232</v>
      </c>
      <c r="G453">
        <v>1</v>
      </c>
      <c r="H453">
        <v>12</v>
      </c>
      <c r="I453">
        <v>230</v>
      </c>
      <c r="J453">
        <v>100</v>
      </c>
      <c r="K453">
        <v>130</v>
      </c>
      <c r="L453">
        <v>3</v>
      </c>
    </row>
    <row r="454" spans="1:12" x14ac:dyDescent="0.35">
      <c r="A454" t="s">
        <v>7</v>
      </c>
      <c r="B454" t="s">
        <v>6</v>
      </c>
      <c r="C454">
        <v>21</v>
      </c>
      <c r="D454">
        <v>411</v>
      </c>
      <c r="E454">
        <v>310</v>
      </c>
      <c r="F454">
        <v>101</v>
      </c>
      <c r="H454">
        <v>19</v>
      </c>
      <c r="I454">
        <v>357</v>
      </c>
      <c r="J454">
        <v>204</v>
      </c>
      <c r="K454">
        <v>153</v>
      </c>
    </row>
    <row r="455" spans="1:12" x14ac:dyDescent="0.35">
      <c r="A455" t="s">
        <v>5</v>
      </c>
      <c r="C455">
        <v>21</v>
      </c>
      <c r="D455">
        <v>302</v>
      </c>
      <c r="E455">
        <v>215</v>
      </c>
      <c r="F455">
        <v>87</v>
      </c>
      <c r="G455">
        <v>3</v>
      </c>
      <c r="H455">
        <v>19</v>
      </c>
      <c r="I455">
        <v>336</v>
      </c>
      <c r="J455">
        <v>189</v>
      </c>
      <c r="K455">
        <v>147</v>
      </c>
      <c r="L455">
        <v>4</v>
      </c>
    </row>
    <row r="456" spans="1:12" x14ac:dyDescent="0.35">
      <c r="A456" t="s">
        <v>7</v>
      </c>
      <c r="C456">
        <v>26</v>
      </c>
      <c r="D456">
        <v>442</v>
      </c>
      <c r="E456">
        <v>408</v>
      </c>
      <c r="F456">
        <v>34</v>
      </c>
      <c r="G456">
        <v>2</v>
      </c>
      <c r="H456">
        <v>21</v>
      </c>
      <c r="I456">
        <v>266</v>
      </c>
      <c r="J456">
        <v>131</v>
      </c>
      <c r="K456">
        <v>135</v>
      </c>
      <c r="L456">
        <v>2</v>
      </c>
    </row>
    <row r="457" spans="1:12" x14ac:dyDescent="0.35">
      <c r="A457" t="s">
        <v>7</v>
      </c>
      <c r="C457">
        <v>16</v>
      </c>
      <c r="D457">
        <v>339</v>
      </c>
      <c r="E457">
        <v>227</v>
      </c>
      <c r="F457">
        <v>112</v>
      </c>
      <c r="H457">
        <v>19</v>
      </c>
      <c r="I457">
        <v>198</v>
      </c>
      <c r="J457">
        <v>81</v>
      </c>
      <c r="K457">
        <v>117</v>
      </c>
      <c r="L457">
        <v>1</v>
      </c>
    </row>
    <row r="458" spans="1:12" x14ac:dyDescent="0.35">
      <c r="A458" t="s">
        <v>5</v>
      </c>
      <c r="B458" t="s">
        <v>6</v>
      </c>
      <c r="C458">
        <v>15</v>
      </c>
      <c r="D458">
        <v>331</v>
      </c>
      <c r="E458">
        <v>157</v>
      </c>
      <c r="F458">
        <v>174</v>
      </c>
      <c r="G458">
        <v>1</v>
      </c>
      <c r="H458">
        <v>21</v>
      </c>
      <c r="I458">
        <v>283</v>
      </c>
      <c r="J458">
        <v>105</v>
      </c>
      <c r="K458">
        <v>178</v>
      </c>
      <c r="L458">
        <v>1</v>
      </c>
    </row>
    <row r="459" spans="1:12" x14ac:dyDescent="0.35">
      <c r="A459" t="s">
        <v>7</v>
      </c>
      <c r="B459" t="s">
        <v>6</v>
      </c>
      <c r="C459">
        <v>25</v>
      </c>
      <c r="D459">
        <v>516</v>
      </c>
      <c r="E459">
        <v>354</v>
      </c>
      <c r="F459">
        <v>162</v>
      </c>
      <c r="G459">
        <v>1</v>
      </c>
      <c r="H459">
        <v>28</v>
      </c>
      <c r="I459">
        <v>465</v>
      </c>
      <c r="J459">
        <v>349</v>
      </c>
      <c r="K459">
        <v>116</v>
      </c>
      <c r="L459">
        <v>1</v>
      </c>
    </row>
    <row r="460" spans="1:12" x14ac:dyDescent="0.35">
      <c r="A460" t="s">
        <v>5</v>
      </c>
      <c r="C460">
        <v>20</v>
      </c>
      <c r="D460">
        <v>313</v>
      </c>
      <c r="E460">
        <v>193</v>
      </c>
      <c r="F460">
        <v>120</v>
      </c>
      <c r="G460">
        <v>2</v>
      </c>
      <c r="H460">
        <v>20</v>
      </c>
      <c r="I460">
        <v>290</v>
      </c>
      <c r="J460">
        <v>201</v>
      </c>
      <c r="K460">
        <v>89</v>
      </c>
      <c r="L460">
        <v>1</v>
      </c>
    </row>
    <row r="461" spans="1:12" x14ac:dyDescent="0.35">
      <c r="A461" t="s">
        <v>7</v>
      </c>
      <c r="C461">
        <v>19</v>
      </c>
      <c r="D461">
        <v>334</v>
      </c>
      <c r="E461">
        <v>215</v>
      </c>
      <c r="F461">
        <v>119</v>
      </c>
      <c r="G461">
        <v>2</v>
      </c>
      <c r="H461">
        <v>24</v>
      </c>
      <c r="I461">
        <v>395</v>
      </c>
      <c r="J461">
        <v>323</v>
      </c>
      <c r="K461">
        <v>72</v>
      </c>
      <c r="L461">
        <v>1</v>
      </c>
    </row>
    <row r="462" spans="1:12" x14ac:dyDescent="0.35">
      <c r="A462" t="s">
        <v>7</v>
      </c>
      <c r="B462" t="s">
        <v>6</v>
      </c>
      <c r="C462">
        <v>18</v>
      </c>
      <c r="D462">
        <v>398</v>
      </c>
      <c r="E462">
        <v>270</v>
      </c>
      <c r="F462">
        <v>128</v>
      </c>
      <c r="H462">
        <v>27</v>
      </c>
      <c r="I462">
        <v>348</v>
      </c>
      <c r="J462">
        <v>223</v>
      </c>
      <c r="K462">
        <v>125</v>
      </c>
    </row>
    <row r="463" spans="1:12" x14ac:dyDescent="0.35">
      <c r="A463" t="s">
        <v>7</v>
      </c>
      <c r="C463">
        <v>21</v>
      </c>
      <c r="D463">
        <v>308</v>
      </c>
      <c r="E463">
        <v>122</v>
      </c>
      <c r="F463">
        <v>186</v>
      </c>
      <c r="G463">
        <v>2</v>
      </c>
      <c r="H463">
        <v>7</v>
      </c>
      <c r="I463">
        <v>147</v>
      </c>
      <c r="J463">
        <v>126</v>
      </c>
      <c r="K463">
        <v>21</v>
      </c>
      <c r="L463">
        <v>2</v>
      </c>
    </row>
    <row r="464" spans="1:12" x14ac:dyDescent="0.35">
      <c r="A464" t="s">
        <v>7</v>
      </c>
      <c r="C464">
        <v>19</v>
      </c>
      <c r="D464">
        <v>354</v>
      </c>
      <c r="E464">
        <v>69</v>
      </c>
      <c r="F464">
        <v>285</v>
      </c>
      <c r="H464">
        <v>21</v>
      </c>
      <c r="I464">
        <v>358</v>
      </c>
      <c r="J464">
        <v>296</v>
      </c>
      <c r="K464">
        <v>62</v>
      </c>
      <c r="L464">
        <v>3</v>
      </c>
    </row>
    <row r="465" spans="1:12" x14ac:dyDescent="0.35">
      <c r="A465" t="s">
        <v>5</v>
      </c>
      <c r="B465" t="s">
        <v>8</v>
      </c>
      <c r="C465">
        <v>21</v>
      </c>
      <c r="D465">
        <v>351</v>
      </c>
      <c r="E465">
        <v>210</v>
      </c>
      <c r="F465">
        <v>141</v>
      </c>
      <c r="G465">
        <v>2</v>
      </c>
      <c r="H465">
        <v>26</v>
      </c>
      <c r="I465">
        <v>397</v>
      </c>
      <c r="J465">
        <v>268</v>
      </c>
      <c r="K465">
        <v>129</v>
      </c>
      <c r="L465">
        <v>2</v>
      </c>
    </row>
    <row r="466" spans="1:12" x14ac:dyDescent="0.35">
      <c r="A466" t="s">
        <v>7</v>
      </c>
      <c r="C466">
        <v>12</v>
      </c>
      <c r="D466">
        <v>232</v>
      </c>
      <c r="E466">
        <v>160</v>
      </c>
      <c r="F466">
        <v>72</v>
      </c>
      <c r="G466">
        <v>1</v>
      </c>
      <c r="H466">
        <v>22</v>
      </c>
      <c r="I466">
        <v>429</v>
      </c>
      <c r="J466">
        <v>395</v>
      </c>
      <c r="K466">
        <v>34</v>
      </c>
      <c r="L466">
        <v>3</v>
      </c>
    </row>
    <row r="467" spans="1:12" x14ac:dyDescent="0.35">
      <c r="A467" t="s">
        <v>7</v>
      </c>
      <c r="B467" t="s">
        <v>6</v>
      </c>
      <c r="C467">
        <v>25</v>
      </c>
      <c r="D467">
        <v>425</v>
      </c>
      <c r="E467">
        <v>274</v>
      </c>
      <c r="F467">
        <v>151</v>
      </c>
      <c r="G467">
        <v>2</v>
      </c>
      <c r="H467">
        <v>17</v>
      </c>
      <c r="I467">
        <v>261</v>
      </c>
      <c r="J467">
        <v>180</v>
      </c>
      <c r="K467">
        <v>81</v>
      </c>
      <c r="L467">
        <v>1</v>
      </c>
    </row>
    <row r="468" spans="1:12" x14ac:dyDescent="0.35">
      <c r="A468" t="s">
        <v>5</v>
      </c>
      <c r="C468">
        <v>26</v>
      </c>
      <c r="D468">
        <v>514</v>
      </c>
      <c r="E468">
        <v>406</v>
      </c>
      <c r="F468">
        <v>108</v>
      </c>
      <c r="G468">
        <v>1</v>
      </c>
      <c r="H468">
        <v>15</v>
      </c>
      <c r="I468">
        <v>265</v>
      </c>
      <c r="J468">
        <v>177</v>
      </c>
      <c r="K468">
        <v>88</v>
      </c>
      <c r="L468">
        <v>1</v>
      </c>
    </row>
    <row r="469" spans="1:12" x14ac:dyDescent="0.35">
      <c r="A469" t="s">
        <v>7</v>
      </c>
      <c r="B469" t="s">
        <v>6</v>
      </c>
      <c r="C469">
        <v>21</v>
      </c>
      <c r="D469">
        <v>340</v>
      </c>
      <c r="E469">
        <v>225</v>
      </c>
      <c r="F469">
        <v>115</v>
      </c>
      <c r="H469">
        <v>20</v>
      </c>
      <c r="I469">
        <v>321</v>
      </c>
      <c r="J469">
        <v>206</v>
      </c>
      <c r="K469">
        <v>115</v>
      </c>
      <c r="L469">
        <v>1</v>
      </c>
    </row>
    <row r="470" spans="1:12" x14ac:dyDescent="0.35">
      <c r="A470" t="s">
        <v>7</v>
      </c>
      <c r="C470">
        <v>25</v>
      </c>
      <c r="D470">
        <v>429</v>
      </c>
      <c r="E470">
        <v>262</v>
      </c>
      <c r="F470">
        <v>167</v>
      </c>
      <c r="G470">
        <v>1</v>
      </c>
      <c r="H470">
        <v>24</v>
      </c>
      <c r="I470">
        <v>477</v>
      </c>
      <c r="J470">
        <v>395</v>
      </c>
      <c r="K470">
        <v>82</v>
      </c>
      <c r="L470">
        <v>2</v>
      </c>
    </row>
    <row r="471" spans="1:12" x14ac:dyDescent="0.35">
      <c r="A471" t="s">
        <v>7</v>
      </c>
      <c r="B471" t="s">
        <v>6</v>
      </c>
      <c r="C471">
        <v>29</v>
      </c>
      <c r="D471">
        <v>454</v>
      </c>
      <c r="E471">
        <v>284</v>
      </c>
      <c r="F471">
        <v>170</v>
      </c>
      <c r="G471">
        <v>1</v>
      </c>
      <c r="H471">
        <v>21</v>
      </c>
      <c r="I471">
        <v>406</v>
      </c>
      <c r="J471">
        <v>249</v>
      </c>
      <c r="K471">
        <v>157</v>
      </c>
      <c r="L471">
        <v>4</v>
      </c>
    </row>
    <row r="472" spans="1:12" x14ac:dyDescent="0.35">
      <c r="A472" t="s">
        <v>5</v>
      </c>
      <c r="C472">
        <v>20</v>
      </c>
      <c r="D472">
        <v>347</v>
      </c>
      <c r="E472">
        <v>241</v>
      </c>
      <c r="F472">
        <v>106</v>
      </c>
      <c r="G472">
        <v>2</v>
      </c>
      <c r="H472">
        <v>14</v>
      </c>
      <c r="I472">
        <v>340</v>
      </c>
      <c r="J472">
        <v>141</v>
      </c>
      <c r="K472">
        <v>199</v>
      </c>
    </row>
    <row r="473" spans="1:12" x14ac:dyDescent="0.35">
      <c r="A473" t="s">
        <v>7</v>
      </c>
      <c r="B473" t="s">
        <v>6</v>
      </c>
      <c r="C473">
        <v>18</v>
      </c>
      <c r="D473">
        <v>322</v>
      </c>
      <c r="E473">
        <v>171</v>
      </c>
      <c r="F473">
        <v>151</v>
      </c>
      <c r="H473">
        <v>30</v>
      </c>
      <c r="I473">
        <v>510</v>
      </c>
      <c r="J473">
        <v>441</v>
      </c>
      <c r="K473">
        <v>69</v>
      </c>
      <c r="L473">
        <v>3</v>
      </c>
    </row>
    <row r="474" spans="1:12" x14ac:dyDescent="0.35">
      <c r="A474" t="s">
        <v>7</v>
      </c>
      <c r="C474">
        <v>31</v>
      </c>
      <c r="D474">
        <v>492</v>
      </c>
      <c r="E474">
        <v>347</v>
      </c>
      <c r="F474">
        <v>145</v>
      </c>
      <c r="G474">
        <v>1</v>
      </c>
      <c r="H474">
        <v>29</v>
      </c>
      <c r="I474">
        <v>418</v>
      </c>
      <c r="J474">
        <v>319</v>
      </c>
      <c r="K474">
        <v>99</v>
      </c>
      <c r="L474">
        <v>1</v>
      </c>
    </row>
    <row r="475" spans="1:12" x14ac:dyDescent="0.35">
      <c r="A475" t="s">
        <v>7</v>
      </c>
      <c r="B475" t="s">
        <v>6</v>
      </c>
      <c r="C475">
        <v>19</v>
      </c>
      <c r="D475">
        <v>336</v>
      </c>
      <c r="E475">
        <v>189</v>
      </c>
      <c r="F475">
        <v>147</v>
      </c>
      <c r="G475">
        <v>4</v>
      </c>
      <c r="H475">
        <v>21</v>
      </c>
      <c r="I475">
        <v>302</v>
      </c>
      <c r="J475">
        <v>215</v>
      </c>
      <c r="K475">
        <v>87</v>
      </c>
      <c r="L475">
        <v>3</v>
      </c>
    </row>
    <row r="476" spans="1:12" x14ac:dyDescent="0.35">
      <c r="A476" t="s">
        <v>7</v>
      </c>
      <c r="B476" t="s">
        <v>6</v>
      </c>
      <c r="C476">
        <v>14</v>
      </c>
      <c r="D476">
        <v>348</v>
      </c>
      <c r="E476">
        <v>174</v>
      </c>
      <c r="F476">
        <v>174</v>
      </c>
      <c r="G476">
        <v>2</v>
      </c>
      <c r="H476">
        <v>23</v>
      </c>
      <c r="I476">
        <v>344</v>
      </c>
      <c r="J476">
        <v>238</v>
      </c>
      <c r="K476">
        <v>106</v>
      </c>
      <c r="L476">
        <v>5</v>
      </c>
    </row>
    <row r="477" spans="1:12" x14ac:dyDescent="0.35">
      <c r="A477" t="s">
        <v>7</v>
      </c>
      <c r="C477">
        <v>24</v>
      </c>
      <c r="D477">
        <v>444</v>
      </c>
      <c r="E477">
        <v>226</v>
      </c>
      <c r="F477">
        <v>218</v>
      </c>
      <c r="G477">
        <v>2</v>
      </c>
      <c r="H477">
        <v>17</v>
      </c>
      <c r="I477">
        <v>354</v>
      </c>
      <c r="J477">
        <v>276</v>
      </c>
      <c r="K477">
        <v>78</v>
      </c>
      <c r="L477">
        <v>3</v>
      </c>
    </row>
    <row r="478" spans="1:12" x14ac:dyDescent="0.35">
      <c r="A478" t="s">
        <v>5</v>
      </c>
      <c r="B478" t="s">
        <v>6</v>
      </c>
      <c r="C478">
        <v>16</v>
      </c>
      <c r="D478">
        <v>308</v>
      </c>
      <c r="E478">
        <v>202</v>
      </c>
      <c r="F478">
        <v>106</v>
      </c>
      <c r="G478">
        <v>1</v>
      </c>
      <c r="H478">
        <v>26</v>
      </c>
      <c r="I478">
        <v>455</v>
      </c>
      <c r="J478">
        <v>293</v>
      </c>
      <c r="K478">
        <v>162</v>
      </c>
      <c r="L478">
        <v>2</v>
      </c>
    </row>
    <row r="479" spans="1:12" x14ac:dyDescent="0.35">
      <c r="A479" t="s">
        <v>7</v>
      </c>
      <c r="B479" t="s">
        <v>6</v>
      </c>
      <c r="C479">
        <v>21</v>
      </c>
      <c r="D479">
        <v>428</v>
      </c>
      <c r="E479">
        <v>274</v>
      </c>
      <c r="F479">
        <v>154</v>
      </c>
      <c r="G479">
        <v>1</v>
      </c>
      <c r="H479">
        <v>28</v>
      </c>
      <c r="I479">
        <v>414</v>
      </c>
      <c r="J479">
        <v>269</v>
      </c>
      <c r="K479">
        <v>145</v>
      </c>
      <c r="L479">
        <v>3</v>
      </c>
    </row>
    <row r="480" spans="1:12" x14ac:dyDescent="0.35">
      <c r="A480" t="s">
        <v>5</v>
      </c>
      <c r="C480">
        <v>13</v>
      </c>
      <c r="D480">
        <v>224</v>
      </c>
      <c r="E480">
        <v>133</v>
      </c>
      <c r="F480">
        <v>91</v>
      </c>
      <c r="G480">
        <v>1</v>
      </c>
      <c r="H480">
        <v>21</v>
      </c>
      <c r="I480">
        <v>412</v>
      </c>
      <c r="J480">
        <v>159</v>
      </c>
      <c r="K480">
        <v>253</v>
      </c>
    </row>
    <row r="481" spans="1:12" x14ac:dyDescent="0.35">
      <c r="A481" t="s">
        <v>5</v>
      </c>
      <c r="C481">
        <v>27</v>
      </c>
      <c r="D481">
        <v>348</v>
      </c>
      <c r="E481">
        <v>223</v>
      </c>
      <c r="F481">
        <v>125</v>
      </c>
      <c r="H481">
        <v>18</v>
      </c>
      <c r="I481">
        <v>398</v>
      </c>
      <c r="J481">
        <v>270</v>
      </c>
      <c r="K481">
        <v>128</v>
      </c>
    </row>
    <row r="482" spans="1:12" x14ac:dyDescent="0.35">
      <c r="A482" t="s">
        <v>7</v>
      </c>
      <c r="B482" t="s">
        <v>6</v>
      </c>
      <c r="C482">
        <v>16</v>
      </c>
      <c r="D482">
        <v>382</v>
      </c>
      <c r="E482">
        <v>318</v>
      </c>
      <c r="F482">
        <v>64</v>
      </c>
      <c r="H482">
        <v>20</v>
      </c>
      <c r="I482">
        <v>282</v>
      </c>
      <c r="J482">
        <v>162</v>
      </c>
      <c r="K482">
        <v>120</v>
      </c>
    </row>
    <row r="483" spans="1:12" x14ac:dyDescent="0.35">
      <c r="A483" t="s">
        <v>5</v>
      </c>
      <c r="B483" t="s">
        <v>6</v>
      </c>
      <c r="C483">
        <v>23</v>
      </c>
      <c r="D483">
        <v>375</v>
      </c>
      <c r="E483">
        <v>265</v>
      </c>
      <c r="F483">
        <v>110</v>
      </c>
      <c r="H483">
        <v>22</v>
      </c>
      <c r="I483">
        <v>344</v>
      </c>
      <c r="J483">
        <v>235</v>
      </c>
      <c r="K483">
        <v>109</v>
      </c>
    </row>
    <row r="484" spans="1:12" x14ac:dyDescent="0.35">
      <c r="A484" t="s">
        <v>5</v>
      </c>
      <c r="C484">
        <v>21</v>
      </c>
      <c r="D484">
        <v>295</v>
      </c>
      <c r="E484">
        <v>174</v>
      </c>
      <c r="F484">
        <v>121</v>
      </c>
      <c r="G484">
        <v>4</v>
      </c>
      <c r="H484">
        <v>17</v>
      </c>
      <c r="I484">
        <v>256</v>
      </c>
      <c r="J484">
        <v>158</v>
      </c>
      <c r="K484">
        <v>98</v>
      </c>
      <c r="L484">
        <v>2</v>
      </c>
    </row>
    <row r="485" spans="1:12" x14ac:dyDescent="0.35">
      <c r="A485" t="s">
        <v>7</v>
      </c>
      <c r="B485" t="s">
        <v>6</v>
      </c>
      <c r="C485">
        <v>16</v>
      </c>
      <c r="D485">
        <v>289</v>
      </c>
      <c r="E485">
        <v>189</v>
      </c>
      <c r="F485">
        <v>100</v>
      </c>
      <c r="H485">
        <v>20</v>
      </c>
      <c r="I485">
        <v>352</v>
      </c>
      <c r="J485">
        <v>313</v>
      </c>
      <c r="K485">
        <v>39</v>
      </c>
      <c r="L485">
        <v>1</v>
      </c>
    </row>
    <row r="486" spans="1:12" x14ac:dyDescent="0.35">
      <c r="A486" t="s">
        <v>5</v>
      </c>
      <c r="C486">
        <v>24</v>
      </c>
      <c r="D486">
        <v>499</v>
      </c>
      <c r="E486">
        <v>355</v>
      </c>
      <c r="F486">
        <v>144</v>
      </c>
      <c r="G486">
        <v>1</v>
      </c>
      <c r="H486">
        <v>17</v>
      </c>
      <c r="I486">
        <v>384</v>
      </c>
      <c r="J486">
        <v>312</v>
      </c>
      <c r="K486">
        <v>72</v>
      </c>
      <c r="L486">
        <v>2</v>
      </c>
    </row>
    <row r="487" spans="1:12" x14ac:dyDescent="0.35">
      <c r="A487" t="s">
        <v>7</v>
      </c>
      <c r="B487" t="s">
        <v>6</v>
      </c>
      <c r="C487">
        <v>27</v>
      </c>
      <c r="D487">
        <v>464</v>
      </c>
      <c r="E487">
        <v>376</v>
      </c>
      <c r="F487">
        <v>88</v>
      </c>
      <c r="G487">
        <v>1</v>
      </c>
      <c r="H487">
        <v>36</v>
      </c>
      <c r="I487">
        <v>518</v>
      </c>
      <c r="J487">
        <v>490</v>
      </c>
      <c r="K487">
        <v>28</v>
      </c>
      <c r="L487">
        <v>4</v>
      </c>
    </row>
    <row r="488" spans="1:12" x14ac:dyDescent="0.35">
      <c r="A488" t="s">
        <v>5</v>
      </c>
      <c r="B488" t="s">
        <v>6</v>
      </c>
      <c r="C488">
        <v>19</v>
      </c>
      <c r="D488">
        <v>252</v>
      </c>
      <c r="E488">
        <v>158</v>
      </c>
      <c r="F488">
        <v>94</v>
      </c>
      <c r="H488">
        <v>25</v>
      </c>
      <c r="I488">
        <v>457</v>
      </c>
      <c r="J488">
        <v>345</v>
      </c>
      <c r="K488">
        <v>112</v>
      </c>
      <c r="L488">
        <v>1</v>
      </c>
    </row>
    <row r="489" spans="1:12" x14ac:dyDescent="0.35">
      <c r="A489" t="s">
        <v>5</v>
      </c>
      <c r="C489">
        <v>23</v>
      </c>
      <c r="D489">
        <v>407</v>
      </c>
      <c r="E489">
        <v>365</v>
      </c>
      <c r="F489">
        <v>42</v>
      </c>
      <c r="G489">
        <v>7</v>
      </c>
      <c r="H489">
        <v>17</v>
      </c>
      <c r="I489">
        <v>268</v>
      </c>
      <c r="J489">
        <v>209</v>
      </c>
      <c r="K489">
        <v>59</v>
      </c>
      <c r="L489">
        <v>1</v>
      </c>
    </row>
    <row r="490" spans="1:12" x14ac:dyDescent="0.35">
      <c r="A490" t="s">
        <v>5</v>
      </c>
      <c r="B490" t="s">
        <v>6</v>
      </c>
      <c r="C490">
        <v>23</v>
      </c>
      <c r="D490">
        <v>389</v>
      </c>
      <c r="E490">
        <v>283</v>
      </c>
      <c r="F490">
        <v>106</v>
      </c>
      <c r="G490">
        <v>4</v>
      </c>
      <c r="H490">
        <v>16</v>
      </c>
      <c r="I490">
        <v>246</v>
      </c>
      <c r="J490">
        <v>174</v>
      </c>
      <c r="K490">
        <v>72</v>
      </c>
      <c r="L490">
        <v>1</v>
      </c>
    </row>
    <row r="491" spans="1:12" x14ac:dyDescent="0.35">
      <c r="A491" t="s">
        <v>5</v>
      </c>
      <c r="B491" t="s">
        <v>6</v>
      </c>
      <c r="C491">
        <v>29</v>
      </c>
      <c r="D491">
        <v>418</v>
      </c>
      <c r="E491">
        <v>319</v>
      </c>
      <c r="F491">
        <v>99</v>
      </c>
      <c r="G491">
        <v>1</v>
      </c>
      <c r="H491">
        <v>31</v>
      </c>
      <c r="I491">
        <v>492</v>
      </c>
      <c r="J491">
        <v>347</v>
      </c>
      <c r="K491">
        <v>145</v>
      </c>
      <c r="L491">
        <v>1</v>
      </c>
    </row>
    <row r="492" spans="1:12" x14ac:dyDescent="0.35">
      <c r="A492" t="s">
        <v>7</v>
      </c>
      <c r="C492">
        <v>26</v>
      </c>
      <c r="D492">
        <v>457</v>
      </c>
      <c r="E492">
        <v>339</v>
      </c>
      <c r="F492">
        <v>118</v>
      </c>
      <c r="G492">
        <v>3</v>
      </c>
      <c r="H492">
        <v>20</v>
      </c>
      <c r="I492">
        <v>417</v>
      </c>
      <c r="J492">
        <v>342</v>
      </c>
      <c r="K492">
        <v>75</v>
      </c>
      <c r="L492">
        <v>2</v>
      </c>
    </row>
    <row r="493" spans="1:12" x14ac:dyDescent="0.35">
      <c r="A493" t="s">
        <v>5</v>
      </c>
      <c r="C493">
        <v>21</v>
      </c>
      <c r="D493">
        <v>334</v>
      </c>
      <c r="E493">
        <v>298</v>
      </c>
      <c r="F493">
        <v>36</v>
      </c>
      <c r="G493">
        <v>4</v>
      </c>
      <c r="H493">
        <v>21</v>
      </c>
      <c r="I493">
        <v>328</v>
      </c>
      <c r="J493">
        <v>219</v>
      </c>
      <c r="K493">
        <v>109</v>
      </c>
    </row>
    <row r="494" spans="1:12" x14ac:dyDescent="0.35">
      <c r="A494" t="s">
        <v>7</v>
      </c>
      <c r="B494" t="s">
        <v>6</v>
      </c>
      <c r="C494">
        <v>20</v>
      </c>
      <c r="D494">
        <v>446</v>
      </c>
      <c r="E494">
        <v>313</v>
      </c>
      <c r="F494">
        <v>133</v>
      </c>
      <c r="G494">
        <v>2</v>
      </c>
      <c r="H494">
        <v>22</v>
      </c>
      <c r="I494">
        <v>337</v>
      </c>
      <c r="J494">
        <v>280</v>
      </c>
      <c r="K494">
        <v>57</v>
      </c>
      <c r="L494">
        <v>2</v>
      </c>
    </row>
    <row r="495" spans="1:12" x14ac:dyDescent="0.35">
      <c r="A495" t="s">
        <v>7</v>
      </c>
      <c r="B495" t="s">
        <v>6</v>
      </c>
      <c r="C495">
        <v>19</v>
      </c>
      <c r="D495">
        <v>315</v>
      </c>
      <c r="E495">
        <v>241</v>
      </c>
      <c r="F495">
        <v>74</v>
      </c>
      <c r="G495">
        <v>1</v>
      </c>
      <c r="H495">
        <v>14</v>
      </c>
      <c r="I495">
        <v>242</v>
      </c>
      <c r="J495">
        <v>193</v>
      </c>
      <c r="K495">
        <v>49</v>
      </c>
      <c r="L495">
        <v>4</v>
      </c>
    </row>
    <row r="496" spans="1:12" x14ac:dyDescent="0.35">
      <c r="A496" t="s">
        <v>7</v>
      </c>
      <c r="C496">
        <v>29</v>
      </c>
      <c r="D496">
        <v>542</v>
      </c>
      <c r="E496">
        <v>467</v>
      </c>
      <c r="F496">
        <v>75</v>
      </c>
      <c r="G496">
        <v>4</v>
      </c>
      <c r="H496">
        <v>16</v>
      </c>
      <c r="I496">
        <v>309</v>
      </c>
      <c r="J496">
        <v>243</v>
      </c>
      <c r="K496">
        <v>66</v>
      </c>
      <c r="L496">
        <v>1</v>
      </c>
    </row>
    <row r="497" spans="1:12" x14ac:dyDescent="0.35">
      <c r="A497" t="s">
        <v>7</v>
      </c>
      <c r="B497" t="s">
        <v>6</v>
      </c>
      <c r="C497">
        <v>23</v>
      </c>
      <c r="D497">
        <v>495</v>
      </c>
      <c r="E497">
        <v>446</v>
      </c>
      <c r="F497">
        <v>49</v>
      </c>
      <c r="G497">
        <v>1</v>
      </c>
      <c r="H497">
        <v>16</v>
      </c>
      <c r="I497">
        <v>295</v>
      </c>
      <c r="J497">
        <v>250</v>
      </c>
      <c r="K497">
        <v>45</v>
      </c>
      <c r="L497">
        <v>3</v>
      </c>
    </row>
    <row r="498" spans="1:12" x14ac:dyDescent="0.35">
      <c r="A498" t="s">
        <v>5</v>
      </c>
      <c r="C498">
        <v>19</v>
      </c>
      <c r="D498">
        <v>435</v>
      </c>
      <c r="E498">
        <v>329</v>
      </c>
      <c r="F498">
        <v>106</v>
      </c>
      <c r="G498">
        <v>5</v>
      </c>
      <c r="H498">
        <v>15</v>
      </c>
      <c r="I498">
        <v>229</v>
      </c>
      <c r="J498">
        <v>161</v>
      </c>
      <c r="K498">
        <v>68</v>
      </c>
      <c r="L498">
        <v>2</v>
      </c>
    </row>
    <row r="499" spans="1:12" x14ac:dyDescent="0.35">
      <c r="A499" t="s">
        <v>5</v>
      </c>
      <c r="C499">
        <v>14</v>
      </c>
      <c r="D499">
        <v>329</v>
      </c>
      <c r="E499">
        <v>193</v>
      </c>
      <c r="F499">
        <v>136</v>
      </c>
      <c r="G499">
        <v>3</v>
      </c>
      <c r="H499">
        <v>28</v>
      </c>
      <c r="I499">
        <v>373</v>
      </c>
      <c r="J499">
        <v>286</v>
      </c>
      <c r="K499">
        <v>87</v>
      </c>
      <c r="L499">
        <v>1</v>
      </c>
    </row>
    <row r="500" spans="1:12" x14ac:dyDescent="0.35">
      <c r="A500" t="s">
        <v>7</v>
      </c>
      <c r="B500" t="s">
        <v>6</v>
      </c>
      <c r="C500">
        <v>21</v>
      </c>
      <c r="D500">
        <v>339</v>
      </c>
      <c r="E500">
        <v>216</v>
      </c>
      <c r="F500">
        <v>123</v>
      </c>
      <c r="H500">
        <v>19</v>
      </c>
      <c r="I500">
        <v>346</v>
      </c>
      <c r="J500">
        <v>244</v>
      </c>
      <c r="K500">
        <v>102</v>
      </c>
      <c r="L500">
        <v>3</v>
      </c>
    </row>
    <row r="501" spans="1:12" x14ac:dyDescent="0.35">
      <c r="A501" t="s">
        <v>5</v>
      </c>
      <c r="C501">
        <v>18</v>
      </c>
      <c r="D501">
        <v>243</v>
      </c>
      <c r="E501">
        <v>119</v>
      </c>
      <c r="F501">
        <v>124</v>
      </c>
      <c r="H501">
        <v>21</v>
      </c>
      <c r="I501">
        <v>288</v>
      </c>
      <c r="J501">
        <v>121</v>
      </c>
      <c r="K501">
        <v>167</v>
      </c>
      <c r="L501">
        <v>2</v>
      </c>
    </row>
    <row r="502" spans="1:12" x14ac:dyDescent="0.35">
      <c r="A502" t="s">
        <v>5</v>
      </c>
      <c r="B502" t="s">
        <v>6</v>
      </c>
      <c r="C502">
        <v>21</v>
      </c>
      <c r="D502">
        <v>340</v>
      </c>
      <c r="E502">
        <v>249</v>
      </c>
      <c r="F502">
        <v>91</v>
      </c>
      <c r="G502">
        <v>1</v>
      </c>
      <c r="H502">
        <v>12</v>
      </c>
      <c r="I502">
        <v>292</v>
      </c>
      <c r="J502">
        <v>204</v>
      </c>
      <c r="K502">
        <v>88</v>
      </c>
    </row>
    <row r="503" spans="1:12" x14ac:dyDescent="0.35">
      <c r="A503" t="s">
        <v>7</v>
      </c>
      <c r="B503" t="s">
        <v>6</v>
      </c>
      <c r="C503">
        <v>22</v>
      </c>
      <c r="D503">
        <v>365</v>
      </c>
      <c r="E503">
        <v>227</v>
      </c>
      <c r="F503">
        <v>138</v>
      </c>
      <c r="H503">
        <v>24</v>
      </c>
      <c r="I503">
        <v>422</v>
      </c>
      <c r="J503">
        <v>364</v>
      </c>
      <c r="K503">
        <v>58</v>
      </c>
      <c r="L503">
        <v>1</v>
      </c>
    </row>
    <row r="504" spans="1:12" x14ac:dyDescent="0.35">
      <c r="A504" t="s">
        <v>5</v>
      </c>
      <c r="C504">
        <v>14</v>
      </c>
      <c r="D504">
        <v>252</v>
      </c>
      <c r="E504">
        <v>150</v>
      </c>
      <c r="F504">
        <v>102</v>
      </c>
      <c r="H504">
        <v>18</v>
      </c>
      <c r="I504">
        <v>313</v>
      </c>
      <c r="J504">
        <v>204</v>
      </c>
      <c r="K504">
        <v>109</v>
      </c>
      <c r="L504">
        <v>1</v>
      </c>
    </row>
    <row r="505" spans="1:12" x14ac:dyDescent="0.35">
      <c r="A505" t="s">
        <v>5</v>
      </c>
      <c r="B505" t="s">
        <v>6</v>
      </c>
      <c r="C505">
        <v>12</v>
      </c>
      <c r="D505">
        <v>204</v>
      </c>
      <c r="E505">
        <v>165</v>
      </c>
      <c r="F505">
        <v>39</v>
      </c>
      <c r="G505">
        <v>3</v>
      </c>
      <c r="H505">
        <v>11</v>
      </c>
      <c r="I505">
        <v>270</v>
      </c>
      <c r="J505">
        <v>167</v>
      </c>
      <c r="K505">
        <v>103</v>
      </c>
      <c r="L505">
        <v>1</v>
      </c>
    </row>
    <row r="506" spans="1:12" x14ac:dyDescent="0.35">
      <c r="A506" t="s">
        <v>7</v>
      </c>
      <c r="C506">
        <v>22</v>
      </c>
      <c r="D506">
        <v>403</v>
      </c>
      <c r="E506">
        <v>306</v>
      </c>
      <c r="F506">
        <v>97</v>
      </c>
      <c r="G506">
        <v>1</v>
      </c>
      <c r="H506">
        <v>24</v>
      </c>
      <c r="I506">
        <v>365</v>
      </c>
      <c r="J506">
        <v>326</v>
      </c>
      <c r="K506">
        <v>39</v>
      </c>
      <c r="L506">
        <v>1</v>
      </c>
    </row>
    <row r="507" spans="1:12" x14ac:dyDescent="0.35">
      <c r="A507" t="s">
        <v>7</v>
      </c>
      <c r="C507">
        <v>16</v>
      </c>
      <c r="D507">
        <v>246</v>
      </c>
      <c r="E507">
        <v>174</v>
      </c>
      <c r="F507">
        <v>72</v>
      </c>
      <c r="G507">
        <v>1</v>
      </c>
      <c r="H507">
        <v>23</v>
      </c>
      <c r="I507">
        <v>389</v>
      </c>
      <c r="J507">
        <v>283</v>
      </c>
      <c r="K507">
        <v>106</v>
      </c>
      <c r="L507">
        <v>4</v>
      </c>
    </row>
    <row r="508" spans="1:12" x14ac:dyDescent="0.35">
      <c r="A508" t="s">
        <v>5</v>
      </c>
      <c r="B508" t="s">
        <v>6</v>
      </c>
      <c r="C508">
        <v>24</v>
      </c>
      <c r="D508">
        <v>431</v>
      </c>
      <c r="E508">
        <v>310</v>
      </c>
      <c r="F508">
        <v>121</v>
      </c>
      <c r="G508">
        <v>3</v>
      </c>
      <c r="H508">
        <v>22</v>
      </c>
      <c r="I508">
        <v>370</v>
      </c>
      <c r="J508">
        <v>214</v>
      </c>
      <c r="K508">
        <v>156</v>
      </c>
      <c r="L508">
        <v>1</v>
      </c>
    </row>
    <row r="509" spans="1:12" x14ac:dyDescent="0.35">
      <c r="A509" t="s">
        <v>7</v>
      </c>
      <c r="C509">
        <v>19</v>
      </c>
      <c r="D509">
        <v>371</v>
      </c>
      <c r="E509">
        <v>146</v>
      </c>
      <c r="F509">
        <v>225</v>
      </c>
      <c r="G509">
        <v>1</v>
      </c>
      <c r="H509">
        <v>28</v>
      </c>
      <c r="I509">
        <v>530</v>
      </c>
      <c r="J509">
        <v>433</v>
      </c>
      <c r="K509">
        <v>97</v>
      </c>
      <c r="L509">
        <v>1</v>
      </c>
    </row>
    <row r="510" spans="1:12" x14ac:dyDescent="0.35">
      <c r="A510" t="s">
        <v>7</v>
      </c>
      <c r="C510">
        <v>21</v>
      </c>
      <c r="D510">
        <v>471</v>
      </c>
      <c r="E510">
        <v>252</v>
      </c>
      <c r="F510">
        <v>219</v>
      </c>
      <c r="G510">
        <v>2</v>
      </c>
      <c r="H510">
        <v>23</v>
      </c>
      <c r="I510">
        <v>369</v>
      </c>
      <c r="J510">
        <v>252</v>
      </c>
      <c r="K510">
        <v>117</v>
      </c>
      <c r="L510">
        <v>1</v>
      </c>
    </row>
    <row r="511" spans="1:12" x14ac:dyDescent="0.35">
      <c r="A511" t="s">
        <v>7</v>
      </c>
      <c r="B511" t="s">
        <v>6</v>
      </c>
      <c r="C511">
        <v>15</v>
      </c>
      <c r="D511">
        <v>292</v>
      </c>
      <c r="E511">
        <v>138</v>
      </c>
      <c r="F511">
        <v>154</v>
      </c>
      <c r="G511">
        <v>2</v>
      </c>
      <c r="H511">
        <v>22</v>
      </c>
      <c r="I511">
        <v>391</v>
      </c>
      <c r="J511">
        <v>309</v>
      </c>
      <c r="K511">
        <v>82</v>
      </c>
      <c r="L511">
        <v>3</v>
      </c>
    </row>
    <row r="512" spans="1:12" x14ac:dyDescent="0.35">
      <c r="A512" t="s">
        <v>7</v>
      </c>
      <c r="B512" t="s">
        <v>6</v>
      </c>
      <c r="C512">
        <v>26</v>
      </c>
      <c r="D512">
        <v>552</v>
      </c>
      <c r="E512">
        <v>391</v>
      </c>
      <c r="F512">
        <v>161</v>
      </c>
      <c r="G512">
        <v>1</v>
      </c>
      <c r="H512">
        <v>22</v>
      </c>
      <c r="I512">
        <v>355</v>
      </c>
      <c r="J512">
        <v>258</v>
      </c>
      <c r="K512">
        <v>97</v>
      </c>
      <c r="L512">
        <v>1</v>
      </c>
    </row>
    <row r="513" spans="1:12" x14ac:dyDescent="0.35">
      <c r="A513" t="s">
        <v>5</v>
      </c>
      <c r="C513">
        <v>24</v>
      </c>
      <c r="D513">
        <v>432</v>
      </c>
      <c r="E513">
        <v>269</v>
      </c>
      <c r="F513">
        <v>163</v>
      </c>
      <c r="G513">
        <v>1</v>
      </c>
      <c r="H513">
        <v>23</v>
      </c>
      <c r="I513">
        <v>374</v>
      </c>
      <c r="J513">
        <v>234</v>
      </c>
      <c r="K513">
        <v>140</v>
      </c>
      <c r="L513">
        <v>2</v>
      </c>
    </row>
    <row r="514" spans="1:12" x14ac:dyDescent="0.35">
      <c r="A514" t="s">
        <v>5</v>
      </c>
      <c r="C514">
        <v>17</v>
      </c>
      <c r="D514">
        <v>397</v>
      </c>
      <c r="E514">
        <v>248</v>
      </c>
      <c r="F514">
        <v>149</v>
      </c>
      <c r="G514">
        <v>1</v>
      </c>
      <c r="H514">
        <v>23</v>
      </c>
      <c r="I514">
        <v>377</v>
      </c>
      <c r="J514">
        <v>275</v>
      </c>
      <c r="K514">
        <v>102</v>
      </c>
    </row>
    <row r="515" spans="1:12" x14ac:dyDescent="0.35">
      <c r="A515" t="s">
        <v>7</v>
      </c>
      <c r="B515" t="s">
        <v>6</v>
      </c>
      <c r="C515">
        <v>25</v>
      </c>
      <c r="D515">
        <v>467</v>
      </c>
      <c r="E515">
        <v>222</v>
      </c>
      <c r="F515">
        <v>245</v>
      </c>
      <c r="H515">
        <v>20</v>
      </c>
      <c r="I515">
        <v>301</v>
      </c>
      <c r="J515">
        <v>192</v>
      </c>
      <c r="K515">
        <v>109</v>
      </c>
      <c r="L515">
        <v>1</v>
      </c>
    </row>
    <row r="516" spans="1:12" x14ac:dyDescent="0.35">
      <c r="A516" t="s">
        <v>7</v>
      </c>
      <c r="B516" t="s">
        <v>6</v>
      </c>
      <c r="C516">
        <v>19</v>
      </c>
      <c r="D516">
        <v>272</v>
      </c>
      <c r="E516">
        <v>71</v>
      </c>
      <c r="F516">
        <v>201</v>
      </c>
      <c r="G516">
        <v>1</v>
      </c>
      <c r="H516">
        <v>18</v>
      </c>
      <c r="I516">
        <v>307</v>
      </c>
      <c r="J516">
        <v>209</v>
      </c>
      <c r="K516">
        <v>98</v>
      </c>
      <c r="L516">
        <v>2</v>
      </c>
    </row>
    <row r="517" spans="1:12" x14ac:dyDescent="0.35">
      <c r="A517" t="s">
        <v>7</v>
      </c>
      <c r="B517" t="s">
        <v>6</v>
      </c>
      <c r="C517">
        <v>15</v>
      </c>
      <c r="D517">
        <v>300</v>
      </c>
      <c r="E517">
        <v>83</v>
      </c>
      <c r="F517">
        <v>217</v>
      </c>
      <c r="H517">
        <v>29</v>
      </c>
      <c r="I517">
        <v>530</v>
      </c>
      <c r="J517">
        <v>345</v>
      </c>
      <c r="K517">
        <v>185</v>
      </c>
      <c r="L517">
        <v>3</v>
      </c>
    </row>
    <row r="518" spans="1:12" x14ac:dyDescent="0.35">
      <c r="A518" t="s">
        <v>5</v>
      </c>
      <c r="B518" t="s">
        <v>6</v>
      </c>
      <c r="C518">
        <v>20</v>
      </c>
      <c r="D518">
        <v>295</v>
      </c>
      <c r="E518">
        <v>210</v>
      </c>
      <c r="F518">
        <v>85</v>
      </c>
      <c r="H518">
        <v>27</v>
      </c>
      <c r="I518">
        <v>404</v>
      </c>
      <c r="J518">
        <v>292</v>
      </c>
      <c r="K518">
        <v>112</v>
      </c>
    </row>
    <row r="519" spans="1:12" x14ac:dyDescent="0.35">
      <c r="A519" t="s">
        <v>5</v>
      </c>
      <c r="B519" t="s">
        <v>6</v>
      </c>
      <c r="C519">
        <v>15</v>
      </c>
      <c r="D519">
        <v>398</v>
      </c>
      <c r="E519">
        <v>370</v>
      </c>
      <c r="F519">
        <v>28</v>
      </c>
      <c r="H519">
        <v>22</v>
      </c>
      <c r="I519">
        <v>436</v>
      </c>
      <c r="J519">
        <v>313</v>
      </c>
      <c r="K519">
        <v>123</v>
      </c>
    </row>
    <row r="520" spans="1:12" x14ac:dyDescent="0.35">
      <c r="A520" t="s">
        <v>5</v>
      </c>
      <c r="C520">
        <v>19</v>
      </c>
      <c r="D520">
        <v>255</v>
      </c>
      <c r="E520">
        <v>208</v>
      </c>
      <c r="F520">
        <v>47</v>
      </c>
      <c r="H520">
        <v>25</v>
      </c>
      <c r="I520">
        <v>474</v>
      </c>
      <c r="J520">
        <v>261</v>
      </c>
      <c r="K520">
        <v>213</v>
      </c>
      <c r="L520">
        <v>1</v>
      </c>
    </row>
    <row r="521" spans="1:12" x14ac:dyDescent="0.35">
      <c r="A521" t="s">
        <v>5</v>
      </c>
      <c r="C521">
        <v>25</v>
      </c>
      <c r="D521">
        <v>356</v>
      </c>
      <c r="E521">
        <v>287</v>
      </c>
      <c r="F521">
        <v>69</v>
      </c>
      <c r="G521">
        <v>5</v>
      </c>
      <c r="H521">
        <v>21</v>
      </c>
      <c r="I521">
        <v>298</v>
      </c>
      <c r="J521">
        <v>208</v>
      </c>
      <c r="K521">
        <v>90</v>
      </c>
      <c r="L521">
        <v>1</v>
      </c>
    </row>
    <row r="522" spans="1:12" x14ac:dyDescent="0.35">
      <c r="A522" t="s">
        <v>5</v>
      </c>
      <c r="B522" t="s">
        <v>6</v>
      </c>
      <c r="C522">
        <v>8</v>
      </c>
      <c r="D522">
        <v>176</v>
      </c>
      <c r="E522">
        <v>121</v>
      </c>
      <c r="F522">
        <v>55</v>
      </c>
      <c r="G522">
        <v>4</v>
      </c>
      <c r="H522">
        <v>24</v>
      </c>
      <c r="I522">
        <v>389</v>
      </c>
      <c r="J522">
        <v>225</v>
      </c>
      <c r="K522">
        <v>164</v>
      </c>
      <c r="L522">
        <v>4</v>
      </c>
    </row>
    <row r="523" spans="1:12" x14ac:dyDescent="0.35">
      <c r="A523" t="s">
        <v>5</v>
      </c>
      <c r="C523">
        <v>11</v>
      </c>
      <c r="D523">
        <v>223</v>
      </c>
      <c r="E523">
        <v>78</v>
      </c>
      <c r="F523">
        <v>145</v>
      </c>
      <c r="G523">
        <v>2</v>
      </c>
      <c r="H523">
        <v>23</v>
      </c>
      <c r="I523">
        <v>442</v>
      </c>
      <c r="J523">
        <v>312</v>
      </c>
      <c r="K523">
        <v>130</v>
      </c>
      <c r="L523">
        <v>1</v>
      </c>
    </row>
    <row r="524" spans="1:12" x14ac:dyDescent="0.35">
      <c r="A524" t="s">
        <v>7</v>
      </c>
      <c r="B524" t="s">
        <v>6</v>
      </c>
      <c r="C524">
        <v>13</v>
      </c>
      <c r="D524">
        <v>311</v>
      </c>
      <c r="E524">
        <v>166</v>
      </c>
      <c r="F524">
        <v>145</v>
      </c>
      <c r="H524">
        <v>21</v>
      </c>
      <c r="I524">
        <v>271</v>
      </c>
      <c r="J524">
        <v>187</v>
      </c>
      <c r="K524">
        <v>84</v>
      </c>
      <c r="L524">
        <v>2</v>
      </c>
    </row>
    <row r="525" spans="1:12" x14ac:dyDescent="0.35">
      <c r="A525" t="s">
        <v>5</v>
      </c>
      <c r="C525">
        <v>10</v>
      </c>
      <c r="D525">
        <v>154</v>
      </c>
      <c r="E525">
        <v>50</v>
      </c>
      <c r="F525">
        <v>104</v>
      </c>
      <c r="G525">
        <v>1</v>
      </c>
      <c r="H525">
        <v>17</v>
      </c>
      <c r="I525">
        <v>283</v>
      </c>
      <c r="J525">
        <v>146</v>
      </c>
      <c r="K525">
        <v>137</v>
      </c>
      <c r="L525">
        <v>1</v>
      </c>
    </row>
    <row r="526" spans="1:12" x14ac:dyDescent="0.35">
      <c r="A526" t="s">
        <v>5</v>
      </c>
      <c r="B526" t="s">
        <v>6</v>
      </c>
      <c r="C526">
        <v>14</v>
      </c>
      <c r="D526">
        <v>216</v>
      </c>
      <c r="E526">
        <v>131</v>
      </c>
      <c r="F526">
        <v>85</v>
      </c>
      <c r="G526">
        <v>2</v>
      </c>
      <c r="H526">
        <v>22</v>
      </c>
      <c r="I526">
        <v>434</v>
      </c>
      <c r="J526">
        <v>273</v>
      </c>
      <c r="K526">
        <v>161</v>
      </c>
      <c r="L526">
        <v>1</v>
      </c>
    </row>
    <row r="527" spans="1:12" x14ac:dyDescent="0.35">
      <c r="A527" t="s">
        <v>5</v>
      </c>
      <c r="B527" t="s">
        <v>6</v>
      </c>
      <c r="C527">
        <v>12</v>
      </c>
      <c r="D527">
        <v>243</v>
      </c>
      <c r="E527">
        <v>116</v>
      </c>
      <c r="F527">
        <v>127</v>
      </c>
      <c r="H527">
        <v>18</v>
      </c>
      <c r="I527">
        <v>268</v>
      </c>
      <c r="J527">
        <v>146</v>
      </c>
      <c r="K527">
        <v>122</v>
      </c>
    </row>
    <row r="528" spans="1:12" x14ac:dyDescent="0.35">
      <c r="A528" t="s">
        <v>5</v>
      </c>
      <c r="C528">
        <v>13</v>
      </c>
      <c r="D528">
        <v>225</v>
      </c>
      <c r="E528">
        <v>171</v>
      </c>
      <c r="F528">
        <v>54</v>
      </c>
      <c r="G528">
        <v>1</v>
      </c>
      <c r="H528">
        <v>23</v>
      </c>
      <c r="I528">
        <v>400</v>
      </c>
      <c r="J528">
        <v>285</v>
      </c>
      <c r="K528">
        <v>115</v>
      </c>
      <c r="L528">
        <v>2</v>
      </c>
    </row>
    <row r="529" spans="1:12" x14ac:dyDescent="0.35">
      <c r="A529" t="s">
        <v>7</v>
      </c>
      <c r="C529">
        <v>13</v>
      </c>
      <c r="D529">
        <v>230</v>
      </c>
      <c r="E529">
        <v>144</v>
      </c>
      <c r="F529">
        <v>86</v>
      </c>
      <c r="G529">
        <v>2</v>
      </c>
      <c r="H529">
        <v>21</v>
      </c>
      <c r="I529">
        <v>364</v>
      </c>
      <c r="J529">
        <v>189</v>
      </c>
      <c r="K529">
        <v>175</v>
      </c>
      <c r="L529">
        <v>4</v>
      </c>
    </row>
    <row r="530" spans="1:12" x14ac:dyDescent="0.35">
      <c r="A530" t="s">
        <v>7</v>
      </c>
      <c r="B530" t="s">
        <v>6</v>
      </c>
      <c r="C530">
        <v>20</v>
      </c>
      <c r="D530">
        <v>362</v>
      </c>
      <c r="E530">
        <v>114</v>
      </c>
      <c r="F530">
        <v>248</v>
      </c>
      <c r="H530">
        <v>22</v>
      </c>
      <c r="I530">
        <v>278</v>
      </c>
      <c r="J530">
        <v>213</v>
      </c>
      <c r="K530">
        <v>65</v>
      </c>
      <c r="L530">
        <v>2</v>
      </c>
    </row>
    <row r="531" spans="1:12" x14ac:dyDescent="0.35">
      <c r="A531" t="s">
        <v>5</v>
      </c>
      <c r="B531" t="s">
        <v>6</v>
      </c>
      <c r="C531">
        <v>18</v>
      </c>
      <c r="D531">
        <v>262</v>
      </c>
      <c r="E531">
        <v>141</v>
      </c>
      <c r="F531">
        <v>121</v>
      </c>
      <c r="G531">
        <v>1</v>
      </c>
      <c r="H531">
        <v>18</v>
      </c>
      <c r="I531">
        <v>341</v>
      </c>
      <c r="J531">
        <v>167</v>
      </c>
      <c r="K531">
        <v>174</v>
      </c>
      <c r="L531">
        <v>1</v>
      </c>
    </row>
    <row r="532" spans="1:12" x14ac:dyDescent="0.35">
      <c r="A532" t="s">
        <v>5</v>
      </c>
      <c r="C532">
        <v>19</v>
      </c>
      <c r="D532">
        <v>352</v>
      </c>
      <c r="E532">
        <v>251</v>
      </c>
      <c r="F532">
        <v>101</v>
      </c>
      <c r="G532">
        <v>1</v>
      </c>
      <c r="H532">
        <v>27</v>
      </c>
      <c r="I532">
        <v>415</v>
      </c>
      <c r="J532">
        <v>258</v>
      </c>
      <c r="K532">
        <v>157</v>
      </c>
      <c r="L532">
        <v>1</v>
      </c>
    </row>
    <row r="533" spans="1:12" x14ac:dyDescent="0.35">
      <c r="A533" t="s">
        <v>5</v>
      </c>
      <c r="C533">
        <v>25</v>
      </c>
      <c r="D533">
        <v>361</v>
      </c>
      <c r="E533">
        <v>281</v>
      </c>
      <c r="F533">
        <v>80</v>
      </c>
      <c r="H533">
        <v>28</v>
      </c>
      <c r="I533">
        <v>552</v>
      </c>
      <c r="J533">
        <v>346</v>
      </c>
      <c r="K533">
        <v>206</v>
      </c>
    </row>
    <row r="534" spans="1:12" x14ac:dyDescent="0.35">
      <c r="A534" t="s">
        <v>5</v>
      </c>
      <c r="B534" t="s">
        <v>6</v>
      </c>
      <c r="C534">
        <v>13</v>
      </c>
      <c r="D534">
        <v>271</v>
      </c>
      <c r="E534">
        <v>183</v>
      </c>
      <c r="F534">
        <v>88</v>
      </c>
      <c r="G534">
        <v>2</v>
      </c>
      <c r="H534">
        <v>22</v>
      </c>
      <c r="I534">
        <v>517</v>
      </c>
      <c r="J534">
        <v>294</v>
      </c>
      <c r="K534">
        <v>223</v>
      </c>
      <c r="L53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3"/>
  <sheetViews>
    <sheetView topLeftCell="A514" workbookViewId="0">
      <selection sqref="A1:Q533"/>
    </sheetView>
  </sheetViews>
  <sheetFormatPr defaultRowHeight="14.5" x14ac:dyDescent="0.35"/>
  <sheetData>
    <row r="1" spans="1:17" s="1" customFormat="1" ht="29" x14ac:dyDescent="0.35">
      <c r="A1" s="1" t="s">
        <v>10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9</v>
      </c>
    </row>
    <row r="2" spans="1:17" x14ac:dyDescent="0.35">
      <c r="A2" t="s">
        <v>11</v>
      </c>
      <c r="B2">
        <v>15</v>
      </c>
      <c r="C2">
        <v>349</v>
      </c>
      <c r="D2">
        <v>329</v>
      </c>
      <c r="E2">
        <v>20</v>
      </c>
      <c r="F2">
        <v>0</v>
      </c>
      <c r="G2">
        <v>26</v>
      </c>
      <c r="H2">
        <v>440</v>
      </c>
      <c r="I2">
        <v>258</v>
      </c>
      <c r="J2">
        <v>182</v>
      </c>
      <c r="K2">
        <v>0</v>
      </c>
      <c r="L2">
        <f>B2-G2</f>
        <v>-11</v>
      </c>
      <c r="M2">
        <f>C2-H2</f>
        <v>-91</v>
      </c>
      <c r="N2">
        <f>D2-I2</f>
        <v>71</v>
      </c>
      <c r="O2">
        <f>E2-J2</f>
        <v>-162</v>
      </c>
      <c r="P2">
        <f>F2-K2</f>
        <v>0</v>
      </c>
      <c r="Q2" t="s">
        <v>5</v>
      </c>
    </row>
    <row r="3" spans="1:17" x14ac:dyDescent="0.35">
      <c r="A3" t="s">
        <v>12</v>
      </c>
      <c r="B3">
        <v>21</v>
      </c>
      <c r="C3">
        <v>248</v>
      </c>
      <c r="D3">
        <v>127</v>
      </c>
      <c r="E3">
        <v>121</v>
      </c>
      <c r="F3">
        <v>2</v>
      </c>
      <c r="G3">
        <v>21</v>
      </c>
      <c r="H3">
        <v>413</v>
      </c>
      <c r="I3">
        <v>240</v>
      </c>
      <c r="J3">
        <v>173</v>
      </c>
      <c r="K3">
        <v>1</v>
      </c>
      <c r="L3">
        <f t="shared" ref="L3:L66" si="0">B3-G3</f>
        <v>0</v>
      </c>
      <c r="M3">
        <f t="shared" ref="M3:M66" si="1">C3-H3</f>
        <v>-165</v>
      </c>
      <c r="N3">
        <f t="shared" ref="N3:N66" si="2">D3-I3</f>
        <v>-113</v>
      </c>
      <c r="O3">
        <f t="shared" ref="O3:O66" si="3">E3-J3</f>
        <v>-52</v>
      </c>
      <c r="P3">
        <f t="shared" ref="P3:P66" si="4">F3-K3</f>
        <v>1</v>
      </c>
      <c r="Q3" t="s">
        <v>5</v>
      </c>
    </row>
    <row r="4" spans="1:17" x14ac:dyDescent="0.35">
      <c r="A4" t="s">
        <v>12</v>
      </c>
      <c r="B4">
        <v>20</v>
      </c>
      <c r="C4">
        <v>321</v>
      </c>
      <c r="D4">
        <v>206</v>
      </c>
      <c r="E4">
        <v>115</v>
      </c>
      <c r="F4">
        <v>1</v>
      </c>
      <c r="G4">
        <v>21</v>
      </c>
      <c r="H4">
        <v>340</v>
      </c>
      <c r="I4">
        <v>225</v>
      </c>
      <c r="J4">
        <v>115</v>
      </c>
      <c r="K4">
        <v>0</v>
      </c>
      <c r="L4">
        <f t="shared" si="0"/>
        <v>-1</v>
      </c>
      <c r="M4">
        <f t="shared" si="1"/>
        <v>-19</v>
      </c>
      <c r="N4">
        <f t="shared" si="2"/>
        <v>-19</v>
      </c>
      <c r="O4">
        <f t="shared" si="3"/>
        <v>0</v>
      </c>
      <c r="P4">
        <f t="shared" si="4"/>
        <v>1</v>
      </c>
      <c r="Q4" t="s">
        <v>5</v>
      </c>
    </row>
    <row r="5" spans="1:17" x14ac:dyDescent="0.35">
      <c r="A5" t="s">
        <v>11</v>
      </c>
      <c r="B5">
        <v>26</v>
      </c>
      <c r="C5">
        <v>514</v>
      </c>
      <c r="D5">
        <v>248</v>
      </c>
      <c r="E5">
        <v>266</v>
      </c>
      <c r="F5">
        <v>0</v>
      </c>
      <c r="G5">
        <v>21</v>
      </c>
      <c r="H5">
        <v>370</v>
      </c>
      <c r="I5">
        <v>262</v>
      </c>
      <c r="J5">
        <v>108</v>
      </c>
      <c r="K5">
        <v>0</v>
      </c>
      <c r="L5">
        <f t="shared" si="0"/>
        <v>5</v>
      </c>
      <c r="M5">
        <f t="shared" si="1"/>
        <v>144</v>
      </c>
      <c r="N5">
        <f t="shared" si="2"/>
        <v>-14</v>
      </c>
      <c r="O5">
        <f t="shared" si="3"/>
        <v>158</v>
      </c>
      <c r="P5">
        <f t="shared" si="4"/>
        <v>0</v>
      </c>
      <c r="Q5" t="s">
        <v>7</v>
      </c>
    </row>
    <row r="6" spans="1:17" x14ac:dyDescent="0.35">
      <c r="A6" t="s">
        <v>12</v>
      </c>
      <c r="B6">
        <v>24</v>
      </c>
      <c r="C6">
        <v>442</v>
      </c>
      <c r="D6">
        <v>340</v>
      </c>
      <c r="E6">
        <v>102</v>
      </c>
      <c r="F6">
        <v>0</v>
      </c>
      <c r="G6">
        <v>31</v>
      </c>
      <c r="H6">
        <v>444</v>
      </c>
      <c r="I6">
        <v>341</v>
      </c>
      <c r="J6">
        <v>103</v>
      </c>
      <c r="K6">
        <v>0</v>
      </c>
      <c r="L6">
        <f t="shared" si="0"/>
        <v>-7</v>
      </c>
      <c r="M6">
        <f t="shared" si="1"/>
        <v>-2</v>
      </c>
      <c r="N6">
        <f t="shared" si="2"/>
        <v>-1</v>
      </c>
      <c r="O6">
        <f t="shared" si="3"/>
        <v>-1</v>
      </c>
      <c r="P6">
        <f t="shared" si="4"/>
        <v>0</v>
      </c>
      <c r="Q6" t="s">
        <v>7</v>
      </c>
    </row>
    <row r="7" spans="1:17" x14ac:dyDescent="0.35">
      <c r="A7" t="s">
        <v>11</v>
      </c>
      <c r="B7">
        <v>18</v>
      </c>
      <c r="C7">
        <v>245</v>
      </c>
      <c r="D7">
        <v>89</v>
      </c>
      <c r="E7">
        <v>156</v>
      </c>
      <c r="F7">
        <v>0</v>
      </c>
      <c r="G7">
        <v>21</v>
      </c>
      <c r="H7">
        <v>263</v>
      </c>
      <c r="I7">
        <v>156</v>
      </c>
      <c r="J7">
        <v>107</v>
      </c>
      <c r="K7">
        <v>3</v>
      </c>
      <c r="L7">
        <f t="shared" si="0"/>
        <v>-3</v>
      </c>
      <c r="M7">
        <f t="shared" si="1"/>
        <v>-18</v>
      </c>
      <c r="N7">
        <f t="shared" si="2"/>
        <v>-67</v>
      </c>
      <c r="O7">
        <f t="shared" si="3"/>
        <v>49</v>
      </c>
      <c r="P7">
        <f t="shared" si="4"/>
        <v>-3</v>
      </c>
      <c r="Q7" t="s">
        <v>7</v>
      </c>
    </row>
    <row r="8" spans="1:17" x14ac:dyDescent="0.35">
      <c r="A8" t="s">
        <v>11</v>
      </c>
      <c r="B8">
        <v>10</v>
      </c>
      <c r="C8">
        <v>237</v>
      </c>
      <c r="D8">
        <v>197</v>
      </c>
      <c r="E8">
        <v>40</v>
      </c>
      <c r="F8">
        <v>0</v>
      </c>
      <c r="G8">
        <v>28</v>
      </c>
      <c r="H8">
        <v>510</v>
      </c>
      <c r="I8">
        <v>373</v>
      </c>
      <c r="J8">
        <v>137</v>
      </c>
      <c r="K8">
        <v>1</v>
      </c>
      <c r="L8">
        <f t="shared" si="0"/>
        <v>-18</v>
      </c>
      <c r="M8">
        <f t="shared" si="1"/>
        <v>-273</v>
      </c>
      <c r="N8">
        <f t="shared" si="2"/>
        <v>-176</v>
      </c>
      <c r="O8">
        <f t="shared" si="3"/>
        <v>-97</v>
      </c>
      <c r="P8">
        <f t="shared" si="4"/>
        <v>-1</v>
      </c>
      <c r="Q8" t="s">
        <v>5</v>
      </c>
    </row>
    <row r="9" spans="1:17" x14ac:dyDescent="0.35">
      <c r="A9" t="s">
        <v>12</v>
      </c>
      <c r="B9">
        <v>19</v>
      </c>
      <c r="C9">
        <v>357</v>
      </c>
      <c r="D9">
        <v>204</v>
      </c>
      <c r="E9">
        <v>153</v>
      </c>
      <c r="F9">
        <v>0</v>
      </c>
      <c r="G9">
        <v>21</v>
      </c>
      <c r="H9">
        <v>411</v>
      </c>
      <c r="I9">
        <v>310</v>
      </c>
      <c r="J9">
        <v>101</v>
      </c>
      <c r="K9">
        <v>0</v>
      </c>
      <c r="L9">
        <f t="shared" si="0"/>
        <v>-2</v>
      </c>
      <c r="M9">
        <f t="shared" si="1"/>
        <v>-54</v>
      </c>
      <c r="N9">
        <f t="shared" si="2"/>
        <v>-106</v>
      </c>
      <c r="O9">
        <f t="shared" si="3"/>
        <v>52</v>
      </c>
      <c r="P9">
        <f t="shared" si="4"/>
        <v>0</v>
      </c>
      <c r="Q9" t="s">
        <v>5</v>
      </c>
    </row>
    <row r="10" spans="1:17" x14ac:dyDescent="0.35">
      <c r="A10" t="s">
        <v>11</v>
      </c>
      <c r="B10">
        <v>20</v>
      </c>
      <c r="C10">
        <v>417</v>
      </c>
      <c r="D10">
        <v>342</v>
      </c>
      <c r="E10">
        <v>75</v>
      </c>
      <c r="F10">
        <v>2</v>
      </c>
      <c r="G10">
        <v>26</v>
      </c>
      <c r="H10">
        <v>457</v>
      </c>
      <c r="I10">
        <v>339</v>
      </c>
      <c r="J10">
        <v>118</v>
      </c>
      <c r="K10">
        <v>3</v>
      </c>
      <c r="L10">
        <f t="shared" si="0"/>
        <v>-6</v>
      </c>
      <c r="M10">
        <f t="shared" si="1"/>
        <v>-40</v>
      </c>
      <c r="N10">
        <f t="shared" si="2"/>
        <v>3</v>
      </c>
      <c r="O10">
        <f t="shared" si="3"/>
        <v>-43</v>
      </c>
      <c r="P10">
        <f t="shared" si="4"/>
        <v>-1</v>
      </c>
      <c r="Q10" t="s">
        <v>5</v>
      </c>
    </row>
    <row r="11" spans="1:17" x14ac:dyDescent="0.35">
      <c r="A11" t="s">
        <v>11</v>
      </c>
      <c r="B11">
        <v>21</v>
      </c>
      <c r="C11">
        <v>266</v>
      </c>
      <c r="D11">
        <v>131</v>
      </c>
      <c r="E11">
        <v>135</v>
      </c>
      <c r="F11">
        <v>2</v>
      </c>
      <c r="G11">
        <v>26</v>
      </c>
      <c r="H11">
        <v>442</v>
      </c>
      <c r="I11">
        <v>408</v>
      </c>
      <c r="J11">
        <v>34</v>
      </c>
      <c r="K11">
        <v>2</v>
      </c>
      <c r="L11">
        <f t="shared" si="0"/>
        <v>-5</v>
      </c>
      <c r="M11">
        <f t="shared" si="1"/>
        <v>-176</v>
      </c>
      <c r="N11">
        <f t="shared" si="2"/>
        <v>-277</v>
      </c>
      <c r="O11">
        <f t="shared" si="3"/>
        <v>101</v>
      </c>
      <c r="P11">
        <f t="shared" si="4"/>
        <v>0</v>
      </c>
      <c r="Q11" t="s">
        <v>5</v>
      </c>
    </row>
    <row r="12" spans="1:17" x14ac:dyDescent="0.35">
      <c r="A12" t="s">
        <v>12</v>
      </c>
      <c r="B12">
        <v>13</v>
      </c>
      <c r="C12">
        <v>198</v>
      </c>
      <c r="D12">
        <v>124</v>
      </c>
      <c r="E12">
        <v>74</v>
      </c>
      <c r="F12">
        <v>1</v>
      </c>
      <c r="G12">
        <v>27</v>
      </c>
      <c r="H12">
        <v>549</v>
      </c>
      <c r="I12">
        <v>417</v>
      </c>
      <c r="J12">
        <v>132</v>
      </c>
      <c r="K12">
        <v>0</v>
      </c>
      <c r="L12">
        <f t="shared" si="0"/>
        <v>-14</v>
      </c>
      <c r="M12">
        <f t="shared" si="1"/>
        <v>-351</v>
      </c>
      <c r="N12">
        <f t="shared" si="2"/>
        <v>-293</v>
      </c>
      <c r="O12">
        <f t="shared" si="3"/>
        <v>-58</v>
      </c>
      <c r="P12">
        <f t="shared" si="4"/>
        <v>1</v>
      </c>
      <c r="Q12" t="s">
        <v>5</v>
      </c>
    </row>
    <row r="13" spans="1:17" x14ac:dyDescent="0.35">
      <c r="A13" t="s">
        <v>12</v>
      </c>
      <c r="B13">
        <v>17</v>
      </c>
      <c r="C13">
        <v>236</v>
      </c>
      <c r="D13">
        <v>165</v>
      </c>
      <c r="E13">
        <v>71</v>
      </c>
      <c r="F13">
        <v>3</v>
      </c>
      <c r="G13">
        <v>20</v>
      </c>
      <c r="H13">
        <v>275</v>
      </c>
      <c r="I13">
        <v>135</v>
      </c>
      <c r="J13">
        <v>140</v>
      </c>
      <c r="K13">
        <v>2</v>
      </c>
      <c r="L13">
        <f t="shared" si="0"/>
        <v>-3</v>
      </c>
      <c r="M13">
        <f t="shared" si="1"/>
        <v>-39</v>
      </c>
      <c r="N13">
        <f t="shared" si="2"/>
        <v>30</v>
      </c>
      <c r="O13">
        <f t="shared" si="3"/>
        <v>-69</v>
      </c>
      <c r="P13">
        <f t="shared" si="4"/>
        <v>1</v>
      </c>
      <c r="Q13" t="s">
        <v>5</v>
      </c>
    </row>
    <row r="14" spans="1:17" x14ac:dyDescent="0.35">
      <c r="A14" t="s">
        <v>12</v>
      </c>
      <c r="B14">
        <v>26</v>
      </c>
      <c r="C14">
        <v>445</v>
      </c>
      <c r="D14">
        <v>219</v>
      </c>
      <c r="E14">
        <v>226</v>
      </c>
      <c r="F14">
        <v>1</v>
      </c>
      <c r="G14">
        <v>25</v>
      </c>
      <c r="H14">
        <v>393</v>
      </c>
      <c r="I14">
        <v>241</v>
      </c>
      <c r="J14">
        <v>152</v>
      </c>
      <c r="K14">
        <v>2</v>
      </c>
      <c r="L14">
        <f t="shared" si="0"/>
        <v>1</v>
      </c>
      <c r="M14">
        <f t="shared" si="1"/>
        <v>52</v>
      </c>
      <c r="N14">
        <f t="shared" si="2"/>
        <v>-22</v>
      </c>
      <c r="O14">
        <f t="shared" si="3"/>
        <v>74</v>
      </c>
      <c r="P14">
        <f t="shared" si="4"/>
        <v>-1</v>
      </c>
      <c r="Q14" t="s">
        <v>7</v>
      </c>
    </row>
    <row r="15" spans="1:17" x14ac:dyDescent="0.35">
      <c r="A15" t="s">
        <v>11</v>
      </c>
      <c r="B15">
        <v>21</v>
      </c>
      <c r="C15">
        <v>412</v>
      </c>
      <c r="D15">
        <v>159</v>
      </c>
      <c r="E15">
        <v>253</v>
      </c>
      <c r="F15">
        <v>0</v>
      </c>
      <c r="G15">
        <v>13</v>
      </c>
      <c r="H15">
        <v>224</v>
      </c>
      <c r="I15">
        <v>133</v>
      </c>
      <c r="J15">
        <v>91</v>
      </c>
      <c r="K15">
        <v>1</v>
      </c>
      <c r="L15">
        <f t="shared" si="0"/>
        <v>8</v>
      </c>
      <c r="M15">
        <f t="shared" si="1"/>
        <v>188</v>
      </c>
      <c r="N15">
        <f t="shared" si="2"/>
        <v>26</v>
      </c>
      <c r="O15">
        <f t="shared" si="3"/>
        <v>162</v>
      </c>
      <c r="P15">
        <f t="shared" si="4"/>
        <v>-1</v>
      </c>
      <c r="Q15" t="s">
        <v>7</v>
      </c>
    </row>
    <row r="16" spans="1:17" x14ac:dyDescent="0.35">
      <c r="A16" t="s">
        <v>11</v>
      </c>
      <c r="B16">
        <v>22</v>
      </c>
      <c r="C16">
        <v>393</v>
      </c>
      <c r="D16">
        <v>322</v>
      </c>
      <c r="E16">
        <v>71</v>
      </c>
      <c r="F16">
        <v>5</v>
      </c>
      <c r="G16">
        <v>25</v>
      </c>
      <c r="H16">
        <v>424</v>
      </c>
      <c r="I16">
        <v>311</v>
      </c>
      <c r="J16">
        <v>113</v>
      </c>
      <c r="K16">
        <v>0</v>
      </c>
      <c r="L16">
        <f t="shared" si="0"/>
        <v>-3</v>
      </c>
      <c r="M16">
        <f t="shared" si="1"/>
        <v>-31</v>
      </c>
      <c r="N16">
        <f t="shared" si="2"/>
        <v>11</v>
      </c>
      <c r="O16">
        <f t="shared" si="3"/>
        <v>-42</v>
      </c>
      <c r="P16">
        <f t="shared" si="4"/>
        <v>5</v>
      </c>
      <c r="Q16" t="s">
        <v>5</v>
      </c>
    </row>
    <row r="17" spans="1:17" x14ac:dyDescent="0.35">
      <c r="A17" t="s">
        <v>11</v>
      </c>
      <c r="B17">
        <v>27</v>
      </c>
      <c r="C17">
        <v>345</v>
      </c>
      <c r="D17">
        <v>272</v>
      </c>
      <c r="E17">
        <v>73</v>
      </c>
      <c r="F17">
        <v>3</v>
      </c>
      <c r="G17">
        <v>18</v>
      </c>
      <c r="H17">
        <v>269</v>
      </c>
      <c r="I17">
        <v>97</v>
      </c>
      <c r="J17">
        <v>172</v>
      </c>
      <c r="K17">
        <v>0</v>
      </c>
      <c r="L17">
        <f t="shared" si="0"/>
        <v>9</v>
      </c>
      <c r="M17">
        <f t="shared" si="1"/>
        <v>76</v>
      </c>
      <c r="N17">
        <f t="shared" si="2"/>
        <v>175</v>
      </c>
      <c r="O17">
        <f t="shared" si="3"/>
        <v>-99</v>
      </c>
      <c r="P17">
        <f t="shared" si="4"/>
        <v>3</v>
      </c>
      <c r="Q17" t="s">
        <v>5</v>
      </c>
    </row>
    <row r="18" spans="1:17" x14ac:dyDescent="0.35">
      <c r="A18" t="s">
        <v>12</v>
      </c>
      <c r="B18">
        <v>19</v>
      </c>
      <c r="C18">
        <v>367</v>
      </c>
      <c r="D18">
        <v>310</v>
      </c>
      <c r="E18">
        <v>57</v>
      </c>
      <c r="F18">
        <v>3</v>
      </c>
      <c r="G18">
        <v>18</v>
      </c>
      <c r="H18">
        <v>286</v>
      </c>
      <c r="I18">
        <v>237</v>
      </c>
      <c r="J18">
        <v>49</v>
      </c>
      <c r="K18">
        <v>3</v>
      </c>
      <c r="L18">
        <f t="shared" si="0"/>
        <v>1</v>
      </c>
      <c r="M18">
        <f t="shared" si="1"/>
        <v>81</v>
      </c>
      <c r="N18">
        <f t="shared" si="2"/>
        <v>73</v>
      </c>
      <c r="O18">
        <f t="shared" si="3"/>
        <v>8</v>
      </c>
      <c r="P18">
        <f t="shared" si="4"/>
        <v>0</v>
      </c>
      <c r="Q18" t="s">
        <v>7</v>
      </c>
    </row>
    <row r="19" spans="1:17" x14ac:dyDescent="0.35">
      <c r="A19" t="s">
        <v>11</v>
      </c>
      <c r="B19">
        <v>25</v>
      </c>
      <c r="C19">
        <v>397</v>
      </c>
      <c r="D19">
        <v>304</v>
      </c>
      <c r="E19">
        <v>93</v>
      </c>
      <c r="F19">
        <v>1</v>
      </c>
      <c r="G19">
        <v>29</v>
      </c>
      <c r="H19">
        <v>379</v>
      </c>
      <c r="I19">
        <v>300</v>
      </c>
      <c r="J19">
        <v>79</v>
      </c>
      <c r="K19">
        <v>0</v>
      </c>
      <c r="L19">
        <f t="shared" si="0"/>
        <v>-4</v>
      </c>
      <c r="M19">
        <f t="shared" si="1"/>
        <v>18</v>
      </c>
      <c r="N19">
        <f t="shared" si="2"/>
        <v>4</v>
      </c>
      <c r="O19">
        <f t="shared" si="3"/>
        <v>14</v>
      </c>
      <c r="P19">
        <f t="shared" si="4"/>
        <v>1</v>
      </c>
      <c r="Q19" t="s">
        <v>5</v>
      </c>
    </row>
    <row r="20" spans="1:17" x14ac:dyDescent="0.35">
      <c r="A20" t="s">
        <v>12</v>
      </c>
      <c r="B20">
        <v>24</v>
      </c>
      <c r="C20">
        <v>422</v>
      </c>
      <c r="D20">
        <v>364</v>
      </c>
      <c r="E20">
        <v>58</v>
      </c>
      <c r="F20">
        <v>1</v>
      </c>
      <c r="G20">
        <v>22</v>
      </c>
      <c r="H20">
        <v>365</v>
      </c>
      <c r="I20">
        <v>227</v>
      </c>
      <c r="J20">
        <v>138</v>
      </c>
      <c r="K20">
        <v>0</v>
      </c>
      <c r="L20">
        <f t="shared" si="0"/>
        <v>2</v>
      </c>
      <c r="M20">
        <f t="shared" si="1"/>
        <v>57</v>
      </c>
      <c r="N20">
        <f t="shared" si="2"/>
        <v>137</v>
      </c>
      <c r="O20">
        <f t="shared" si="3"/>
        <v>-80</v>
      </c>
      <c r="P20">
        <f t="shared" si="4"/>
        <v>1</v>
      </c>
      <c r="Q20" t="s">
        <v>5</v>
      </c>
    </row>
    <row r="21" spans="1:17" x14ac:dyDescent="0.35">
      <c r="A21" t="s">
        <v>11</v>
      </c>
      <c r="B21">
        <v>22</v>
      </c>
      <c r="C21">
        <v>373</v>
      </c>
      <c r="D21">
        <v>316</v>
      </c>
      <c r="E21">
        <v>57</v>
      </c>
      <c r="F21">
        <v>1</v>
      </c>
      <c r="G21">
        <v>31</v>
      </c>
      <c r="H21">
        <v>592</v>
      </c>
      <c r="I21">
        <v>426</v>
      </c>
      <c r="J21">
        <v>166</v>
      </c>
      <c r="K21">
        <v>1</v>
      </c>
      <c r="L21">
        <f t="shared" si="0"/>
        <v>-9</v>
      </c>
      <c r="M21">
        <f t="shared" si="1"/>
        <v>-219</v>
      </c>
      <c r="N21">
        <f t="shared" si="2"/>
        <v>-110</v>
      </c>
      <c r="O21">
        <f t="shared" si="3"/>
        <v>-109</v>
      </c>
      <c r="P21">
        <f t="shared" si="4"/>
        <v>0</v>
      </c>
      <c r="Q21" t="s">
        <v>5</v>
      </c>
    </row>
    <row r="22" spans="1:17" x14ac:dyDescent="0.35">
      <c r="A22" t="s">
        <v>11</v>
      </c>
      <c r="B22">
        <v>31</v>
      </c>
      <c r="C22">
        <v>444</v>
      </c>
      <c r="D22">
        <v>341</v>
      </c>
      <c r="E22">
        <v>103</v>
      </c>
      <c r="F22">
        <v>0</v>
      </c>
      <c r="G22">
        <v>24</v>
      </c>
      <c r="H22">
        <v>442</v>
      </c>
      <c r="I22">
        <v>340</v>
      </c>
      <c r="J22">
        <v>102</v>
      </c>
      <c r="K22">
        <v>0</v>
      </c>
      <c r="L22">
        <f t="shared" si="0"/>
        <v>7</v>
      </c>
      <c r="M22">
        <f t="shared" si="1"/>
        <v>2</v>
      </c>
      <c r="N22">
        <f t="shared" si="2"/>
        <v>1</v>
      </c>
      <c r="O22">
        <f t="shared" si="3"/>
        <v>1</v>
      </c>
      <c r="P22">
        <f t="shared" si="4"/>
        <v>0</v>
      </c>
      <c r="Q22" t="s">
        <v>5</v>
      </c>
    </row>
    <row r="23" spans="1:17" x14ac:dyDescent="0.35">
      <c r="A23" t="s">
        <v>12</v>
      </c>
      <c r="B23">
        <v>14</v>
      </c>
      <c r="C23">
        <v>224</v>
      </c>
      <c r="D23">
        <v>186</v>
      </c>
      <c r="E23">
        <v>38</v>
      </c>
      <c r="F23">
        <v>3</v>
      </c>
      <c r="G23">
        <v>23</v>
      </c>
      <c r="H23">
        <v>381</v>
      </c>
      <c r="I23">
        <v>291</v>
      </c>
      <c r="J23">
        <v>90</v>
      </c>
      <c r="K23">
        <v>0</v>
      </c>
      <c r="L23">
        <f t="shared" si="0"/>
        <v>-9</v>
      </c>
      <c r="M23">
        <f t="shared" si="1"/>
        <v>-157</v>
      </c>
      <c r="N23">
        <f t="shared" si="2"/>
        <v>-105</v>
      </c>
      <c r="O23">
        <f t="shared" si="3"/>
        <v>-52</v>
      </c>
      <c r="P23">
        <f t="shared" si="4"/>
        <v>3</v>
      </c>
      <c r="Q23" t="s">
        <v>5</v>
      </c>
    </row>
    <row r="24" spans="1:17" x14ac:dyDescent="0.35">
      <c r="A24" t="s">
        <v>12</v>
      </c>
      <c r="B24">
        <v>30</v>
      </c>
      <c r="C24">
        <v>510</v>
      </c>
      <c r="D24">
        <v>441</v>
      </c>
      <c r="E24">
        <v>69</v>
      </c>
      <c r="F24">
        <v>3</v>
      </c>
      <c r="G24">
        <v>18</v>
      </c>
      <c r="H24">
        <v>322</v>
      </c>
      <c r="I24">
        <v>171</v>
      </c>
      <c r="J24">
        <v>151</v>
      </c>
      <c r="K24">
        <v>0</v>
      </c>
      <c r="L24">
        <f t="shared" si="0"/>
        <v>12</v>
      </c>
      <c r="M24">
        <f t="shared" si="1"/>
        <v>188</v>
      </c>
      <c r="N24">
        <f t="shared" si="2"/>
        <v>270</v>
      </c>
      <c r="O24">
        <f t="shared" si="3"/>
        <v>-82</v>
      </c>
      <c r="P24">
        <f t="shared" si="4"/>
        <v>3</v>
      </c>
      <c r="Q24" t="s">
        <v>5</v>
      </c>
    </row>
    <row r="25" spans="1:17" x14ac:dyDescent="0.35">
      <c r="A25" t="s">
        <v>11</v>
      </c>
      <c r="B25">
        <v>24</v>
      </c>
      <c r="C25">
        <v>317</v>
      </c>
      <c r="D25">
        <v>174</v>
      </c>
      <c r="E25">
        <v>143</v>
      </c>
      <c r="F25">
        <v>1</v>
      </c>
      <c r="G25">
        <v>18</v>
      </c>
      <c r="H25">
        <v>310</v>
      </c>
      <c r="I25">
        <v>258</v>
      </c>
      <c r="J25">
        <v>52</v>
      </c>
      <c r="K25">
        <v>0</v>
      </c>
      <c r="L25">
        <f t="shared" si="0"/>
        <v>6</v>
      </c>
      <c r="M25">
        <f t="shared" si="1"/>
        <v>7</v>
      </c>
      <c r="N25">
        <f t="shared" si="2"/>
        <v>-84</v>
      </c>
      <c r="O25">
        <f t="shared" si="3"/>
        <v>91</v>
      </c>
      <c r="P25">
        <f t="shared" si="4"/>
        <v>1</v>
      </c>
      <c r="Q25" t="s">
        <v>7</v>
      </c>
    </row>
    <row r="26" spans="1:17" x14ac:dyDescent="0.35">
      <c r="A26" t="s">
        <v>11</v>
      </c>
      <c r="B26">
        <v>20</v>
      </c>
      <c r="C26">
        <v>349</v>
      </c>
      <c r="D26">
        <v>295</v>
      </c>
      <c r="E26">
        <v>54</v>
      </c>
      <c r="F26">
        <v>0</v>
      </c>
      <c r="G26">
        <v>17</v>
      </c>
      <c r="H26">
        <v>347</v>
      </c>
      <c r="I26">
        <v>270</v>
      </c>
      <c r="J26">
        <v>77</v>
      </c>
      <c r="K26">
        <v>4</v>
      </c>
      <c r="L26">
        <f t="shared" si="0"/>
        <v>3</v>
      </c>
      <c r="M26">
        <f t="shared" si="1"/>
        <v>2</v>
      </c>
      <c r="N26">
        <f t="shared" si="2"/>
        <v>25</v>
      </c>
      <c r="O26">
        <f t="shared" si="3"/>
        <v>-23</v>
      </c>
      <c r="P26">
        <f t="shared" si="4"/>
        <v>-4</v>
      </c>
      <c r="Q26" t="s">
        <v>7</v>
      </c>
    </row>
    <row r="27" spans="1:17" x14ac:dyDescent="0.35">
      <c r="A27" t="s">
        <v>12</v>
      </c>
      <c r="B27">
        <v>22</v>
      </c>
      <c r="C27">
        <v>337</v>
      </c>
      <c r="D27">
        <v>280</v>
      </c>
      <c r="E27">
        <v>57</v>
      </c>
      <c r="F27">
        <v>2</v>
      </c>
      <c r="G27">
        <v>20</v>
      </c>
      <c r="H27">
        <v>446</v>
      </c>
      <c r="I27">
        <v>313</v>
      </c>
      <c r="J27">
        <v>133</v>
      </c>
      <c r="K27">
        <v>2</v>
      </c>
      <c r="L27">
        <f t="shared" si="0"/>
        <v>2</v>
      </c>
      <c r="M27">
        <f t="shared" si="1"/>
        <v>-109</v>
      </c>
      <c r="N27">
        <f t="shared" si="2"/>
        <v>-33</v>
      </c>
      <c r="O27">
        <f t="shared" si="3"/>
        <v>-76</v>
      </c>
      <c r="P27">
        <f t="shared" si="4"/>
        <v>0</v>
      </c>
      <c r="Q27" t="s">
        <v>5</v>
      </c>
    </row>
    <row r="28" spans="1:17" x14ac:dyDescent="0.35">
      <c r="A28" t="s">
        <v>12</v>
      </c>
      <c r="B28">
        <v>27</v>
      </c>
      <c r="C28">
        <v>348</v>
      </c>
      <c r="D28">
        <v>259</v>
      </c>
      <c r="E28">
        <v>89</v>
      </c>
      <c r="F28">
        <v>3</v>
      </c>
      <c r="G28">
        <v>14</v>
      </c>
      <c r="H28">
        <v>279</v>
      </c>
      <c r="I28">
        <v>184</v>
      </c>
      <c r="J28">
        <v>95</v>
      </c>
      <c r="K28">
        <v>0</v>
      </c>
      <c r="L28">
        <f t="shared" si="0"/>
        <v>13</v>
      </c>
      <c r="M28">
        <f t="shared" si="1"/>
        <v>69</v>
      </c>
      <c r="N28">
        <f t="shared" si="2"/>
        <v>75</v>
      </c>
      <c r="O28">
        <f t="shared" si="3"/>
        <v>-6</v>
      </c>
      <c r="P28">
        <f t="shared" si="4"/>
        <v>3</v>
      </c>
      <c r="Q28" t="s">
        <v>5</v>
      </c>
    </row>
    <row r="29" spans="1:17" x14ac:dyDescent="0.35">
      <c r="A29" t="s">
        <v>12</v>
      </c>
      <c r="B29">
        <v>22</v>
      </c>
      <c r="C29">
        <v>461</v>
      </c>
      <c r="D29">
        <v>302</v>
      </c>
      <c r="E29">
        <v>159</v>
      </c>
      <c r="F29">
        <v>0</v>
      </c>
      <c r="G29">
        <v>27</v>
      </c>
      <c r="H29">
        <v>345</v>
      </c>
      <c r="I29">
        <v>245</v>
      </c>
      <c r="J29">
        <v>100</v>
      </c>
      <c r="K29">
        <v>4</v>
      </c>
      <c r="L29">
        <f t="shared" si="0"/>
        <v>-5</v>
      </c>
      <c r="M29">
        <f t="shared" si="1"/>
        <v>116</v>
      </c>
      <c r="N29">
        <f t="shared" si="2"/>
        <v>57</v>
      </c>
      <c r="O29">
        <f t="shared" si="3"/>
        <v>59</v>
      </c>
      <c r="P29">
        <f t="shared" si="4"/>
        <v>-4</v>
      </c>
      <c r="Q29" t="s">
        <v>7</v>
      </c>
    </row>
    <row r="30" spans="1:17" x14ac:dyDescent="0.35">
      <c r="A30" t="s">
        <v>11</v>
      </c>
      <c r="B30">
        <v>20</v>
      </c>
      <c r="C30">
        <v>290</v>
      </c>
      <c r="D30">
        <v>201</v>
      </c>
      <c r="E30">
        <v>89</v>
      </c>
      <c r="F30">
        <v>1</v>
      </c>
      <c r="G30">
        <v>20</v>
      </c>
      <c r="H30">
        <v>313</v>
      </c>
      <c r="I30">
        <v>193</v>
      </c>
      <c r="J30">
        <v>120</v>
      </c>
      <c r="K30">
        <v>2</v>
      </c>
      <c r="L30">
        <f t="shared" si="0"/>
        <v>0</v>
      </c>
      <c r="M30">
        <f t="shared" si="1"/>
        <v>-23</v>
      </c>
      <c r="N30">
        <f t="shared" si="2"/>
        <v>8</v>
      </c>
      <c r="O30">
        <f t="shared" si="3"/>
        <v>-31</v>
      </c>
      <c r="P30">
        <f t="shared" si="4"/>
        <v>-1</v>
      </c>
      <c r="Q30" t="s">
        <v>7</v>
      </c>
    </row>
    <row r="31" spans="1:17" x14ac:dyDescent="0.35">
      <c r="A31" t="s">
        <v>12</v>
      </c>
      <c r="B31">
        <v>28</v>
      </c>
      <c r="C31">
        <v>518</v>
      </c>
      <c r="D31">
        <v>383</v>
      </c>
      <c r="E31">
        <v>135</v>
      </c>
      <c r="F31">
        <v>2</v>
      </c>
      <c r="G31">
        <v>17</v>
      </c>
      <c r="H31">
        <v>288</v>
      </c>
      <c r="I31">
        <v>173</v>
      </c>
      <c r="J31">
        <v>115</v>
      </c>
      <c r="K31">
        <v>1</v>
      </c>
      <c r="L31">
        <f t="shared" si="0"/>
        <v>11</v>
      </c>
      <c r="M31">
        <f t="shared" si="1"/>
        <v>230</v>
      </c>
      <c r="N31">
        <f t="shared" si="2"/>
        <v>210</v>
      </c>
      <c r="O31">
        <f t="shared" si="3"/>
        <v>20</v>
      </c>
      <c r="P31">
        <f t="shared" si="4"/>
        <v>1</v>
      </c>
      <c r="Q31" t="s">
        <v>7</v>
      </c>
    </row>
    <row r="32" spans="1:17" x14ac:dyDescent="0.35">
      <c r="A32" t="s">
        <v>11</v>
      </c>
      <c r="B32">
        <v>28</v>
      </c>
      <c r="C32">
        <v>373</v>
      </c>
      <c r="D32">
        <v>286</v>
      </c>
      <c r="E32">
        <v>87</v>
      </c>
      <c r="F32">
        <v>1</v>
      </c>
      <c r="G32">
        <v>14</v>
      </c>
      <c r="H32">
        <v>329</v>
      </c>
      <c r="I32">
        <v>193</v>
      </c>
      <c r="J32">
        <v>136</v>
      </c>
      <c r="K32">
        <v>3</v>
      </c>
      <c r="L32">
        <f t="shared" si="0"/>
        <v>14</v>
      </c>
      <c r="M32">
        <f t="shared" si="1"/>
        <v>44</v>
      </c>
      <c r="N32">
        <f t="shared" si="2"/>
        <v>93</v>
      </c>
      <c r="O32">
        <f t="shared" si="3"/>
        <v>-49</v>
      </c>
      <c r="P32">
        <f t="shared" si="4"/>
        <v>-2</v>
      </c>
      <c r="Q32" t="s">
        <v>7</v>
      </c>
    </row>
    <row r="33" spans="1:17" x14ac:dyDescent="0.35">
      <c r="A33" t="s">
        <v>11</v>
      </c>
      <c r="B33">
        <v>31</v>
      </c>
      <c r="C33">
        <v>643</v>
      </c>
      <c r="D33">
        <v>378</v>
      </c>
      <c r="E33">
        <v>265</v>
      </c>
      <c r="F33">
        <v>0</v>
      </c>
      <c r="G33">
        <v>12</v>
      </c>
      <c r="H33">
        <v>200</v>
      </c>
      <c r="I33">
        <v>179</v>
      </c>
      <c r="J33">
        <v>21</v>
      </c>
      <c r="K33">
        <v>3</v>
      </c>
      <c r="L33">
        <f t="shared" si="0"/>
        <v>19</v>
      </c>
      <c r="M33">
        <f t="shared" si="1"/>
        <v>443</v>
      </c>
      <c r="N33">
        <f t="shared" si="2"/>
        <v>199</v>
      </c>
      <c r="O33">
        <f t="shared" si="3"/>
        <v>244</v>
      </c>
      <c r="P33">
        <f t="shared" si="4"/>
        <v>-3</v>
      </c>
      <c r="Q33" t="s">
        <v>7</v>
      </c>
    </row>
    <row r="34" spans="1:17" x14ac:dyDescent="0.35">
      <c r="A34" t="s">
        <v>12</v>
      </c>
      <c r="B34">
        <v>26</v>
      </c>
      <c r="C34">
        <v>440</v>
      </c>
      <c r="D34">
        <v>258</v>
      </c>
      <c r="E34">
        <v>182</v>
      </c>
      <c r="F34">
        <v>0</v>
      </c>
      <c r="G34">
        <v>15</v>
      </c>
      <c r="H34">
        <v>349</v>
      </c>
      <c r="I34">
        <v>329</v>
      </c>
      <c r="J34">
        <v>20</v>
      </c>
      <c r="K34">
        <v>0</v>
      </c>
      <c r="L34">
        <f t="shared" si="0"/>
        <v>11</v>
      </c>
      <c r="M34">
        <f t="shared" si="1"/>
        <v>91</v>
      </c>
      <c r="N34">
        <f t="shared" si="2"/>
        <v>-71</v>
      </c>
      <c r="O34">
        <f t="shared" si="3"/>
        <v>162</v>
      </c>
      <c r="P34">
        <f t="shared" si="4"/>
        <v>0</v>
      </c>
      <c r="Q34" t="s">
        <v>7</v>
      </c>
    </row>
    <row r="35" spans="1:17" x14ac:dyDescent="0.35">
      <c r="A35" t="s">
        <v>11</v>
      </c>
      <c r="B35">
        <v>29</v>
      </c>
      <c r="C35">
        <v>452</v>
      </c>
      <c r="D35">
        <v>249</v>
      </c>
      <c r="E35">
        <v>203</v>
      </c>
      <c r="F35">
        <v>0</v>
      </c>
      <c r="G35">
        <v>27</v>
      </c>
      <c r="H35">
        <v>503</v>
      </c>
      <c r="I35">
        <v>363</v>
      </c>
      <c r="J35">
        <v>140</v>
      </c>
      <c r="K35">
        <v>0</v>
      </c>
      <c r="L35">
        <f t="shared" si="0"/>
        <v>2</v>
      </c>
      <c r="M35">
        <f t="shared" si="1"/>
        <v>-51</v>
      </c>
      <c r="N35">
        <f t="shared" si="2"/>
        <v>-114</v>
      </c>
      <c r="O35">
        <f t="shared" si="3"/>
        <v>63</v>
      </c>
      <c r="P35">
        <f t="shared" si="4"/>
        <v>0</v>
      </c>
      <c r="Q35" t="s">
        <v>5</v>
      </c>
    </row>
    <row r="36" spans="1:17" x14ac:dyDescent="0.35">
      <c r="A36" t="s">
        <v>12</v>
      </c>
      <c r="B36">
        <v>24</v>
      </c>
      <c r="C36">
        <v>395</v>
      </c>
      <c r="D36">
        <v>222</v>
      </c>
      <c r="E36">
        <v>173</v>
      </c>
      <c r="F36">
        <v>3</v>
      </c>
      <c r="G36">
        <v>22</v>
      </c>
      <c r="H36">
        <v>530</v>
      </c>
      <c r="I36">
        <v>337</v>
      </c>
      <c r="J36">
        <v>193</v>
      </c>
      <c r="K36">
        <v>1</v>
      </c>
      <c r="L36">
        <f t="shared" si="0"/>
        <v>2</v>
      </c>
      <c r="M36">
        <f t="shared" si="1"/>
        <v>-135</v>
      </c>
      <c r="N36">
        <f t="shared" si="2"/>
        <v>-115</v>
      </c>
      <c r="O36">
        <f t="shared" si="3"/>
        <v>-20</v>
      </c>
      <c r="P36">
        <f t="shared" si="4"/>
        <v>2</v>
      </c>
      <c r="Q36" t="s">
        <v>5</v>
      </c>
    </row>
    <row r="37" spans="1:17" x14ac:dyDescent="0.35">
      <c r="A37" t="s">
        <v>11</v>
      </c>
      <c r="B37">
        <v>22</v>
      </c>
      <c r="C37">
        <v>277</v>
      </c>
      <c r="D37">
        <v>139</v>
      </c>
      <c r="E37">
        <v>138</v>
      </c>
      <c r="F37">
        <v>3</v>
      </c>
      <c r="G37">
        <v>18</v>
      </c>
      <c r="H37">
        <v>269</v>
      </c>
      <c r="I37">
        <v>192</v>
      </c>
      <c r="J37">
        <v>77</v>
      </c>
      <c r="K37">
        <v>2</v>
      </c>
      <c r="L37">
        <f t="shared" si="0"/>
        <v>4</v>
      </c>
      <c r="M37">
        <f t="shared" si="1"/>
        <v>8</v>
      </c>
      <c r="N37">
        <f t="shared" si="2"/>
        <v>-53</v>
      </c>
      <c r="O37">
        <f t="shared" si="3"/>
        <v>61</v>
      </c>
      <c r="P37">
        <f t="shared" si="4"/>
        <v>1</v>
      </c>
      <c r="Q37" t="s">
        <v>7</v>
      </c>
    </row>
    <row r="38" spans="1:17" x14ac:dyDescent="0.35">
      <c r="A38" t="s">
        <v>12</v>
      </c>
      <c r="B38">
        <v>26</v>
      </c>
      <c r="C38">
        <v>497</v>
      </c>
      <c r="D38">
        <v>228</v>
      </c>
      <c r="E38">
        <v>269</v>
      </c>
      <c r="F38">
        <v>1</v>
      </c>
      <c r="G38">
        <v>18</v>
      </c>
      <c r="H38">
        <v>250</v>
      </c>
      <c r="I38">
        <v>217</v>
      </c>
      <c r="J38">
        <v>33</v>
      </c>
      <c r="K38">
        <v>1</v>
      </c>
      <c r="L38">
        <f t="shared" si="0"/>
        <v>8</v>
      </c>
      <c r="M38">
        <f t="shared" si="1"/>
        <v>247</v>
      </c>
      <c r="N38">
        <f t="shared" si="2"/>
        <v>11</v>
      </c>
      <c r="O38">
        <f t="shared" si="3"/>
        <v>236</v>
      </c>
      <c r="P38">
        <f t="shared" si="4"/>
        <v>0</v>
      </c>
      <c r="Q38" t="s">
        <v>7</v>
      </c>
    </row>
    <row r="39" spans="1:17" x14ac:dyDescent="0.35">
      <c r="A39" t="s">
        <v>11</v>
      </c>
      <c r="B39">
        <v>14</v>
      </c>
      <c r="C39">
        <v>340</v>
      </c>
      <c r="D39">
        <v>141</v>
      </c>
      <c r="E39">
        <v>199</v>
      </c>
      <c r="F39">
        <v>0</v>
      </c>
      <c r="G39">
        <v>20</v>
      </c>
      <c r="H39">
        <v>347</v>
      </c>
      <c r="I39">
        <v>241</v>
      </c>
      <c r="J39">
        <v>106</v>
      </c>
      <c r="K39">
        <v>2</v>
      </c>
      <c r="L39">
        <f t="shared" si="0"/>
        <v>-6</v>
      </c>
      <c r="M39">
        <f t="shared" si="1"/>
        <v>-7</v>
      </c>
      <c r="N39">
        <f t="shared" si="2"/>
        <v>-100</v>
      </c>
      <c r="O39">
        <f t="shared" si="3"/>
        <v>93</v>
      </c>
      <c r="P39">
        <f t="shared" si="4"/>
        <v>-2</v>
      </c>
      <c r="Q39" t="s">
        <v>7</v>
      </c>
    </row>
    <row r="40" spans="1:17" x14ac:dyDescent="0.35">
      <c r="A40" t="s">
        <v>12</v>
      </c>
      <c r="B40">
        <v>26</v>
      </c>
      <c r="C40">
        <v>372</v>
      </c>
      <c r="D40">
        <v>162</v>
      </c>
      <c r="E40">
        <v>210</v>
      </c>
      <c r="F40">
        <v>2</v>
      </c>
      <c r="G40">
        <v>22</v>
      </c>
      <c r="H40">
        <v>342</v>
      </c>
      <c r="I40">
        <v>268</v>
      </c>
      <c r="J40">
        <v>74</v>
      </c>
      <c r="K40">
        <v>2</v>
      </c>
      <c r="L40">
        <f t="shared" si="0"/>
        <v>4</v>
      </c>
      <c r="M40">
        <f t="shared" si="1"/>
        <v>30</v>
      </c>
      <c r="N40">
        <f t="shared" si="2"/>
        <v>-106</v>
      </c>
      <c r="O40">
        <f t="shared" si="3"/>
        <v>136</v>
      </c>
      <c r="P40">
        <f t="shared" si="4"/>
        <v>0</v>
      </c>
      <c r="Q40" t="s">
        <v>7</v>
      </c>
    </row>
    <row r="41" spans="1:17" x14ac:dyDescent="0.35">
      <c r="A41" t="s">
        <v>11</v>
      </c>
      <c r="B41">
        <v>20</v>
      </c>
      <c r="C41">
        <v>379</v>
      </c>
      <c r="D41">
        <v>243</v>
      </c>
      <c r="E41">
        <v>136</v>
      </c>
      <c r="F41">
        <v>1</v>
      </c>
      <c r="G41">
        <v>21</v>
      </c>
      <c r="H41">
        <v>307</v>
      </c>
      <c r="I41">
        <v>150</v>
      </c>
      <c r="J41">
        <v>157</v>
      </c>
      <c r="K41">
        <v>3</v>
      </c>
      <c r="L41">
        <f t="shared" si="0"/>
        <v>-1</v>
      </c>
      <c r="M41">
        <f t="shared" si="1"/>
        <v>72</v>
      </c>
      <c r="N41">
        <f t="shared" si="2"/>
        <v>93</v>
      </c>
      <c r="O41">
        <f t="shared" si="3"/>
        <v>-21</v>
      </c>
      <c r="P41">
        <f t="shared" si="4"/>
        <v>-2</v>
      </c>
      <c r="Q41" t="s">
        <v>7</v>
      </c>
    </row>
    <row r="42" spans="1:17" x14ac:dyDescent="0.35">
      <c r="A42" t="s">
        <v>12</v>
      </c>
      <c r="B42">
        <v>25</v>
      </c>
      <c r="C42">
        <v>491</v>
      </c>
      <c r="D42">
        <v>235</v>
      </c>
      <c r="E42">
        <v>256</v>
      </c>
      <c r="F42">
        <v>0</v>
      </c>
      <c r="G42">
        <v>16</v>
      </c>
      <c r="H42">
        <v>232</v>
      </c>
      <c r="I42">
        <v>110</v>
      </c>
      <c r="J42">
        <v>122</v>
      </c>
      <c r="K42">
        <v>2</v>
      </c>
      <c r="L42">
        <f t="shared" si="0"/>
        <v>9</v>
      </c>
      <c r="M42">
        <f t="shared" si="1"/>
        <v>259</v>
      </c>
      <c r="N42">
        <f t="shared" si="2"/>
        <v>125</v>
      </c>
      <c r="O42">
        <f t="shared" si="3"/>
        <v>134</v>
      </c>
      <c r="P42">
        <f t="shared" si="4"/>
        <v>-2</v>
      </c>
      <c r="Q42" t="s">
        <v>7</v>
      </c>
    </row>
    <row r="43" spans="1:17" x14ac:dyDescent="0.35">
      <c r="A43" t="s">
        <v>11</v>
      </c>
      <c r="B43">
        <v>31</v>
      </c>
      <c r="C43">
        <v>480</v>
      </c>
      <c r="D43">
        <v>195</v>
      </c>
      <c r="E43">
        <v>285</v>
      </c>
      <c r="F43">
        <v>0</v>
      </c>
      <c r="G43">
        <v>14</v>
      </c>
      <c r="H43">
        <v>221</v>
      </c>
      <c r="I43">
        <v>199</v>
      </c>
      <c r="J43">
        <v>22</v>
      </c>
      <c r="K43">
        <v>2</v>
      </c>
      <c r="L43">
        <f t="shared" si="0"/>
        <v>17</v>
      </c>
      <c r="M43">
        <f t="shared" si="1"/>
        <v>259</v>
      </c>
      <c r="N43">
        <f t="shared" si="2"/>
        <v>-4</v>
      </c>
      <c r="O43">
        <f t="shared" si="3"/>
        <v>263</v>
      </c>
      <c r="P43">
        <f t="shared" si="4"/>
        <v>-2</v>
      </c>
      <c r="Q43" t="s">
        <v>7</v>
      </c>
    </row>
    <row r="44" spans="1:17" x14ac:dyDescent="0.35">
      <c r="A44" t="s">
        <v>12</v>
      </c>
      <c r="B44">
        <v>21</v>
      </c>
      <c r="C44">
        <v>283</v>
      </c>
      <c r="D44">
        <v>105</v>
      </c>
      <c r="E44">
        <v>178</v>
      </c>
      <c r="F44">
        <v>1</v>
      </c>
      <c r="G44">
        <v>15</v>
      </c>
      <c r="H44">
        <v>331</v>
      </c>
      <c r="I44">
        <v>157</v>
      </c>
      <c r="J44">
        <v>174</v>
      </c>
      <c r="K44">
        <v>1</v>
      </c>
      <c r="L44">
        <f t="shared" si="0"/>
        <v>6</v>
      </c>
      <c r="M44">
        <f t="shared" si="1"/>
        <v>-48</v>
      </c>
      <c r="N44">
        <f t="shared" si="2"/>
        <v>-52</v>
      </c>
      <c r="O44">
        <f t="shared" si="3"/>
        <v>4</v>
      </c>
      <c r="P44">
        <f t="shared" si="4"/>
        <v>0</v>
      </c>
      <c r="Q44" t="s">
        <v>7</v>
      </c>
    </row>
    <row r="45" spans="1:17" x14ac:dyDescent="0.35">
      <c r="A45" t="s">
        <v>11</v>
      </c>
      <c r="B45">
        <v>18</v>
      </c>
      <c r="C45">
        <v>257</v>
      </c>
      <c r="D45">
        <v>139</v>
      </c>
      <c r="E45">
        <v>118</v>
      </c>
      <c r="F45">
        <v>1</v>
      </c>
      <c r="G45">
        <v>16</v>
      </c>
      <c r="H45">
        <v>209</v>
      </c>
      <c r="I45">
        <v>105</v>
      </c>
      <c r="J45">
        <v>104</v>
      </c>
      <c r="K45">
        <v>1</v>
      </c>
      <c r="L45">
        <f t="shared" si="0"/>
        <v>2</v>
      </c>
      <c r="M45">
        <f t="shared" si="1"/>
        <v>48</v>
      </c>
      <c r="N45">
        <f t="shared" si="2"/>
        <v>34</v>
      </c>
      <c r="O45">
        <f t="shared" si="3"/>
        <v>14</v>
      </c>
      <c r="P45">
        <f t="shared" si="4"/>
        <v>0</v>
      </c>
      <c r="Q45" t="s">
        <v>7</v>
      </c>
    </row>
    <row r="46" spans="1:17" x14ac:dyDescent="0.35">
      <c r="A46" t="s">
        <v>12</v>
      </c>
      <c r="B46">
        <v>23</v>
      </c>
      <c r="C46">
        <v>430</v>
      </c>
      <c r="D46">
        <v>212</v>
      </c>
      <c r="E46">
        <v>218</v>
      </c>
      <c r="F46">
        <v>0</v>
      </c>
      <c r="G46">
        <v>13</v>
      </c>
      <c r="H46">
        <v>310</v>
      </c>
      <c r="I46">
        <v>207</v>
      </c>
      <c r="J46">
        <v>103</v>
      </c>
      <c r="K46">
        <v>2</v>
      </c>
      <c r="L46">
        <f t="shared" si="0"/>
        <v>10</v>
      </c>
      <c r="M46">
        <f t="shared" si="1"/>
        <v>120</v>
      </c>
      <c r="N46">
        <f t="shared" si="2"/>
        <v>5</v>
      </c>
      <c r="O46">
        <f t="shared" si="3"/>
        <v>115</v>
      </c>
      <c r="P46">
        <f t="shared" si="4"/>
        <v>-2</v>
      </c>
      <c r="Q46" t="s">
        <v>7</v>
      </c>
    </row>
    <row r="47" spans="1:17" x14ac:dyDescent="0.35">
      <c r="A47" t="s">
        <v>11</v>
      </c>
      <c r="B47">
        <v>31</v>
      </c>
      <c r="C47">
        <v>481</v>
      </c>
      <c r="D47">
        <v>238</v>
      </c>
      <c r="E47">
        <v>243</v>
      </c>
      <c r="F47">
        <v>1</v>
      </c>
      <c r="G47">
        <v>17</v>
      </c>
      <c r="H47">
        <v>241</v>
      </c>
      <c r="I47">
        <v>184</v>
      </c>
      <c r="J47">
        <v>57</v>
      </c>
      <c r="K47">
        <v>1</v>
      </c>
      <c r="L47">
        <f t="shared" si="0"/>
        <v>14</v>
      </c>
      <c r="M47">
        <f t="shared" si="1"/>
        <v>240</v>
      </c>
      <c r="N47">
        <f t="shared" si="2"/>
        <v>54</v>
      </c>
      <c r="O47">
        <f t="shared" si="3"/>
        <v>186</v>
      </c>
      <c r="P47">
        <f t="shared" si="4"/>
        <v>0</v>
      </c>
      <c r="Q47" t="s">
        <v>7</v>
      </c>
    </row>
    <row r="48" spans="1:17" x14ac:dyDescent="0.35">
      <c r="A48" t="s">
        <v>12</v>
      </c>
      <c r="B48">
        <v>19</v>
      </c>
      <c r="C48">
        <v>304</v>
      </c>
      <c r="D48">
        <v>81</v>
      </c>
      <c r="E48">
        <v>223</v>
      </c>
      <c r="F48">
        <v>2</v>
      </c>
      <c r="G48">
        <v>10</v>
      </c>
      <c r="H48">
        <v>168</v>
      </c>
      <c r="I48">
        <v>77</v>
      </c>
      <c r="J48">
        <v>91</v>
      </c>
      <c r="K48">
        <v>2</v>
      </c>
      <c r="L48">
        <f t="shared" si="0"/>
        <v>9</v>
      </c>
      <c r="M48">
        <f t="shared" si="1"/>
        <v>136</v>
      </c>
      <c r="N48">
        <f t="shared" si="2"/>
        <v>4</v>
      </c>
      <c r="O48">
        <f t="shared" si="3"/>
        <v>132</v>
      </c>
      <c r="P48">
        <f t="shared" si="4"/>
        <v>0</v>
      </c>
      <c r="Q48" t="s">
        <v>7</v>
      </c>
    </row>
    <row r="49" spans="1:17" x14ac:dyDescent="0.35">
      <c r="A49" t="s">
        <v>12</v>
      </c>
      <c r="B49">
        <v>29</v>
      </c>
      <c r="C49">
        <v>530</v>
      </c>
      <c r="D49">
        <v>345</v>
      </c>
      <c r="E49">
        <v>185</v>
      </c>
      <c r="F49">
        <v>3</v>
      </c>
      <c r="G49">
        <v>15</v>
      </c>
      <c r="H49">
        <v>300</v>
      </c>
      <c r="I49">
        <v>83</v>
      </c>
      <c r="J49">
        <v>217</v>
      </c>
      <c r="K49">
        <v>0</v>
      </c>
      <c r="L49">
        <f t="shared" si="0"/>
        <v>14</v>
      </c>
      <c r="M49">
        <f t="shared" si="1"/>
        <v>230</v>
      </c>
      <c r="N49">
        <f t="shared" si="2"/>
        <v>262</v>
      </c>
      <c r="O49">
        <f t="shared" si="3"/>
        <v>-32</v>
      </c>
      <c r="P49">
        <f t="shared" si="4"/>
        <v>3</v>
      </c>
      <c r="Q49" t="s">
        <v>5</v>
      </c>
    </row>
    <row r="50" spans="1:17" x14ac:dyDescent="0.35">
      <c r="A50" t="s">
        <v>11</v>
      </c>
      <c r="B50">
        <v>23</v>
      </c>
      <c r="C50">
        <v>370</v>
      </c>
      <c r="D50">
        <v>242</v>
      </c>
      <c r="E50">
        <v>128</v>
      </c>
      <c r="F50">
        <v>4</v>
      </c>
      <c r="G50">
        <v>17</v>
      </c>
      <c r="H50">
        <v>223</v>
      </c>
      <c r="I50">
        <v>155</v>
      </c>
      <c r="J50">
        <v>68</v>
      </c>
      <c r="K50">
        <v>1</v>
      </c>
      <c r="L50">
        <f t="shared" si="0"/>
        <v>6</v>
      </c>
      <c r="M50">
        <f t="shared" si="1"/>
        <v>147</v>
      </c>
      <c r="N50">
        <f t="shared" si="2"/>
        <v>87</v>
      </c>
      <c r="O50">
        <f t="shared" si="3"/>
        <v>60</v>
      </c>
      <c r="P50">
        <f t="shared" si="4"/>
        <v>3</v>
      </c>
      <c r="Q50" t="s">
        <v>7</v>
      </c>
    </row>
    <row r="51" spans="1:17" x14ac:dyDescent="0.35">
      <c r="A51" t="s">
        <v>11</v>
      </c>
      <c r="B51">
        <v>24</v>
      </c>
      <c r="C51">
        <v>388</v>
      </c>
      <c r="D51">
        <v>237</v>
      </c>
      <c r="E51">
        <v>151</v>
      </c>
      <c r="F51">
        <v>0</v>
      </c>
      <c r="G51">
        <v>21</v>
      </c>
      <c r="H51">
        <v>370</v>
      </c>
      <c r="I51">
        <v>241</v>
      </c>
      <c r="J51">
        <v>129</v>
      </c>
      <c r="K51">
        <v>2</v>
      </c>
      <c r="L51">
        <f t="shared" si="0"/>
        <v>3</v>
      </c>
      <c r="M51">
        <f t="shared" si="1"/>
        <v>18</v>
      </c>
      <c r="N51">
        <f t="shared" si="2"/>
        <v>-4</v>
      </c>
      <c r="O51">
        <f t="shared" si="3"/>
        <v>22</v>
      </c>
      <c r="P51">
        <f t="shared" si="4"/>
        <v>-2</v>
      </c>
      <c r="Q51" t="s">
        <v>7</v>
      </c>
    </row>
    <row r="52" spans="1:17" x14ac:dyDescent="0.35">
      <c r="A52" t="s">
        <v>12</v>
      </c>
      <c r="B52">
        <v>25</v>
      </c>
      <c r="C52">
        <v>416</v>
      </c>
      <c r="D52">
        <v>241</v>
      </c>
      <c r="E52">
        <v>175</v>
      </c>
      <c r="F52">
        <v>2</v>
      </c>
      <c r="G52">
        <v>17</v>
      </c>
      <c r="H52">
        <v>306</v>
      </c>
      <c r="I52">
        <v>240</v>
      </c>
      <c r="J52">
        <v>66</v>
      </c>
      <c r="K52">
        <v>4</v>
      </c>
      <c r="L52">
        <f t="shared" si="0"/>
        <v>8</v>
      </c>
      <c r="M52">
        <f t="shared" si="1"/>
        <v>110</v>
      </c>
      <c r="N52">
        <f t="shared" si="2"/>
        <v>1</v>
      </c>
      <c r="O52">
        <f t="shared" si="3"/>
        <v>109</v>
      </c>
      <c r="P52">
        <f t="shared" si="4"/>
        <v>-2</v>
      </c>
      <c r="Q52" t="s">
        <v>7</v>
      </c>
    </row>
    <row r="53" spans="1:17" x14ac:dyDescent="0.35">
      <c r="A53" t="s">
        <v>12</v>
      </c>
      <c r="B53">
        <v>23</v>
      </c>
      <c r="C53">
        <v>375</v>
      </c>
      <c r="D53">
        <v>240</v>
      </c>
      <c r="E53">
        <v>135</v>
      </c>
      <c r="F53">
        <v>4</v>
      </c>
      <c r="G53">
        <v>11</v>
      </c>
      <c r="H53">
        <v>224</v>
      </c>
      <c r="I53">
        <v>150</v>
      </c>
      <c r="J53">
        <v>74</v>
      </c>
      <c r="K53">
        <v>1</v>
      </c>
      <c r="L53">
        <f t="shared" si="0"/>
        <v>12</v>
      </c>
      <c r="M53">
        <f t="shared" si="1"/>
        <v>151</v>
      </c>
      <c r="N53">
        <f t="shared" si="2"/>
        <v>90</v>
      </c>
      <c r="O53">
        <f t="shared" si="3"/>
        <v>61</v>
      </c>
      <c r="P53">
        <f t="shared" si="4"/>
        <v>3</v>
      </c>
      <c r="Q53" t="s">
        <v>5</v>
      </c>
    </row>
    <row r="54" spans="1:17" x14ac:dyDescent="0.35">
      <c r="A54" t="s">
        <v>11</v>
      </c>
      <c r="B54">
        <v>18</v>
      </c>
      <c r="C54">
        <v>313</v>
      </c>
      <c r="D54">
        <v>204</v>
      </c>
      <c r="E54">
        <v>109</v>
      </c>
      <c r="F54">
        <v>1</v>
      </c>
      <c r="G54">
        <v>14</v>
      </c>
      <c r="H54">
        <v>252</v>
      </c>
      <c r="I54">
        <v>150</v>
      </c>
      <c r="J54">
        <v>102</v>
      </c>
      <c r="K54">
        <v>0</v>
      </c>
      <c r="L54">
        <f t="shared" si="0"/>
        <v>4</v>
      </c>
      <c r="M54">
        <f t="shared" si="1"/>
        <v>61</v>
      </c>
      <c r="N54">
        <f t="shared" si="2"/>
        <v>54</v>
      </c>
      <c r="O54">
        <f t="shared" si="3"/>
        <v>7</v>
      </c>
      <c r="P54">
        <f t="shared" si="4"/>
        <v>1</v>
      </c>
      <c r="Q54" t="s">
        <v>7</v>
      </c>
    </row>
    <row r="55" spans="1:17" x14ac:dyDescent="0.35">
      <c r="A55" t="s">
        <v>12</v>
      </c>
      <c r="B55">
        <v>17</v>
      </c>
      <c r="C55">
        <v>305</v>
      </c>
      <c r="D55">
        <v>188</v>
      </c>
      <c r="E55">
        <v>117</v>
      </c>
      <c r="F55">
        <v>0</v>
      </c>
      <c r="G55">
        <v>24</v>
      </c>
      <c r="H55">
        <v>381</v>
      </c>
      <c r="I55">
        <v>272</v>
      </c>
      <c r="J55">
        <v>109</v>
      </c>
      <c r="K55">
        <v>2</v>
      </c>
      <c r="L55">
        <f t="shared" si="0"/>
        <v>-7</v>
      </c>
      <c r="M55">
        <f t="shared" si="1"/>
        <v>-76</v>
      </c>
      <c r="N55">
        <f t="shared" si="2"/>
        <v>-84</v>
      </c>
      <c r="O55">
        <f t="shared" si="3"/>
        <v>8</v>
      </c>
      <c r="P55">
        <f t="shared" si="4"/>
        <v>-2</v>
      </c>
      <c r="Q55" t="s">
        <v>7</v>
      </c>
    </row>
    <row r="56" spans="1:17" x14ac:dyDescent="0.35">
      <c r="A56" t="s">
        <v>12</v>
      </c>
      <c r="B56">
        <v>16</v>
      </c>
      <c r="C56">
        <v>253</v>
      </c>
      <c r="D56">
        <v>155</v>
      </c>
      <c r="E56">
        <v>98</v>
      </c>
      <c r="F56">
        <v>1</v>
      </c>
      <c r="G56">
        <v>21</v>
      </c>
      <c r="H56">
        <v>371</v>
      </c>
      <c r="I56">
        <v>153</v>
      </c>
      <c r="J56">
        <v>218</v>
      </c>
      <c r="K56">
        <v>1</v>
      </c>
      <c r="L56">
        <f t="shared" si="0"/>
        <v>-5</v>
      </c>
      <c r="M56">
        <f t="shared" si="1"/>
        <v>-118</v>
      </c>
      <c r="N56">
        <f t="shared" si="2"/>
        <v>2</v>
      </c>
      <c r="O56">
        <f t="shared" si="3"/>
        <v>-120</v>
      </c>
      <c r="P56">
        <f t="shared" si="4"/>
        <v>0</v>
      </c>
      <c r="Q56" t="s">
        <v>5</v>
      </c>
    </row>
    <row r="57" spans="1:17" x14ac:dyDescent="0.35">
      <c r="A57" t="s">
        <v>12</v>
      </c>
      <c r="B57">
        <v>18</v>
      </c>
      <c r="C57">
        <v>268</v>
      </c>
      <c r="D57">
        <v>146</v>
      </c>
      <c r="E57">
        <v>122</v>
      </c>
      <c r="F57">
        <v>0</v>
      </c>
      <c r="G57">
        <v>12</v>
      </c>
      <c r="H57">
        <v>243</v>
      </c>
      <c r="I57">
        <v>116</v>
      </c>
      <c r="J57">
        <v>127</v>
      </c>
      <c r="K57">
        <v>0</v>
      </c>
      <c r="L57">
        <f t="shared" si="0"/>
        <v>6</v>
      </c>
      <c r="M57">
        <f t="shared" si="1"/>
        <v>25</v>
      </c>
      <c r="N57">
        <f t="shared" si="2"/>
        <v>30</v>
      </c>
      <c r="O57">
        <f t="shared" si="3"/>
        <v>-5</v>
      </c>
      <c r="P57">
        <f t="shared" si="4"/>
        <v>0</v>
      </c>
      <c r="Q57" t="s">
        <v>7</v>
      </c>
    </row>
    <row r="58" spans="1:17" x14ac:dyDescent="0.35">
      <c r="A58" t="s">
        <v>11</v>
      </c>
      <c r="B58">
        <v>20</v>
      </c>
      <c r="C58">
        <v>344</v>
      </c>
      <c r="D58">
        <v>260</v>
      </c>
      <c r="E58">
        <v>84</v>
      </c>
      <c r="F58">
        <v>0</v>
      </c>
      <c r="G58">
        <v>24</v>
      </c>
      <c r="H58">
        <v>368</v>
      </c>
      <c r="I58">
        <v>221</v>
      </c>
      <c r="J58">
        <v>147</v>
      </c>
      <c r="K58">
        <v>0</v>
      </c>
      <c r="L58">
        <f t="shared" si="0"/>
        <v>-4</v>
      </c>
      <c r="M58">
        <f t="shared" si="1"/>
        <v>-24</v>
      </c>
      <c r="N58">
        <f t="shared" si="2"/>
        <v>39</v>
      </c>
      <c r="O58">
        <f t="shared" si="3"/>
        <v>-63</v>
      </c>
      <c r="P58">
        <f t="shared" si="4"/>
        <v>0</v>
      </c>
      <c r="Q58" t="s">
        <v>5</v>
      </c>
    </row>
    <row r="59" spans="1:17" x14ac:dyDescent="0.35">
      <c r="A59" t="s">
        <v>11</v>
      </c>
      <c r="B59">
        <v>22</v>
      </c>
      <c r="C59">
        <v>424</v>
      </c>
      <c r="D59">
        <v>256</v>
      </c>
      <c r="E59">
        <v>168</v>
      </c>
      <c r="F59">
        <v>0</v>
      </c>
      <c r="G59">
        <v>19</v>
      </c>
      <c r="H59">
        <v>303</v>
      </c>
      <c r="I59">
        <v>280</v>
      </c>
      <c r="J59">
        <v>23</v>
      </c>
      <c r="K59">
        <v>1</v>
      </c>
      <c r="L59">
        <f t="shared" si="0"/>
        <v>3</v>
      </c>
      <c r="M59">
        <f t="shared" si="1"/>
        <v>121</v>
      </c>
      <c r="N59">
        <f t="shared" si="2"/>
        <v>-24</v>
      </c>
      <c r="O59">
        <f t="shared" si="3"/>
        <v>145</v>
      </c>
      <c r="P59">
        <f t="shared" si="4"/>
        <v>-1</v>
      </c>
      <c r="Q59" t="s">
        <v>7</v>
      </c>
    </row>
    <row r="60" spans="1:17" x14ac:dyDescent="0.35">
      <c r="A60" t="s">
        <v>12</v>
      </c>
      <c r="B60">
        <v>22</v>
      </c>
      <c r="C60">
        <v>424</v>
      </c>
      <c r="D60">
        <v>180</v>
      </c>
      <c r="E60">
        <v>244</v>
      </c>
      <c r="F60">
        <v>1</v>
      </c>
      <c r="G60">
        <v>9</v>
      </c>
      <c r="H60">
        <v>134</v>
      </c>
      <c r="I60">
        <v>49</v>
      </c>
      <c r="J60">
        <v>85</v>
      </c>
      <c r="K60">
        <v>1</v>
      </c>
      <c r="L60">
        <f t="shared" si="0"/>
        <v>13</v>
      </c>
      <c r="M60">
        <f t="shared" si="1"/>
        <v>290</v>
      </c>
      <c r="N60">
        <f t="shared" si="2"/>
        <v>131</v>
      </c>
      <c r="O60">
        <f t="shared" si="3"/>
        <v>159</v>
      </c>
      <c r="P60">
        <f t="shared" si="4"/>
        <v>0</v>
      </c>
      <c r="Q60" t="s">
        <v>7</v>
      </c>
    </row>
    <row r="61" spans="1:17" x14ac:dyDescent="0.35">
      <c r="A61" t="s">
        <v>11</v>
      </c>
      <c r="B61">
        <v>22</v>
      </c>
      <c r="C61">
        <v>356</v>
      </c>
      <c r="D61">
        <v>232</v>
      </c>
      <c r="E61">
        <v>124</v>
      </c>
      <c r="F61">
        <v>0</v>
      </c>
      <c r="G61">
        <v>32</v>
      </c>
      <c r="H61">
        <v>426</v>
      </c>
      <c r="I61">
        <v>323</v>
      </c>
      <c r="J61">
        <v>103</v>
      </c>
      <c r="K61">
        <v>2</v>
      </c>
      <c r="L61">
        <f t="shared" si="0"/>
        <v>-10</v>
      </c>
      <c r="M61">
        <f t="shared" si="1"/>
        <v>-70</v>
      </c>
      <c r="N61">
        <f t="shared" si="2"/>
        <v>-91</v>
      </c>
      <c r="O61">
        <f t="shared" si="3"/>
        <v>21</v>
      </c>
      <c r="P61">
        <f t="shared" si="4"/>
        <v>-2</v>
      </c>
      <c r="Q61" t="s">
        <v>7</v>
      </c>
    </row>
    <row r="62" spans="1:17" x14ac:dyDescent="0.35">
      <c r="A62" t="s">
        <v>12</v>
      </c>
      <c r="B62">
        <v>16</v>
      </c>
      <c r="C62">
        <v>209</v>
      </c>
      <c r="D62">
        <v>105</v>
      </c>
      <c r="E62">
        <v>104</v>
      </c>
      <c r="F62">
        <v>1</v>
      </c>
      <c r="G62">
        <v>18</v>
      </c>
      <c r="H62">
        <v>257</v>
      </c>
      <c r="I62">
        <v>139</v>
      </c>
      <c r="J62">
        <v>118</v>
      </c>
      <c r="K62">
        <v>1</v>
      </c>
      <c r="L62">
        <f t="shared" si="0"/>
        <v>-2</v>
      </c>
      <c r="M62">
        <f t="shared" si="1"/>
        <v>-48</v>
      </c>
      <c r="N62">
        <f t="shared" si="2"/>
        <v>-34</v>
      </c>
      <c r="O62">
        <f t="shared" si="3"/>
        <v>-14</v>
      </c>
      <c r="P62">
        <f t="shared" si="4"/>
        <v>0</v>
      </c>
      <c r="Q62" t="s">
        <v>5</v>
      </c>
    </row>
    <row r="63" spans="1:17" x14ac:dyDescent="0.35">
      <c r="A63" t="s">
        <v>11</v>
      </c>
      <c r="B63">
        <v>17</v>
      </c>
      <c r="C63">
        <v>261</v>
      </c>
      <c r="D63">
        <v>131</v>
      </c>
      <c r="E63">
        <v>130</v>
      </c>
      <c r="F63">
        <v>2</v>
      </c>
      <c r="G63">
        <v>15</v>
      </c>
      <c r="H63">
        <v>229</v>
      </c>
      <c r="I63">
        <v>178</v>
      </c>
      <c r="J63">
        <v>51</v>
      </c>
      <c r="K63">
        <v>5</v>
      </c>
      <c r="L63">
        <f t="shared" si="0"/>
        <v>2</v>
      </c>
      <c r="M63">
        <f t="shared" si="1"/>
        <v>32</v>
      </c>
      <c r="N63">
        <f t="shared" si="2"/>
        <v>-47</v>
      </c>
      <c r="O63">
        <f t="shared" si="3"/>
        <v>79</v>
      </c>
      <c r="P63">
        <f t="shared" si="4"/>
        <v>-3</v>
      </c>
      <c r="Q63" t="s">
        <v>7</v>
      </c>
    </row>
    <row r="64" spans="1:17" x14ac:dyDescent="0.35">
      <c r="A64" t="s">
        <v>11</v>
      </c>
      <c r="B64">
        <v>14</v>
      </c>
      <c r="C64">
        <v>268</v>
      </c>
      <c r="D64">
        <v>176</v>
      </c>
      <c r="E64">
        <v>92</v>
      </c>
      <c r="F64">
        <v>0</v>
      </c>
      <c r="G64">
        <v>23</v>
      </c>
      <c r="H64">
        <v>414</v>
      </c>
      <c r="I64">
        <v>271</v>
      </c>
      <c r="J64">
        <v>143</v>
      </c>
      <c r="K64">
        <v>1</v>
      </c>
      <c r="L64">
        <f t="shared" si="0"/>
        <v>-9</v>
      </c>
      <c r="M64">
        <f t="shared" si="1"/>
        <v>-146</v>
      </c>
      <c r="N64">
        <f t="shared" si="2"/>
        <v>-95</v>
      </c>
      <c r="O64">
        <f t="shared" si="3"/>
        <v>-51</v>
      </c>
      <c r="P64">
        <f t="shared" si="4"/>
        <v>-1</v>
      </c>
      <c r="Q64" t="s">
        <v>5</v>
      </c>
    </row>
    <row r="65" spans="1:17" x14ac:dyDescent="0.35">
      <c r="A65" t="s">
        <v>12</v>
      </c>
      <c r="B65">
        <v>17</v>
      </c>
      <c r="C65">
        <v>309</v>
      </c>
      <c r="D65">
        <v>236</v>
      </c>
      <c r="E65">
        <v>73</v>
      </c>
      <c r="F65">
        <v>3</v>
      </c>
      <c r="G65">
        <v>18</v>
      </c>
      <c r="H65">
        <v>271</v>
      </c>
      <c r="I65">
        <v>185</v>
      </c>
      <c r="J65">
        <v>86</v>
      </c>
      <c r="K65">
        <v>1</v>
      </c>
      <c r="L65">
        <f t="shared" si="0"/>
        <v>-1</v>
      </c>
      <c r="M65">
        <f t="shared" si="1"/>
        <v>38</v>
      </c>
      <c r="N65">
        <f t="shared" si="2"/>
        <v>51</v>
      </c>
      <c r="O65">
        <f t="shared" si="3"/>
        <v>-13</v>
      </c>
      <c r="P65">
        <f t="shared" si="4"/>
        <v>2</v>
      </c>
      <c r="Q65" t="s">
        <v>5</v>
      </c>
    </row>
    <row r="66" spans="1:17" x14ac:dyDescent="0.35">
      <c r="A66" t="s">
        <v>11</v>
      </c>
      <c r="B66">
        <v>24</v>
      </c>
      <c r="C66">
        <v>425</v>
      </c>
      <c r="D66">
        <v>253</v>
      </c>
      <c r="E66">
        <v>172</v>
      </c>
      <c r="F66">
        <v>1</v>
      </c>
      <c r="G66">
        <v>19</v>
      </c>
      <c r="H66">
        <v>360</v>
      </c>
      <c r="I66">
        <v>219</v>
      </c>
      <c r="J66">
        <v>141</v>
      </c>
      <c r="K66">
        <v>1</v>
      </c>
      <c r="L66">
        <f t="shared" si="0"/>
        <v>5</v>
      </c>
      <c r="M66">
        <f t="shared" si="1"/>
        <v>65</v>
      </c>
      <c r="N66">
        <f t="shared" si="2"/>
        <v>34</v>
      </c>
      <c r="O66">
        <f t="shared" si="3"/>
        <v>31</v>
      </c>
      <c r="P66">
        <f t="shared" si="4"/>
        <v>0</v>
      </c>
      <c r="Q66" t="s">
        <v>5</v>
      </c>
    </row>
    <row r="67" spans="1:17" x14ac:dyDescent="0.35">
      <c r="A67" t="s">
        <v>12</v>
      </c>
      <c r="B67">
        <v>21</v>
      </c>
      <c r="C67">
        <v>343</v>
      </c>
      <c r="D67">
        <v>216</v>
      </c>
      <c r="E67">
        <v>127</v>
      </c>
      <c r="F67">
        <v>3</v>
      </c>
      <c r="G67">
        <v>22</v>
      </c>
      <c r="H67">
        <v>349</v>
      </c>
      <c r="I67">
        <v>183</v>
      </c>
      <c r="J67">
        <v>166</v>
      </c>
      <c r="K67">
        <v>1</v>
      </c>
      <c r="L67">
        <f t="shared" ref="L67:L130" si="5">B67-G67</f>
        <v>-1</v>
      </c>
      <c r="M67">
        <f t="shared" ref="M67:M130" si="6">C67-H67</f>
        <v>-6</v>
      </c>
      <c r="N67">
        <f t="shared" ref="N67:N130" si="7">D67-I67</f>
        <v>33</v>
      </c>
      <c r="O67">
        <f t="shared" ref="O67:O130" si="8">E67-J67</f>
        <v>-39</v>
      </c>
      <c r="P67">
        <f t="shared" ref="P67:P129" si="9">F67-K67</f>
        <v>2</v>
      </c>
      <c r="Q67" t="s">
        <v>5</v>
      </c>
    </row>
    <row r="68" spans="1:17" x14ac:dyDescent="0.35">
      <c r="A68" t="s">
        <v>12</v>
      </c>
      <c r="B68">
        <v>20</v>
      </c>
      <c r="C68">
        <v>352</v>
      </c>
      <c r="D68">
        <v>313</v>
      </c>
      <c r="E68">
        <v>39</v>
      </c>
      <c r="F68">
        <v>1</v>
      </c>
      <c r="G68">
        <v>16</v>
      </c>
      <c r="H68">
        <v>289</v>
      </c>
      <c r="I68">
        <v>189</v>
      </c>
      <c r="J68">
        <v>100</v>
      </c>
      <c r="K68">
        <v>0</v>
      </c>
      <c r="L68">
        <f t="shared" si="5"/>
        <v>4</v>
      </c>
      <c r="M68">
        <f t="shared" si="6"/>
        <v>63</v>
      </c>
      <c r="N68">
        <f t="shared" si="7"/>
        <v>124</v>
      </c>
      <c r="O68">
        <f t="shared" si="8"/>
        <v>-61</v>
      </c>
      <c r="P68">
        <f t="shared" si="9"/>
        <v>1</v>
      </c>
      <c r="Q68" t="s">
        <v>5</v>
      </c>
    </row>
    <row r="69" spans="1:17" x14ac:dyDescent="0.35">
      <c r="A69" t="s">
        <v>11</v>
      </c>
      <c r="B69">
        <v>21</v>
      </c>
      <c r="C69">
        <v>413</v>
      </c>
      <c r="D69">
        <v>240</v>
      </c>
      <c r="E69">
        <v>173</v>
      </c>
      <c r="F69">
        <v>1</v>
      </c>
      <c r="G69">
        <v>21</v>
      </c>
      <c r="H69">
        <v>248</v>
      </c>
      <c r="I69">
        <v>127</v>
      </c>
      <c r="J69">
        <v>121</v>
      </c>
      <c r="K69">
        <v>2</v>
      </c>
      <c r="L69">
        <f t="shared" si="5"/>
        <v>0</v>
      </c>
      <c r="M69">
        <f t="shared" si="6"/>
        <v>165</v>
      </c>
      <c r="N69">
        <f t="shared" si="7"/>
        <v>113</v>
      </c>
      <c r="O69">
        <f t="shared" si="8"/>
        <v>52</v>
      </c>
      <c r="P69">
        <f t="shared" si="9"/>
        <v>-1</v>
      </c>
      <c r="Q69" t="s">
        <v>7</v>
      </c>
    </row>
    <row r="70" spans="1:17" x14ac:dyDescent="0.35">
      <c r="A70" t="s">
        <v>11</v>
      </c>
      <c r="B70">
        <v>19</v>
      </c>
      <c r="C70">
        <v>297</v>
      </c>
      <c r="D70">
        <v>203</v>
      </c>
      <c r="E70">
        <v>94</v>
      </c>
      <c r="F70">
        <v>3</v>
      </c>
      <c r="G70">
        <v>18</v>
      </c>
      <c r="H70">
        <v>264</v>
      </c>
      <c r="I70">
        <v>128</v>
      </c>
      <c r="J70">
        <v>136</v>
      </c>
      <c r="K70">
        <v>2</v>
      </c>
      <c r="L70">
        <f t="shared" si="5"/>
        <v>1</v>
      </c>
      <c r="M70">
        <f t="shared" si="6"/>
        <v>33</v>
      </c>
      <c r="N70">
        <f t="shared" si="7"/>
        <v>75</v>
      </c>
      <c r="O70">
        <f t="shared" si="8"/>
        <v>-42</v>
      </c>
      <c r="P70">
        <f t="shared" si="9"/>
        <v>1</v>
      </c>
      <c r="Q70" t="s">
        <v>7</v>
      </c>
    </row>
    <row r="71" spans="1:17" x14ac:dyDescent="0.35">
      <c r="A71" t="s">
        <v>12</v>
      </c>
      <c r="B71">
        <v>22</v>
      </c>
      <c r="C71">
        <v>445</v>
      </c>
      <c r="D71">
        <v>160</v>
      </c>
      <c r="E71">
        <v>285</v>
      </c>
      <c r="F71">
        <v>0</v>
      </c>
      <c r="G71">
        <v>28</v>
      </c>
      <c r="H71">
        <v>507</v>
      </c>
      <c r="I71">
        <v>358</v>
      </c>
      <c r="J71">
        <v>149</v>
      </c>
      <c r="K71">
        <v>3</v>
      </c>
      <c r="L71">
        <f t="shared" si="5"/>
        <v>-6</v>
      </c>
      <c r="M71">
        <f t="shared" si="6"/>
        <v>-62</v>
      </c>
      <c r="N71">
        <f t="shared" si="7"/>
        <v>-198</v>
      </c>
      <c r="O71">
        <f t="shared" si="8"/>
        <v>136</v>
      </c>
      <c r="P71">
        <f t="shared" si="9"/>
        <v>-3</v>
      </c>
      <c r="Q71" t="s">
        <v>7</v>
      </c>
    </row>
    <row r="72" spans="1:17" x14ac:dyDescent="0.35">
      <c r="A72" t="s">
        <v>11</v>
      </c>
      <c r="B72">
        <v>17</v>
      </c>
      <c r="C72">
        <v>268</v>
      </c>
      <c r="D72">
        <v>209</v>
      </c>
      <c r="E72">
        <v>59</v>
      </c>
      <c r="F72">
        <v>1</v>
      </c>
      <c r="G72">
        <v>23</v>
      </c>
      <c r="H72">
        <v>407</v>
      </c>
      <c r="I72">
        <v>365</v>
      </c>
      <c r="J72">
        <v>42</v>
      </c>
      <c r="K72">
        <v>7</v>
      </c>
      <c r="L72">
        <f t="shared" si="5"/>
        <v>-6</v>
      </c>
      <c r="M72">
        <f t="shared" si="6"/>
        <v>-139</v>
      </c>
      <c r="N72">
        <f t="shared" si="7"/>
        <v>-156</v>
      </c>
      <c r="O72">
        <f t="shared" si="8"/>
        <v>17</v>
      </c>
      <c r="P72">
        <f t="shared" si="9"/>
        <v>-6</v>
      </c>
      <c r="Q72" t="s">
        <v>7</v>
      </c>
    </row>
    <row r="73" spans="1:17" x14ac:dyDescent="0.35">
      <c r="A73" t="s">
        <v>11</v>
      </c>
      <c r="B73">
        <v>12</v>
      </c>
      <c r="C73">
        <v>230</v>
      </c>
      <c r="D73">
        <v>100</v>
      </c>
      <c r="E73">
        <v>130</v>
      </c>
      <c r="F73">
        <v>3</v>
      </c>
      <c r="G73">
        <v>24</v>
      </c>
      <c r="H73">
        <v>388</v>
      </c>
      <c r="I73">
        <v>156</v>
      </c>
      <c r="J73">
        <v>232</v>
      </c>
      <c r="K73">
        <v>1</v>
      </c>
      <c r="L73">
        <f t="shared" si="5"/>
        <v>-12</v>
      </c>
      <c r="M73">
        <f t="shared" si="6"/>
        <v>-158</v>
      </c>
      <c r="N73">
        <f t="shared" si="7"/>
        <v>-56</v>
      </c>
      <c r="O73">
        <f t="shared" si="8"/>
        <v>-102</v>
      </c>
      <c r="P73">
        <f t="shared" si="9"/>
        <v>2</v>
      </c>
      <c r="Q73" t="s">
        <v>5</v>
      </c>
    </row>
    <row r="74" spans="1:17" x14ac:dyDescent="0.35">
      <c r="A74" t="s">
        <v>12</v>
      </c>
      <c r="B74">
        <v>22</v>
      </c>
      <c r="C74">
        <v>370</v>
      </c>
      <c r="D74">
        <v>214</v>
      </c>
      <c r="E74">
        <v>156</v>
      </c>
      <c r="F74">
        <v>1</v>
      </c>
      <c r="G74">
        <v>24</v>
      </c>
      <c r="H74">
        <v>431</v>
      </c>
      <c r="I74">
        <v>310</v>
      </c>
      <c r="J74">
        <v>121</v>
      </c>
      <c r="K74">
        <v>3</v>
      </c>
      <c r="L74">
        <f t="shared" si="5"/>
        <v>-2</v>
      </c>
      <c r="M74">
        <f t="shared" si="6"/>
        <v>-61</v>
      </c>
      <c r="N74">
        <f t="shared" si="7"/>
        <v>-96</v>
      </c>
      <c r="O74">
        <f t="shared" si="8"/>
        <v>35</v>
      </c>
      <c r="P74">
        <f t="shared" si="9"/>
        <v>-2</v>
      </c>
      <c r="Q74" t="s">
        <v>7</v>
      </c>
    </row>
    <row r="75" spans="1:17" x14ac:dyDescent="0.35">
      <c r="A75" t="s">
        <v>11</v>
      </c>
      <c r="B75">
        <v>26</v>
      </c>
      <c r="C75">
        <v>401</v>
      </c>
      <c r="D75">
        <v>281</v>
      </c>
      <c r="E75">
        <v>120</v>
      </c>
      <c r="F75">
        <v>2</v>
      </c>
      <c r="G75">
        <v>23</v>
      </c>
      <c r="H75">
        <v>388</v>
      </c>
      <c r="I75">
        <v>225</v>
      </c>
      <c r="J75">
        <v>163</v>
      </c>
      <c r="K75">
        <v>0</v>
      </c>
      <c r="L75">
        <f t="shared" si="5"/>
        <v>3</v>
      </c>
      <c r="M75">
        <f t="shared" si="6"/>
        <v>13</v>
      </c>
      <c r="N75">
        <f t="shared" si="7"/>
        <v>56</v>
      </c>
      <c r="O75">
        <f t="shared" si="8"/>
        <v>-43</v>
      </c>
      <c r="P75">
        <f t="shared" si="9"/>
        <v>2</v>
      </c>
      <c r="Q75" t="s">
        <v>5</v>
      </c>
    </row>
    <row r="76" spans="1:17" x14ac:dyDescent="0.35">
      <c r="A76" t="s">
        <v>12</v>
      </c>
      <c r="B76">
        <v>17</v>
      </c>
      <c r="C76">
        <v>347</v>
      </c>
      <c r="D76">
        <v>270</v>
      </c>
      <c r="E76">
        <v>77</v>
      </c>
      <c r="F76">
        <v>4</v>
      </c>
      <c r="G76">
        <v>20</v>
      </c>
      <c r="H76">
        <v>349</v>
      </c>
      <c r="I76">
        <v>295</v>
      </c>
      <c r="J76">
        <v>54</v>
      </c>
      <c r="K76">
        <v>0</v>
      </c>
      <c r="L76">
        <f t="shared" si="5"/>
        <v>-3</v>
      </c>
      <c r="M76">
        <f t="shared" si="6"/>
        <v>-2</v>
      </c>
      <c r="N76">
        <f t="shared" si="7"/>
        <v>-25</v>
      </c>
      <c r="O76">
        <f t="shared" si="8"/>
        <v>23</v>
      </c>
      <c r="P76">
        <f t="shared" si="9"/>
        <v>4</v>
      </c>
      <c r="Q76" t="s">
        <v>5</v>
      </c>
    </row>
    <row r="77" spans="1:17" x14ac:dyDescent="0.35">
      <c r="A77" t="s">
        <v>11</v>
      </c>
      <c r="B77">
        <v>26</v>
      </c>
      <c r="C77">
        <v>351</v>
      </c>
      <c r="D77">
        <v>230</v>
      </c>
      <c r="E77">
        <v>121</v>
      </c>
      <c r="F77">
        <v>1</v>
      </c>
      <c r="G77">
        <v>23</v>
      </c>
      <c r="H77">
        <v>418</v>
      </c>
      <c r="I77">
        <v>300</v>
      </c>
      <c r="J77">
        <v>118</v>
      </c>
      <c r="K77">
        <v>1</v>
      </c>
      <c r="L77">
        <f t="shared" si="5"/>
        <v>3</v>
      </c>
      <c r="M77">
        <f t="shared" si="6"/>
        <v>-67</v>
      </c>
      <c r="N77">
        <f t="shared" si="7"/>
        <v>-70</v>
      </c>
      <c r="O77">
        <f t="shared" si="8"/>
        <v>3</v>
      </c>
      <c r="P77">
        <f t="shared" si="9"/>
        <v>0</v>
      </c>
      <c r="Q77" t="s">
        <v>5</v>
      </c>
    </row>
    <row r="78" spans="1:17" x14ac:dyDescent="0.35">
      <c r="A78" t="s">
        <v>12</v>
      </c>
      <c r="B78">
        <v>22</v>
      </c>
      <c r="C78">
        <v>278</v>
      </c>
      <c r="D78">
        <v>213</v>
      </c>
      <c r="E78">
        <v>65</v>
      </c>
      <c r="F78">
        <v>2</v>
      </c>
      <c r="G78">
        <v>20</v>
      </c>
      <c r="H78">
        <v>362</v>
      </c>
      <c r="I78">
        <v>114</v>
      </c>
      <c r="J78">
        <v>248</v>
      </c>
      <c r="K78">
        <v>0</v>
      </c>
      <c r="L78">
        <f t="shared" si="5"/>
        <v>2</v>
      </c>
      <c r="M78">
        <f t="shared" si="6"/>
        <v>-84</v>
      </c>
      <c r="N78">
        <f t="shared" si="7"/>
        <v>99</v>
      </c>
      <c r="O78">
        <f t="shared" si="8"/>
        <v>-183</v>
      </c>
      <c r="P78">
        <f t="shared" si="9"/>
        <v>2</v>
      </c>
      <c r="Q78" t="s">
        <v>5</v>
      </c>
    </row>
    <row r="79" spans="1:17" x14ac:dyDescent="0.35">
      <c r="A79" t="s">
        <v>11</v>
      </c>
      <c r="B79">
        <v>27</v>
      </c>
      <c r="C79">
        <v>345</v>
      </c>
      <c r="D79">
        <v>245</v>
      </c>
      <c r="E79">
        <v>100</v>
      </c>
      <c r="F79">
        <v>4</v>
      </c>
      <c r="G79">
        <v>22</v>
      </c>
      <c r="H79">
        <v>461</v>
      </c>
      <c r="I79">
        <v>302</v>
      </c>
      <c r="J79">
        <v>159</v>
      </c>
      <c r="K79">
        <v>0</v>
      </c>
      <c r="L79">
        <f t="shared" si="5"/>
        <v>5</v>
      </c>
      <c r="M79">
        <f t="shared" si="6"/>
        <v>-116</v>
      </c>
      <c r="N79">
        <f t="shared" si="7"/>
        <v>-57</v>
      </c>
      <c r="O79">
        <f t="shared" si="8"/>
        <v>-59</v>
      </c>
      <c r="P79">
        <f t="shared" si="9"/>
        <v>4</v>
      </c>
      <c r="Q79" t="s">
        <v>5</v>
      </c>
    </row>
    <row r="80" spans="1:17" x14ac:dyDescent="0.35">
      <c r="A80" t="s">
        <v>12</v>
      </c>
      <c r="B80">
        <v>28</v>
      </c>
      <c r="C80">
        <v>414</v>
      </c>
      <c r="D80">
        <v>269</v>
      </c>
      <c r="E80">
        <v>145</v>
      </c>
      <c r="F80">
        <v>3</v>
      </c>
      <c r="G80">
        <v>21</v>
      </c>
      <c r="H80">
        <v>428</v>
      </c>
      <c r="I80">
        <v>274</v>
      </c>
      <c r="J80">
        <v>154</v>
      </c>
      <c r="K80">
        <v>1</v>
      </c>
      <c r="L80">
        <f t="shared" si="5"/>
        <v>7</v>
      </c>
      <c r="M80">
        <f t="shared" si="6"/>
        <v>-14</v>
      </c>
      <c r="N80">
        <f t="shared" si="7"/>
        <v>-5</v>
      </c>
      <c r="O80">
        <f t="shared" si="8"/>
        <v>-9</v>
      </c>
      <c r="P80">
        <f t="shared" si="9"/>
        <v>2</v>
      </c>
      <c r="Q80" t="s">
        <v>5</v>
      </c>
    </row>
    <row r="81" spans="1:17" x14ac:dyDescent="0.35">
      <c r="A81" t="s">
        <v>11</v>
      </c>
      <c r="B81">
        <v>19</v>
      </c>
      <c r="C81">
        <v>286</v>
      </c>
      <c r="D81">
        <v>199</v>
      </c>
      <c r="E81">
        <v>87</v>
      </c>
      <c r="F81">
        <v>3</v>
      </c>
      <c r="G81">
        <v>25</v>
      </c>
      <c r="H81">
        <v>324</v>
      </c>
      <c r="I81">
        <v>106</v>
      </c>
      <c r="J81">
        <v>218</v>
      </c>
      <c r="K81">
        <v>0</v>
      </c>
      <c r="L81">
        <f t="shared" si="5"/>
        <v>-6</v>
      </c>
      <c r="M81">
        <f t="shared" si="6"/>
        <v>-38</v>
      </c>
      <c r="N81">
        <f t="shared" si="7"/>
        <v>93</v>
      </c>
      <c r="O81">
        <f t="shared" si="8"/>
        <v>-131</v>
      </c>
      <c r="P81">
        <f t="shared" si="9"/>
        <v>3</v>
      </c>
      <c r="Q81" t="s">
        <v>5</v>
      </c>
    </row>
    <row r="82" spans="1:17" x14ac:dyDescent="0.35">
      <c r="A82" t="s">
        <v>12</v>
      </c>
      <c r="B82">
        <v>16</v>
      </c>
      <c r="C82">
        <v>329</v>
      </c>
      <c r="D82">
        <v>288</v>
      </c>
      <c r="E82">
        <v>41</v>
      </c>
      <c r="F82">
        <v>3</v>
      </c>
      <c r="G82">
        <v>25</v>
      </c>
      <c r="H82">
        <v>379</v>
      </c>
      <c r="I82">
        <v>264</v>
      </c>
      <c r="J82">
        <v>115</v>
      </c>
      <c r="K82">
        <v>0</v>
      </c>
      <c r="L82">
        <f t="shared" si="5"/>
        <v>-9</v>
      </c>
      <c r="M82">
        <f t="shared" si="6"/>
        <v>-50</v>
      </c>
      <c r="N82">
        <f t="shared" si="7"/>
        <v>24</v>
      </c>
      <c r="O82">
        <f t="shared" si="8"/>
        <v>-74</v>
      </c>
      <c r="P82">
        <f t="shared" si="9"/>
        <v>3</v>
      </c>
      <c r="Q82" t="s">
        <v>5</v>
      </c>
    </row>
    <row r="83" spans="1:17" x14ac:dyDescent="0.35">
      <c r="A83" t="s">
        <v>12</v>
      </c>
      <c r="B83">
        <v>16</v>
      </c>
      <c r="C83">
        <v>254</v>
      </c>
      <c r="D83">
        <v>208</v>
      </c>
      <c r="E83">
        <v>46</v>
      </c>
      <c r="F83">
        <v>1</v>
      </c>
      <c r="G83">
        <v>13</v>
      </c>
      <c r="H83">
        <v>213</v>
      </c>
      <c r="I83">
        <v>166</v>
      </c>
      <c r="J83">
        <v>47</v>
      </c>
      <c r="K83">
        <v>0</v>
      </c>
      <c r="L83">
        <f t="shared" si="5"/>
        <v>3</v>
      </c>
      <c r="M83">
        <f t="shared" si="6"/>
        <v>41</v>
      </c>
      <c r="N83">
        <f t="shared" si="7"/>
        <v>42</v>
      </c>
      <c r="O83">
        <f t="shared" si="8"/>
        <v>-1</v>
      </c>
      <c r="P83">
        <f t="shared" si="9"/>
        <v>1</v>
      </c>
      <c r="Q83" t="s">
        <v>5</v>
      </c>
    </row>
    <row r="84" spans="1:17" x14ac:dyDescent="0.35">
      <c r="A84" t="s">
        <v>11</v>
      </c>
      <c r="B84">
        <v>18</v>
      </c>
      <c r="C84">
        <v>273</v>
      </c>
      <c r="D84">
        <v>120</v>
      </c>
      <c r="E84">
        <v>153</v>
      </c>
      <c r="F84">
        <v>0</v>
      </c>
      <c r="G84">
        <v>27</v>
      </c>
      <c r="H84">
        <v>372</v>
      </c>
      <c r="I84">
        <v>282</v>
      </c>
      <c r="J84">
        <v>90</v>
      </c>
      <c r="K84">
        <v>1</v>
      </c>
      <c r="L84">
        <f t="shared" si="5"/>
        <v>-9</v>
      </c>
      <c r="M84">
        <f t="shared" si="6"/>
        <v>-99</v>
      </c>
      <c r="N84">
        <f t="shared" si="7"/>
        <v>-162</v>
      </c>
      <c r="O84">
        <f t="shared" si="8"/>
        <v>63</v>
      </c>
      <c r="P84">
        <f t="shared" si="9"/>
        <v>-1</v>
      </c>
      <c r="Q84" t="s">
        <v>7</v>
      </c>
    </row>
    <row r="85" spans="1:17" x14ac:dyDescent="0.35">
      <c r="A85" t="s">
        <v>11</v>
      </c>
      <c r="B85">
        <v>21</v>
      </c>
      <c r="C85">
        <v>298</v>
      </c>
      <c r="D85">
        <v>208</v>
      </c>
      <c r="E85">
        <v>90</v>
      </c>
      <c r="F85">
        <v>1</v>
      </c>
      <c r="G85">
        <v>25</v>
      </c>
      <c r="H85">
        <v>356</v>
      </c>
      <c r="I85">
        <v>287</v>
      </c>
      <c r="J85">
        <v>69</v>
      </c>
      <c r="K85">
        <v>5</v>
      </c>
      <c r="L85">
        <f t="shared" si="5"/>
        <v>-4</v>
      </c>
      <c r="M85">
        <f t="shared" si="6"/>
        <v>-58</v>
      </c>
      <c r="N85">
        <f t="shared" si="7"/>
        <v>-79</v>
      </c>
      <c r="O85">
        <f t="shared" si="8"/>
        <v>21</v>
      </c>
      <c r="P85">
        <f t="shared" si="9"/>
        <v>-4</v>
      </c>
      <c r="Q85" t="s">
        <v>7</v>
      </c>
    </row>
    <row r="86" spans="1:17" x14ac:dyDescent="0.35">
      <c r="A86" t="s">
        <v>12</v>
      </c>
      <c r="B86">
        <v>17</v>
      </c>
      <c r="C86">
        <v>269</v>
      </c>
      <c r="D86">
        <v>197</v>
      </c>
      <c r="E86">
        <v>72</v>
      </c>
      <c r="F86">
        <v>0</v>
      </c>
      <c r="G86">
        <v>15</v>
      </c>
      <c r="H86">
        <v>222</v>
      </c>
      <c r="I86">
        <v>182</v>
      </c>
      <c r="J86">
        <v>40</v>
      </c>
      <c r="K86">
        <v>2</v>
      </c>
      <c r="L86">
        <f t="shared" si="5"/>
        <v>2</v>
      </c>
      <c r="M86">
        <f t="shared" si="6"/>
        <v>47</v>
      </c>
      <c r="N86">
        <f t="shared" si="7"/>
        <v>15</v>
      </c>
      <c r="O86">
        <f t="shared" si="8"/>
        <v>32</v>
      </c>
      <c r="P86">
        <f t="shared" si="9"/>
        <v>-2</v>
      </c>
      <c r="Q86" t="s">
        <v>7</v>
      </c>
    </row>
    <row r="87" spans="1:17" x14ac:dyDescent="0.35">
      <c r="A87" t="s">
        <v>11</v>
      </c>
      <c r="B87">
        <v>15</v>
      </c>
      <c r="C87">
        <v>236</v>
      </c>
      <c r="D87">
        <v>194</v>
      </c>
      <c r="E87">
        <v>42</v>
      </c>
      <c r="F87">
        <v>2</v>
      </c>
      <c r="G87">
        <v>25</v>
      </c>
      <c r="H87">
        <v>398</v>
      </c>
      <c r="I87">
        <v>229</v>
      </c>
      <c r="J87">
        <v>169</v>
      </c>
      <c r="K87">
        <v>2</v>
      </c>
      <c r="L87">
        <f t="shared" si="5"/>
        <v>-10</v>
      </c>
      <c r="M87">
        <f t="shared" si="6"/>
        <v>-162</v>
      </c>
      <c r="N87">
        <f t="shared" si="7"/>
        <v>-35</v>
      </c>
      <c r="O87">
        <f t="shared" si="8"/>
        <v>-127</v>
      </c>
      <c r="P87">
        <f t="shared" si="9"/>
        <v>0</v>
      </c>
      <c r="Q87" t="s">
        <v>5</v>
      </c>
    </row>
    <row r="88" spans="1:17" x14ac:dyDescent="0.35">
      <c r="A88" t="s">
        <v>12</v>
      </c>
      <c r="B88">
        <v>16</v>
      </c>
      <c r="C88">
        <v>252</v>
      </c>
      <c r="D88">
        <v>235</v>
      </c>
      <c r="E88">
        <v>17</v>
      </c>
      <c r="F88">
        <v>2</v>
      </c>
      <c r="G88">
        <v>24</v>
      </c>
      <c r="H88">
        <v>424</v>
      </c>
      <c r="I88">
        <v>273</v>
      </c>
      <c r="J88">
        <v>151</v>
      </c>
      <c r="K88">
        <v>0</v>
      </c>
      <c r="L88">
        <f t="shared" si="5"/>
        <v>-8</v>
      </c>
      <c r="M88">
        <f t="shared" si="6"/>
        <v>-172</v>
      </c>
      <c r="N88">
        <f t="shared" si="7"/>
        <v>-38</v>
      </c>
      <c r="O88">
        <f t="shared" si="8"/>
        <v>-134</v>
      </c>
      <c r="P88">
        <f t="shared" si="9"/>
        <v>2</v>
      </c>
      <c r="Q88" t="s">
        <v>5</v>
      </c>
    </row>
    <row r="89" spans="1:17" x14ac:dyDescent="0.35">
      <c r="A89" t="s">
        <v>12</v>
      </c>
      <c r="B89">
        <v>26</v>
      </c>
      <c r="C89">
        <v>388</v>
      </c>
      <c r="D89">
        <v>226</v>
      </c>
      <c r="E89">
        <v>162</v>
      </c>
      <c r="F89">
        <v>2</v>
      </c>
      <c r="G89">
        <v>11</v>
      </c>
      <c r="H89">
        <v>231</v>
      </c>
      <c r="I89">
        <v>195</v>
      </c>
      <c r="J89">
        <v>36</v>
      </c>
      <c r="K89">
        <v>1</v>
      </c>
      <c r="L89">
        <f t="shared" si="5"/>
        <v>15</v>
      </c>
      <c r="M89">
        <f t="shared" si="6"/>
        <v>157</v>
      </c>
      <c r="N89">
        <f t="shared" si="7"/>
        <v>31</v>
      </c>
      <c r="O89">
        <f t="shared" si="8"/>
        <v>126</v>
      </c>
      <c r="P89">
        <f t="shared" si="9"/>
        <v>1</v>
      </c>
      <c r="Q89" t="s">
        <v>5</v>
      </c>
    </row>
    <row r="90" spans="1:17" x14ac:dyDescent="0.35">
      <c r="A90" t="s">
        <v>11</v>
      </c>
      <c r="B90">
        <v>10</v>
      </c>
      <c r="C90">
        <v>164</v>
      </c>
      <c r="D90">
        <v>102</v>
      </c>
      <c r="E90">
        <v>62</v>
      </c>
      <c r="F90">
        <v>1</v>
      </c>
      <c r="G90">
        <v>26</v>
      </c>
      <c r="H90">
        <v>373</v>
      </c>
      <c r="I90">
        <v>227</v>
      </c>
      <c r="J90">
        <v>146</v>
      </c>
      <c r="K90">
        <v>0</v>
      </c>
      <c r="L90">
        <f t="shared" si="5"/>
        <v>-16</v>
      </c>
      <c r="M90">
        <f t="shared" si="6"/>
        <v>-209</v>
      </c>
      <c r="N90">
        <f t="shared" si="7"/>
        <v>-125</v>
      </c>
      <c r="O90">
        <f t="shared" si="8"/>
        <v>-84</v>
      </c>
      <c r="P90">
        <f t="shared" si="9"/>
        <v>1</v>
      </c>
      <c r="Q90" t="s">
        <v>5</v>
      </c>
    </row>
    <row r="91" spans="1:17" x14ac:dyDescent="0.35">
      <c r="A91" t="s">
        <v>12</v>
      </c>
      <c r="B91">
        <v>13</v>
      </c>
      <c r="C91">
        <v>226</v>
      </c>
      <c r="D91">
        <v>145</v>
      </c>
      <c r="E91">
        <v>81</v>
      </c>
      <c r="F91">
        <v>0</v>
      </c>
      <c r="G91">
        <v>21</v>
      </c>
      <c r="H91">
        <v>357</v>
      </c>
      <c r="I91">
        <v>259</v>
      </c>
      <c r="J91">
        <v>98</v>
      </c>
      <c r="K91">
        <v>1</v>
      </c>
      <c r="L91">
        <f t="shared" si="5"/>
        <v>-8</v>
      </c>
      <c r="M91">
        <f t="shared" si="6"/>
        <v>-131</v>
      </c>
      <c r="N91">
        <f t="shared" si="7"/>
        <v>-114</v>
      </c>
      <c r="O91">
        <f t="shared" si="8"/>
        <v>-17</v>
      </c>
      <c r="P91">
        <f t="shared" si="9"/>
        <v>-1</v>
      </c>
      <c r="Q91" t="s">
        <v>7</v>
      </c>
    </row>
    <row r="92" spans="1:17" x14ac:dyDescent="0.35">
      <c r="A92" t="s">
        <v>11</v>
      </c>
      <c r="B92">
        <v>17</v>
      </c>
      <c r="C92">
        <v>267</v>
      </c>
      <c r="D92">
        <v>193</v>
      </c>
      <c r="E92">
        <v>74</v>
      </c>
      <c r="F92">
        <v>1</v>
      </c>
      <c r="G92">
        <v>13</v>
      </c>
      <c r="H92">
        <v>283</v>
      </c>
      <c r="I92">
        <v>173</v>
      </c>
      <c r="J92">
        <v>110</v>
      </c>
      <c r="K92">
        <v>2</v>
      </c>
      <c r="L92">
        <f t="shared" si="5"/>
        <v>4</v>
      </c>
      <c r="M92">
        <f t="shared" si="6"/>
        <v>-16</v>
      </c>
      <c r="N92">
        <f t="shared" si="7"/>
        <v>20</v>
      </c>
      <c r="O92">
        <f t="shared" si="8"/>
        <v>-36</v>
      </c>
      <c r="P92">
        <f t="shared" si="9"/>
        <v>-1</v>
      </c>
      <c r="Q92" t="s">
        <v>5</v>
      </c>
    </row>
    <row r="93" spans="1:17" x14ac:dyDescent="0.35">
      <c r="A93" t="s">
        <v>12</v>
      </c>
      <c r="B93">
        <v>20</v>
      </c>
      <c r="C93">
        <v>335</v>
      </c>
      <c r="D93">
        <v>270</v>
      </c>
      <c r="E93">
        <v>65</v>
      </c>
      <c r="F93">
        <v>2</v>
      </c>
      <c r="G93">
        <v>14</v>
      </c>
      <c r="H93">
        <v>243</v>
      </c>
      <c r="I93">
        <v>134</v>
      </c>
      <c r="J93">
        <v>109</v>
      </c>
      <c r="K93">
        <v>1</v>
      </c>
      <c r="L93">
        <f t="shared" si="5"/>
        <v>6</v>
      </c>
      <c r="M93">
        <f t="shared" si="6"/>
        <v>92</v>
      </c>
      <c r="N93">
        <f t="shared" si="7"/>
        <v>136</v>
      </c>
      <c r="O93">
        <f t="shared" si="8"/>
        <v>-44</v>
      </c>
      <c r="P93">
        <f t="shared" si="9"/>
        <v>1</v>
      </c>
      <c r="Q93" t="s">
        <v>7</v>
      </c>
    </row>
    <row r="94" spans="1:17" x14ac:dyDescent="0.35">
      <c r="A94" t="s">
        <v>11</v>
      </c>
      <c r="B94">
        <v>22</v>
      </c>
      <c r="C94">
        <v>419</v>
      </c>
      <c r="D94">
        <v>331</v>
      </c>
      <c r="E94">
        <v>88</v>
      </c>
      <c r="F94">
        <v>1</v>
      </c>
      <c r="G94">
        <v>19</v>
      </c>
      <c r="H94">
        <v>364</v>
      </c>
      <c r="I94">
        <v>259</v>
      </c>
      <c r="J94">
        <v>105</v>
      </c>
      <c r="K94">
        <v>1</v>
      </c>
      <c r="L94">
        <f t="shared" si="5"/>
        <v>3</v>
      </c>
      <c r="M94">
        <f t="shared" si="6"/>
        <v>55</v>
      </c>
      <c r="N94">
        <f t="shared" si="7"/>
        <v>72</v>
      </c>
      <c r="O94">
        <f t="shared" si="8"/>
        <v>-17</v>
      </c>
      <c r="P94">
        <f t="shared" si="9"/>
        <v>0</v>
      </c>
      <c r="Q94" t="s">
        <v>7</v>
      </c>
    </row>
    <row r="95" spans="1:17" x14ac:dyDescent="0.35">
      <c r="A95" t="s">
        <v>12</v>
      </c>
      <c r="B95">
        <v>24</v>
      </c>
      <c r="C95">
        <v>382</v>
      </c>
      <c r="D95">
        <v>231</v>
      </c>
      <c r="E95">
        <v>151</v>
      </c>
      <c r="F95">
        <v>2</v>
      </c>
      <c r="G95">
        <v>22</v>
      </c>
      <c r="H95">
        <v>408</v>
      </c>
      <c r="I95">
        <v>326</v>
      </c>
      <c r="J95">
        <v>82</v>
      </c>
      <c r="K95">
        <v>0</v>
      </c>
      <c r="L95">
        <f t="shared" si="5"/>
        <v>2</v>
      </c>
      <c r="M95">
        <f t="shared" si="6"/>
        <v>-26</v>
      </c>
      <c r="N95">
        <f t="shared" si="7"/>
        <v>-95</v>
      </c>
      <c r="O95">
        <f t="shared" si="8"/>
        <v>69</v>
      </c>
      <c r="P95">
        <f t="shared" si="9"/>
        <v>2</v>
      </c>
      <c r="Q95" t="s">
        <v>7</v>
      </c>
    </row>
    <row r="96" spans="1:17" x14ac:dyDescent="0.35">
      <c r="A96" t="s">
        <v>11</v>
      </c>
      <c r="B96">
        <v>20</v>
      </c>
      <c r="C96">
        <v>415</v>
      </c>
      <c r="D96">
        <v>319</v>
      </c>
      <c r="E96">
        <v>96</v>
      </c>
      <c r="F96">
        <v>3</v>
      </c>
      <c r="G96">
        <v>12</v>
      </c>
      <c r="H96">
        <v>292</v>
      </c>
      <c r="I96">
        <v>192</v>
      </c>
      <c r="J96">
        <v>100</v>
      </c>
      <c r="K96">
        <v>0</v>
      </c>
      <c r="L96">
        <f t="shared" si="5"/>
        <v>8</v>
      </c>
      <c r="M96">
        <f t="shared" si="6"/>
        <v>123</v>
      </c>
      <c r="N96">
        <f t="shared" si="7"/>
        <v>127</v>
      </c>
      <c r="O96">
        <f t="shared" si="8"/>
        <v>-4</v>
      </c>
      <c r="P96">
        <f t="shared" si="9"/>
        <v>3</v>
      </c>
      <c r="Q96" t="s">
        <v>5</v>
      </c>
    </row>
    <row r="97" spans="1:17" x14ac:dyDescent="0.35">
      <c r="A97" t="s">
        <v>12</v>
      </c>
      <c r="B97">
        <v>18</v>
      </c>
      <c r="C97">
        <v>234</v>
      </c>
      <c r="D97">
        <v>133</v>
      </c>
      <c r="E97">
        <v>101</v>
      </c>
      <c r="F97">
        <v>0</v>
      </c>
      <c r="G97">
        <v>25</v>
      </c>
      <c r="H97">
        <v>350</v>
      </c>
      <c r="I97">
        <v>244</v>
      </c>
      <c r="J97">
        <v>106</v>
      </c>
      <c r="K97">
        <v>0</v>
      </c>
      <c r="L97">
        <f t="shared" si="5"/>
        <v>-7</v>
      </c>
      <c r="M97">
        <f t="shared" si="6"/>
        <v>-116</v>
      </c>
      <c r="N97">
        <f t="shared" si="7"/>
        <v>-111</v>
      </c>
      <c r="O97">
        <f t="shared" si="8"/>
        <v>-5</v>
      </c>
      <c r="P97">
        <f t="shared" si="9"/>
        <v>0</v>
      </c>
      <c r="Q97" t="s">
        <v>5</v>
      </c>
    </row>
    <row r="98" spans="1:17" x14ac:dyDescent="0.35">
      <c r="A98" t="s">
        <v>11</v>
      </c>
      <c r="B98">
        <v>24</v>
      </c>
      <c r="C98">
        <v>337</v>
      </c>
      <c r="D98">
        <v>179</v>
      </c>
      <c r="E98">
        <v>158</v>
      </c>
      <c r="F98">
        <v>1</v>
      </c>
      <c r="G98">
        <v>14</v>
      </c>
      <c r="H98">
        <v>300</v>
      </c>
      <c r="I98">
        <v>126</v>
      </c>
      <c r="J98">
        <v>174</v>
      </c>
      <c r="K98">
        <v>3</v>
      </c>
      <c r="L98">
        <f t="shared" si="5"/>
        <v>10</v>
      </c>
      <c r="M98">
        <f t="shared" si="6"/>
        <v>37</v>
      </c>
      <c r="N98">
        <f t="shared" si="7"/>
        <v>53</v>
      </c>
      <c r="O98">
        <f t="shared" si="8"/>
        <v>-16</v>
      </c>
      <c r="P98">
        <f t="shared" si="9"/>
        <v>-2</v>
      </c>
      <c r="Q98" t="s">
        <v>7</v>
      </c>
    </row>
    <row r="99" spans="1:17" x14ac:dyDescent="0.35">
      <c r="A99" t="s">
        <v>11</v>
      </c>
      <c r="B99">
        <v>22</v>
      </c>
      <c r="C99">
        <v>429</v>
      </c>
      <c r="D99">
        <v>395</v>
      </c>
      <c r="E99">
        <v>34</v>
      </c>
      <c r="F99">
        <v>3</v>
      </c>
      <c r="G99">
        <v>12</v>
      </c>
      <c r="H99">
        <v>232</v>
      </c>
      <c r="I99">
        <v>160</v>
      </c>
      <c r="J99">
        <v>72</v>
      </c>
      <c r="K99">
        <v>1</v>
      </c>
      <c r="L99">
        <f t="shared" si="5"/>
        <v>10</v>
      </c>
      <c r="M99">
        <f t="shared" si="6"/>
        <v>197</v>
      </c>
      <c r="N99">
        <f t="shared" si="7"/>
        <v>235</v>
      </c>
      <c r="O99">
        <f t="shared" si="8"/>
        <v>-38</v>
      </c>
      <c r="P99">
        <f t="shared" si="9"/>
        <v>2</v>
      </c>
      <c r="Q99" t="s">
        <v>5</v>
      </c>
    </row>
    <row r="100" spans="1:17" x14ac:dyDescent="0.35">
      <c r="A100" t="s">
        <v>12</v>
      </c>
      <c r="B100">
        <v>14</v>
      </c>
      <c r="C100">
        <v>316</v>
      </c>
      <c r="D100">
        <v>291</v>
      </c>
      <c r="E100">
        <v>25</v>
      </c>
      <c r="F100">
        <v>1</v>
      </c>
      <c r="G100">
        <v>27</v>
      </c>
      <c r="H100">
        <v>571</v>
      </c>
      <c r="I100">
        <v>312</v>
      </c>
      <c r="J100">
        <v>259</v>
      </c>
      <c r="K100">
        <v>1</v>
      </c>
      <c r="L100">
        <f t="shared" si="5"/>
        <v>-13</v>
      </c>
      <c r="M100">
        <f t="shared" si="6"/>
        <v>-255</v>
      </c>
      <c r="N100">
        <f t="shared" si="7"/>
        <v>-21</v>
      </c>
      <c r="O100">
        <f t="shared" si="8"/>
        <v>-234</v>
      </c>
      <c r="P100">
        <f t="shared" si="9"/>
        <v>0</v>
      </c>
      <c r="Q100" t="s">
        <v>5</v>
      </c>
    </row>
    <row r="101" spans="1:17" x14ac:dyDescent="0.35">
      <c r="A101" t="s">
        <v>11</v>
      </c>
      <c r="B101">
        <v>17</v>
      </c>
      <c r="C101">
        <v>306</v>
      </c>
      <c r="D101">
        <v>240</v>
      </c>
      <c r="E101">
        <v>66</v>
      </c>
      <c r="F101">
        <v>4</v>
      </c>
      <c r="G101">
        <v>25</v>
      </c>
      <c r="H101">
        <v>416</v>
      </c>
      <c r="I101">
        <v>241</v>
      </c>
      <c r="J101">
        <v>175</v>
      </c>
      <c r="K101">
        <v>2</v>
      </c>
      <c r="L101">
        <f t="shared" si="5"/>
        <v>-8</v>
      </c>
      <c r="M101">
        <f t="shared" si="6"/>
        <v>-110</v>
      </c>
      <c r="N101">
        <f t="shared" si="7"/>
        <v>-1</v>
      </c>
      <c r="O101">
        <f t="shared" si="8"/>
        <v>-109</v>
      </c>
      <c r="P101">
        <f t="shared" si="9"/>
        <v>2</v>
      </c>
      <c r="Q101" t="s">
        <v>5</v>
      </c>
    </row>
    <row r="102" spans="1:17" x14ac:dyDescent="0.35">
      <c r="A102" t="s">
        <v>11</v>
      </c>
      <c r="B102">
        <v>16</v>
      </c>
      <c r="C102">
        <v>175</v>
      </c>
      <c r="D102">
        <v>102</v>
      </c>
      <c r="E102">
        <v>73</v>
      </c>
      <c r="F102">
        <v>2</v>
      </c>
      <c r="G102">
        <v>20</v>
      </c>
      <c r="H102">
        <v>326</v>
      </c>
      <c r="I102">
        <v>260</v>
      </c>
      <c r="J102">
        <v>66</v>
      </c>
      <c r="K102">
        <v>1</v>
      </c>
      <c r="L102">
        <f t="shared" si="5"/>
        <v>-4</v>
      </c>
      <c r="M102">
        <f t="shared" si="6"/>
        <v>-151</v>
      </c>
      <c r="N102">
        <f t="shared" si="7"/>
        <v>-158</v>
      </c>
      <c r="O102">
        <f t="shared" si="8"/>
        <v>7</v>
      </c>
      <c r="P102">
        <f t="shared" si="9"/>
        <v>1</v>
      </c>
      <c r="Q102" t="s">
        <v>5</v>
      </c>
    </row>
    <row r="103" spans="1:17" x14ac:dyDescent="0.35">
      <c r="A103" t="s">
        <v>12</v>
      </c>
      <c r="B103">
        <v>21</v>
      </c>
      <c r="C103">
        <v>370</v>
      </c>
      <c r="D103">
        <v>262</v>
      </c>
      <c r="E103">
        <v>108</v>
      </c>
      <c r="F103">
        <v>0</v>
      </c>
      <c r="G103">
        <v>26</v>
      </c>
      <c r="H103">
        <v>514</v>
      </c>
      <c r="I103">
        <v>248</v>
      </c>
      <c r="J103">
        <v>266</v>
      </c>
      <c r="K103">
        <v>0</v>
      </c>
      <c r="L103">
        <f t="shared" si="5"/>
        <v>-5</v>
      </c>
      <c r="M103">
        <f t="shared" si="6"/>
        <v>-144</v>
      </c>
      <c r="N103">
        <f t="shared" si="7"/>
        <v>14</v>
      </c>
      <c r="O103">
        <f t="shared" si="8"/>
        <v>-158</v>
      </c>
      <c r="P103">
        <f t="shared" si="9"/>
        <v>0</v>
      </c>
      <c r="Q103" t="s">
        <v>5</v>
      </c>
    </row>
    <row r="104" spans="1:17" x14ac:dyDescent="0.35">
      <c r="A104" t="s">
        <v>11</v>
      </c>
      <c r="B104">
        <v>18</v>
      </c>
      <c r="C104">
        <v>250</v>
      </c>
      <c r="D104">
        <v>217</v>
      </c>
      <c r="E104">
        <v>33</v>
      </c>
      <c r="F104">
        <v>1</v>
      </c>
      <c r="G104">
        <v>26</v>
      </c>
      <c r="H104">
        <v>497</v>
      </c>
      <c r="I104">
        <v>228</v>
      </c>
      <c r="J104">
        <v>269</v>
      </c>
      <c r="K104">
        <v>1</v>
      </c>
      <c r="L104">
        <f t="shared" si="5"/>
        <v>-8</v>
      </c>
      <c r="M104">
        <f t="shared" si="6"/>
        <v>-247</v>
      </c>
      <c r="N104">
        <f t="shared" si="7"/>
        <v>-11</v>
      </c>
      <c r="O104">
        <f t="shared" si="8"/>
        <v>-236</v>
      </c>
      <c r="P104">
        <f t="shared" si="9"/>
        <v>0</v>
      </c>
      <c r="Q104" t="s">
        <v>5</v>
      </c>
    </row>
    <row r="105" spans="1:17" x14ac:dyDescent="0.35">
      <c r="A105" t="s">
        <v>12</v>
      </c>
      <c r="B105">
        <v>21</v>
      </c>
      <c r="C105">
        <v>291</v>
      </c>
      <c r="D105">
        <v>258</v>
      </c>
      <c r="E105">
        <v>33</v>
      </c>
      <c r="F105">
        <v>4</v>
      </c>
      <c r="G105">
        <v>22</v>
      </c>
      <c r="H105">
        <v>460</v>
      </c>
      <c r="I105">
        <v>244</v>
      </c>
      <c r="J105">
        <v>216</v>
      </c>
      <c r="K105">
        <v>0</v>
      </c>
      <c r="L105">
        <f t="shared" si="5"/>
        <v>-1</v>
      </c>
      <c r="M105">
        <f t="shared" si="6"/>
        <v>-169</v>
      </c>
      <c r="N105">
        <f t="shared" si="7"/>
        <v>14</v>
      </c>
      <c r="O105">
        <f t="shared" si="8"/>
        <v>-183</v>
      </c>
      <c r="P105">
        <f t="shared" si="9"/>
        <v>4</v>
      </c>
      <c r="Q105" t="s">
        <v>5</v>
      </c>
    </row>
    <row r="106" spans="1:17" x14ac:dyDescent="0.35">
      <c r="A106" t="s">
        <v>11</v>
      </c>
      <c r="B106">
        <v>24</v>
      </c>
      <c r="C106">
        <v>401</v>
      </c>
      <c r="D106">
        <v>297</v>
      </c>
      <c r="E106">
        <v>104</v>
      </c>
      <c r="F106">
        <v>0</v>
      </c>
      <c r="G106">
        <v>19</v>
      </c>
      <c r="H106">
        <v>470</v>
      </c>
      <c r="I106">
        <v>372</v>
      </c>
      <c r="J106">
        <v>98</v>
      </c>
      <c r="K106">
        <v>0</v>
      </c>
      <c r="L106">
        <f t="shared" si="5"/>
        <v>5</v>
      </c>
      <c r="M106">
        <f t="shared" si="6"/>
        <v>-69</v>
      </c>
      <c r="N106">
        <f t="shared" si="7"/>
        <v>-75</v>
      </c>
      <c r="O106">
        <f t="shared" si="8"/>
        <v>6</v>
      </c>
      <c r="P106">
        <f t="shared" si="9"/>
        <v>0</v>
      </c>
      <c r="Q106" t="s">
        <v>5</v>
      </c>
    </row>
    <row r="107" spans="1:17" x14ac:dyDescent="0.35">
      <c r="A107" t="s">
        <v>12</v>
      </c>
      <c r="B107">
        <v>21</v>
      </c>
      <c r="C107">
        <v>307</v>
      </c>
      <c r="D107">
        <v>150</v>
      </c>
      <c r="E107">
        <v>157</v>
      </c>
      <c r="F107">
        <v>3</v>
      </c>
      <c r="G107">
        <v>20</v>
      </c>
      <c r="H107">
        <v>379</v>
      </c>
      <c r="I107">
        <v>243</v>
      </c>
      <c r="J107">
        <v>136</v>
      </c>
      <c r="K107">
        <v>1</v>
      </c>
      <c r="L107">
        <f t="shared" si="5"/>
        <v>1</v>
      </c>
      <c r="M107">
        <f t="shared" si="6"/>
        <v>-72</v>
      </c>
      <c r="N107">
        <f t="shared" si="7"/>
        <v>-93</v>
      </c>
      <c r="O107">
        <f t="shared" si="8"/>
        <v>21</v>
      </c>
      <c r="P107">
        <f t="shared" si="9"/>
        <v>2</v>
      </c>
      <c r="Q107" t="s">
        <v>5</v>
      </c>
    </row>
    <row r="108" spans="1:17" x14ac:dyDescent="0.35">
      <c r="A108" t="s">
        <v>11</v>
      </c>
      <c r="B108">
        <v>16</v>
      </c>
      <c r="C108">
        <v>246</v>
      </c>
      <c r="D108">
        <v>73</v>
      </c>
      <c r="E108">
        <v>173</v>
      </c>
      <c r="F108">
        <v>2</v>
      </c>
      <c r="G108">
        <v>20</v>
      </c>
      <c r="H108">
        <v>386</v>
      </c>
      <c r="I108">
        <v>273</v>
      </c>
      <c r="J108">
        <v>113</v>
      </c>
      <c r="K108">
        <v>2</v>
      </c>
      <c r="L108">
        <f t="shared" si="5"/>
        <v>-4</v>
      </c>
      <c r="M108">
        <f t="shared" si="6"/>
        <v>-140</v>
      </c>
      <c r="N108">
        <f t="shared" si="7"/>
        <v>-200</v>
      </c>
      <c r="O108">
        <f t="shared" si="8"/>
        <v>60</v>
      </c>
      <c r="P108">
        <f t="shared" si="9"/>
        <v>0</v>
      </c>
      <c r="Q108" t="s">
        <v>5</v>
      </c>
    </row>
    <row r="109" spans="1:17" x14ac:dyDescent="0.35">
      <c r="A109" t="s">
        <v>12</v>
      </c>
      <c r="B109">
        <v>11</v>
      </c>
      <c r="C109">
        <v>244</v>
      </c>
      <c r="D109">
        <v>158</v>
      </c>
      <c r="E109">
        <v>86</v>
      </c>
      <c r="F109">
        <v>2</v>
      </c>
      <c r="G109">
        <v>16</v>
      </c>
      <c r="H109">
        <v>338</v>
      </c>
      <c r="I109">
        <v>179</v>
      </c>
      <c r="J109">
        <v>159</v>
      </c>
      <c r="K109">
        <v>1</v>
      </c>
      <c r="L109">
        <f t="shared" si="5"/>
        <v>-5</v>
      </c>
      <c r="M109">
        <f t="shared" si="6"/>
        <v>-94</v>
      </c>
      <c r="N109">
        <f t="shared" si="7"/>
        <v>-21</v>
      </c>
      <c r="O109">
        <f t="shared" si="8"/>
        <v>-73</v>
      </c>
      <c r="P109">
        <f t="shared" si="9"/>
        <v>1</v>
      </c>
      <c r="Q109" t="s">
        <v>5</v>
      </c>
    </row>
    <row r="110" spans="1:17" x14ac:dyDescent="0.35">
      <c r="A110" t="s">
        <v>12</v>
      </c>
      <c r="B110">
        <v>18</v>
      </c>
      <c r="C110">
        <v>277</v>
      </c>
      <c r="D110">
        <v>233</v>
      </c>
      <c r="E110">
        <v>44</v>
      </c>
      <c r="F110">
        <v>0</v>
      </c>
      <c r="G110">
        <v>15</v>
      </c>
      <c r="H110">
        <v>271</v>
      </c>
      <c r="I110">
        <v>209</v>
      </c>
      <c r="J110">
        <v>62</v>
      </c>
      <c r="K110">
        <v>0</v>
      </c>
      <c r="L110">
        <f t="shared" si="5"/>
        <v>3</v>
      </c>
      <c r="M110">
        <f t="shared" si="6"/>
        <v>6</v>
      </c>
      <c r="N110">
        <f t="shared" si="7"/>
        <v>24</v>
      </c>
      <c r="O110">
        <f t="shared" si="8"/>
        <v>-18</v>
      </c>
      <c r="P110">
        <f t="shared" si="9"/>
        <v>0</v>
      </c>
      <c r="Q110" t="s">
        <v>7</v>
      </c>
    </row>
    <row r="111" spans="1:17" x14ac:dyDescent="0.35">
      <c r="A111" t="s">
        <v>11</v>
      </c>
      <c r="B111">
        <v>27</v>
      </c>
      <c r="C111">
        <v>451</v>
      </c>
      <c r="D111">
        <v>272</v>
      </c>
      <c r="E111">
        <v>179</v>
      </c>
      <c r="F111">
        <v>1</v>
      </c>
      <c r="G111">
        <v>17</v>
      </c>
      <c r="H111">
        <v>333</v>
      </c>
      <c r="I111">
        <v>187</v>
      </c>
      <c r="J111">
        <v>146</v>
      </c>
      <c r="K111">
        <v>2</v>
      </c>
      <c r="L111">
        <f t="shared" si="5"/>
        <v>10</v>
      </c>
      <c r="M111">
        <f t="shared" si="6"/>
        <v>118</v>
      </c>
      <c r="N111">
        <f t="shared" si="7"/>
        <v>85</v>
      </c>
      <c r="O111">
        <f t="shared" si="8"/>
        <v>33</v>
      </c>
      <c r="P111">
        <f t="shared" si="9"/>
        <v>-1</v>
      </c>
      <c r="Q111" t="s">
        <v>5</v>
      </c>
    </row>
    <row r="112" spans="1:17" x14ac:dyDescent="0.35">
      <c r="A112" t="s">
        <v>12</v>
      </c>
      <c r="B112">
        <v>19</v>
      </c>
      <c r="C112">
        <v>315</v>
      </c>
      <c r="D112">
        <v>151</v>
      </c>
      <c r="E112">
        <v>164</v>
      </c>
      <c r="F112">
        <v>5</v>
      </c>
      <c r="G112">
        <v>19</v>
      </c>
      <c r="H112">
        <v>291</v>
      </c>
      <c r="I112">
        <v>116</v>
      </c>
      <c r="J112">
        <v>175</v>
      </c>
      <c r="K112">
        <v>0</v>
      </c>
      <c r="L112">
        <f t="shared" si="5"/>
        <v>0</v>
      </c>
      <c r="M112">
        <f t="shared" si="6"/>
        <v>24</v>
      </c>
      <c r="N112">
        <f t="shared" si="7"/>
        <v>35</v>
      </c>
      <c r="O112">
        <f t="shared" si="8"/>
        <v>-11</v>
      </c>
      <c r="P112">
        <f t="shared" si="9"/>
        <v>5</v>
      </c>
      <c r="Q112" t="s">
        <v>5</v>
      </c>
    </row>
    <row r="113" spans="1:17" x14ac:dyDescent="0.35">
      <c r="A113" t="s">
        <v>11</v>
      </c>
      <c r="B113">
        <v>25</v>
      </c>
      <c r="C113">
        <v>430</v>
      </c>
      <c r="D113">
        <v>371</v>
      </c>
      <c r="E113">
        <v>59</v>
      </c>
      <c r="F113">
        <v>1</v>
      </c>
      <c r="G113">
        <v>29</v>
      </c>
      <c r="H113">
        <v>502</v>
      </c>
      <c r="I113">
        <v>406</v>
      </c>
      <c r="J113">
        <v>96</v>
      </c>
      <c r="K113">
        <v>1</v>
      </c>
      <c r="L113">
        <f t="shared" si="5"/>
        <v>-4</v>
      </c>
      <c r="M113">
        <f t="shared" si="6"/>
        <v>-72</v>
      </c>
      <c r="N113">
        <f t="shared" si="7"/>
        <v>-35</v>
      </c>
      <c r="O113">
        <f t="shared" si="8"/>
        <v>-37</v>
      </c>
      <c r="P113">
        <f t="shared" si="9"/>
        <v>0</v>
      </c>
      <c r="Q113" t="s">
        <v>5</v>
      </c>
    </row>
    <row r="114" spans="1:17" x14ac:dyDescent="0.35">
      <c r="A114" t="s">
        <v>12</v>
      </c>
      <c r="B114">
        <v>22</v>
      </c>
      <c r="C114">
        <v>361</v>
      </c>
      <c r="D114">
        <v>182</v>
      </c>
      <c r="E114">
        <v>179</v>
      </c>
      <c r="F114">
        <v>1</v>
      </c>
      <c r="G114">
        <v>15</v>
      </c>
      <c r="H114">
        <v>313</v>
      </c>
      <c r="I114">
        <v>239</v>
      </c>
      <c r="J114">
        <v>74</v>
      </c>
      <c r="K114">
        <v>3</v>
      </c>
      <c r="L114">
        <f t="shared" si="5"/>
        <v>7</v>
      </c>
      <c r="M114">
        <f t="shared" si="6"/>
        <v>48</v>
      </c>
      <c r="N114">
        <f t="shared" si="7"/>
        <v>-57</v>
      </c>
      <c r="O114">
        <f t="shared" si="8"/>
        <v>105</v>
      </c>
      <c r="P114">
        <f t="shared" si="9"/>
        <v>-2</v>
      </c>
      <c r="Q114" t="s">
        <v>7</v>
      </c>
    </row>
    <row r="115" spans="1:17" x14ac:dyDescent="0.35">
      <c r="A115" t="s">
        <v>12</v>
      </c>
      <c r="B115">
        <v>19</v>
      </c>
      <c r="C115">
        <v>346</v>
      </c>
      <c r="D115">
        <v>244</v>
      </c>
      <c r="E115">
        <v>102</v>
      </c>
      <c r="F115">
        <v>3</v>
      </c>
      <c r="G115">
        <v>21</v>
      </c>
      <c r="H115">
        <v>339</v>
      </c>
      <c r="I115">
        <v>216</v>
      </c>
      <c r="J115">
        <v>123</v>
      </c>
      <c r="K115">
        <v>0</v>
      </c>
      <c r="L115">
        <f t="shared" si="5"/>
        <v>-2</v>
      </c>
      <c r="M115">
        <f t="shared" si="6"/>
        <v>7</v>
      </c>
      <c r="N115">
        <f t="shared" si="7"/>
        <v>28</v>
      </c>
      <c r="O115">
        <f t="shared" si="8"/>
        <v>-21</v>
      </c>
      <c r="P115">
        <f t="shared" si="9"/>
        <v>3</v>
      </c>
      <c r="Q115" t="s">
        <v>5</v>
      </c>
    </row>
    <row r="116" spans="1:17" x14ac:dyDescent="0.35">
      <c r="A116" t="s">
        <v>11</v>
      </c>
      <c r="B116">
        <v>16</v>
      </c>
      <c r="C116">
        <v>375</v>
      </c>
      <c r="D116">
        <v>305</v>
      </c>
      <c r="E116">
        <v>70</v>
      </c>
      <c r="F116">
        <v>1</v>
      </c>
      <c r="G116">
        <v>13</v>
      </c>
      <c r="H116">
        <v>262</v>
      </c>
      <c r="I116">
        <v>169</v>
      </c>
      <c r="J116">
        <v>93</v>
      </c>
      <c r="K116">
        <v>1</v>
      </c>
      <c r="L116">
        <f t="shared" si="5"/>
        <v>3</v>
      </c>
      <c r="M116">
        <f t="shared" si="6"/>
        <v>113</v>
      </c>
      <c r="N116">
        <f t="shared" si="7"/>
        <v>136</v>
      </c>
      <c r="O116">
        <f t="shared" si="8"/>
        <v>-23</v>
      </c>
      <c r="P116">
        <f t="shared" si="9"/>
        <v>0</v>
      </c>
      <c r="Q116" t="s">
        <v>7</v>
      </c>
    </row>
    <row r="117" spans="1:17" x14ac:dyDescent="0.35">
      <c r="A117" t="s">
        <v>12</v>
      </c>
      <c r="B117">
        <v>18</v>
      </c>
      <c r="C117">
        <v>270</v>
      </c>
      <c r="D117">
        <v>175</v>
      </c>
      <c r="E117">
        <v>95</v>
      </c>
      <c r="F117">
        <v>1</v>
      </c>
      <c r="G117">
        <v>20</v>
      </c>
      <c r="H117">
        <v>344</v>
      </c>
      <c r="I117">
        <v>254</v>
      </c>
      <c r="J117">
        <v>90</v>
      </c>
      <c r="K117">
        <v>3</v>
      </c>
      <c r="L117">
        <f t="shared" si="5"/>
        <v>-2</v>
      </c>
      <c r="M117">
        <f t="shared" si="6"/>
        <v>-74</v>
      </c>
      <c r="N117">
        <f t="shared" si="7"/>
        <v>-79</v>
      </c>
      <c r="O117">
        <f t="shared" si="8"/>
        <v>5</v>
      </c>
      <c r="P117">
        <f t="shared" si="9"/>
        <v>-2</v>
      </c>
      <c r="Q117" t="s">
        <v>5</v>
      </c>
    </row>
    <row r="118" spans="1:17" x14ac:dyDescent="0.35">
      <c r="A118" t="s">
        <v>11</v>
      </c>
      <c r="B118">
        <v>22</v>
      </c>
      <c r="C118">
        <v>530</v>
      </c>
      <c r="D118">
        <v>337</v>
      </c>
      <c r="E118">
        <v>193</v>
      </c>
      <c r="F118">
        <v>1</v>
      </c>
      <c r="G118">
        <v>24</v>
      </c>
      <c r="H118">
        <v>395</v>
      </c>
      <c r="I118">
        <v>222</v>
      </c>
      <c r="J118">
        <v>173</v>
      </c>
      <c r="K118">
        <v>3</v>
      </c>
      <c r="L118">
        <f t="shared" si="5"/>
        <v>-2</v>
      </c>
      <c r="M118">
        <f t="shared" si="6"/>
        <v>135</v>
      </c>
      <c r="N118">
        <f t="shared" si="7"/>
        <v>115</v>
      </c>
      <c r="O118">
        <f t="shared" si="8"/>
        <v>20</v>
      </c>
      <c r="P118">
        <f t="shared" si="9"/>
        <v>-2</v>
      </c>
      <c r="Q118" t="s">
        <v>7</v>
      </c>
    </row>
    <row r="119" spans="1:17" x14ac:dyDescent="0.35">
      <c r="A119" t="s">
        <v>11</v>
      </c>
      <c r="B119">
        <v>9</v>
      </c>
      <c r="C119">
        <v>180</v>
      </c>
      <c r="D119">
        <v>78</v>
      </c>
      <c r="E119">
        <v>102</v>
      </c>
      <c r="F119">
        <v>4</v>
      </c>
      <c r="G119">
        <v>22</v>
      </c>
      <c r="H119">
        <v>446</v>
      </c>
      <c r="I119">
        <v>171</v>
      </c>
      <c r="J119">
        <v>275</v>
      </c>
      <c r="K119">
        <v>0</v>
      </c>
      <c r="L119">
        <f t="shared" si="5"/>
        <v>-13</v>
      </c>
      <c r="M119">
        <f t="shared" si="6"/>
        <v>-266</v>
      </c>
      <c r="N119">
        <f t="shared" si="7"/>
        <v>-93</v>
      </c>
      <c r="O119">
        <f t="shared" si="8"/>
        <v>-173</v>
      </c>
      <c r="P119">
        <f t="shared" si="9"/>
        <v>4</v>
      </c>
      <c r="Q119" t="s">
        <v>5</v>
      </c>
    </row>
    <row r="120" spans="1:17" x14ac:dyDescent="0.35">
      <c r="A120" t="s">
        <v>12</v>
      </c>
      <c r="B120">
        <v>21</v>
      </c>
      <c r="C120">
        <v>406</v>
      </c>
      <c r="D120">
        <v>249</v>
      </c>
      <c r="E120">
        <v>157</v>
      </c>
      <c r="F120">
        <v>4</v>
      </c>
      <c r="G120">
        <v>29</v>
      </c>
      <c r="H120">
        <v>454</v>
      </c>
      <c r="I120">
        <v>284</v>
      </c>
      <c r="J120">
        <v>170</v>
      </c>
      <c r="K120">
        <v>1</v>
      </c>
      <c r="L120">
        <f t="shared" si="5"/>
        <v>-8</v>
      </c>
      <c r="M120">
        <f t="shared" si="6"/>
        <v>-48</v>
      </c>
      <c r="N120">
        <f t="shared" si="7"/>
        <v>-35</v>
      </c>
      <c r="O120">
        <f t="shared" si="8"/>
        <v>-13</v>
      </c>
      <c r="P120">
        <f t="shared" si="9"/>
        <v>3</v>
      </c>
      <c r="Q120" t="s">
        <v>5</v>
      </c>
    </row>
    <row r="121" spans="1:17" x14ac:dyDescent="0.35">
      <c r="A121" t="s">
        <v>11</v>
      </c>
      <c r="B121">
        <v>15</v>
      </c>
      <c r="C121">
        <v>310</v>
      </c>
      <c r="D121">
        <v>151</v>
      </c>
      <c r="E121">
        <v>159</v>
      </c>
      <c r="F121">
        <v>3</v>
      </c>
      <c r="G121">
        <v>19</v>
      </c>
      <c r="H121">
        <v>318</v>
      </c>
      <c r="I121">
        <v>239</v>
      </c>
      <c r="J121">
        <v>79</v>
      </c>
      <c r="K121">
        <v>0</v>
      </c>
      <c r="L121">
        <f t="shared" si="5"/>
        <v>-4</v>
      </c>
      <c r="M121">
        <f t="shared" si="6"/>
        <v>-8</v>
      </c>
      <c r="N121">
        <f t="shared" si="7"/>
        <v>-88</v>
      </c>
      <c r="O121">
        <f t="shared" si="8"/>
        <v>80</v>
      </c>
      <c r="P121">
        <f t="shared" si="9"/>
        <v>3</v>
      </c>
      <c r="Q121" t="s">
        <v>5</v>
      </c>
    </row>
    <row r="122" spans="1:17" x14ac:dyDescent="0.35">
      <c r="A122" t="s">
        <v>11</v>
      </c>
      <c r="B122">
        <v>21</v>
      </c>
      <c r="C122">
        <v>351</v>
      </c>
      <c r="D122">
        <v>261</v>
      </c>
      <c r="E122">
        <v>90</v>
      </c>
      <c r="F122">
        <v>0</v>
      </c>
      <c r="G122">
        <v>13</v>
      </c>
      <c r="H122">
        <v>302</v>
      </c>
      <c r="I122">
        <v>175</v>
      </c>
      <c r="J122">
        <v>127</v>
      </c>
      <c r="K122">
        <v>1</v>
      </c>
      <c r="L122">
        <f t="shared" si="5"/>
        <v>8</v>
      </c>
      <c r="M122">
        <f t="shared" si="6"/>
        <v>49</v>
      </c>
      <c r="N122">
        <f t="shared" si="7"/>
        <v>86</v>
      </c>
      <c r="O122">
        <f t="shared" si="8"/>
        <v>-37</v>
      </c>
      <c r="P122">
        <f t="shared" si="9"/>
        <v>-1</v>
      </c>
      <c r="Q122" t="s">
        <v>5</v>
      </c>
    </row>
    <row r="123" spans="1:17" x14ac:dyDescent="0.35">
      <c r="A123" t="s">
        <v>12</v>
      </c>
      <c r="B123">
        <v>24</v>
      </c>
      <c r="C123">
        <v>368</v>
      </c>
      <c r="D123">
        <v>221</v>
      </c>
      <c r="E123">
        <v>147</v>
      </c>
      <c r="F123">
        <v>0</v>
      </c>
      <c r="G123">
        <v>20</v>
      </c>
      <c r="H123">
        <v>344</v>
      </c>
      <c r="I123">
        <v>260</v>
      </c>
      <c r="J123">
        <v>84</v>
      </c>
      <c r="K123">
        <v>0</v>
      </c>
      <c r="L123">
        <f t="shared" si="5"/>
        <v>4</v>
      </c>
      <c r="M123">
        <f t="shared" si="6"/>
        <v>24</v>
      </c>
      <c r="N123">
        <f t="shared" si="7"/>
        <v>-39</v>
      </c>
      <c r="O123">
        <f t="shared" si="8"/>
        <v>63</v>
      </c>
      <c r="P123">
        <f t="shared" si="9"/>
        <v>0</v>
      </c>
      <c r="Q123" t="s">
        <v>7</v>
      </c>
    </row>
    <row r="124" spans="1:17" x14ac:dyDescent="0.35">
      <c r="A124" t="s">
        <v>12</v>
      </c>
      <c r="B124">
        <v>17</v>
      </c>
      <c r="C124">
        <v>293</v>
      </c>
      <c r="D124">
        <v>189</v>
      </c>
      <c r="E124">
        <v>104</v>
      </c>
      <c r="F124">
        <v>0</v>
      </c>
      <c r="G124">
        <v>18</v>
      </c>
      <c r="H124">
        <v>236</v>
      </c>
      <c r="I124">
        <v>178</v>
      </c>
      <c r="J124">
        <v>58</v>
      </c>
      <c r="K124">
        <v>4</v>
      </c>
      <c r="L124">
        <f t="shared" si="5"/>
        <v>-1</v>
      </c>
      <c r="M124">
        <f t="shared" si="6"/>
        <v>57</v>
      </c>
      <c r="N124">
        <f t="shared" si="7"/>
        <v>11</v>
      </c>
      <c r="O124">
        <f t="shared" si="8"/>
        <v>46</v>
      </c>
      <c r="P124">
        <f t="shared" si="9"/>
        <v>-4</v>
      </c>
      <c r="Q124" t="s">
        <v>7</v>
      </c>
    </row>
    <row r="125" spans="1:17" x14ac:dyDescent="0.35">
      <c r="A125" t="s">
        <v>12</v>
      </c>
      <c r="B125">
        <v>30</v>
      </c>
      <c r="C125">
        <v>467</v>
      </c>
      <c r="D125">
        <v>320</v>
      </c>
      <c r="E125">
        <v>147</v>
      </c>
      <c r="F125">
        <v>1</v>
      </c>
      <c r="G125">
        <v>22</v>
      </c>
      <c r="H125">
        <v>284</v>
      </c>
      <c r="I125">
        <v>192</v>
      </c>
      <c r="J125">
        <v>92</v>
      </c>
      <c r="K125">
        <v>2</v>
      </c>
      <c r="L125">
        <f t="shared" si="5"/>
        <v>8</v>
      </c>
      <c r="M125">
        <f t="shared" si="6"/>
        <v>183</v>
      </c>
      <c r="N125">
        <f t="shared" si="7"/>
        <v>128</v>
      </c>
      <c r="O125">
        <f t="shared" si="8"/>
        <v>55</v>
      </c>
      <c r="P125">
        <f t="shared" si="9"/>
        <v>-1</v>
      </c>
      <c r="Q125" t="s">
        <v>7</v>
      </c>
    </row>
    <row r="126" spans="1:17" x14ac:dyDescent="0.35">
      <c r="A126" t="s">
        <v>11</v>
      </c>
      <c r="B126">
        <v>19</v>
      </c>
      <c r="C126">
        <v>279</v>
      </c>
      <c r="D126">
        <v>173</v>
      </c>
      <c r="E126">
        <v>106</v>
      </c>
      <c r="F126">
        <v>2</v>
      </c>
      <c r="G126">
        <v>18</v>
      </c>
      <c r="H126">
        <v>323</v>
      </c>
      <c r="I126">
        <v>199</v>
      </c>
      <c r="J126">
        <v>124</v>
      </c>
      <c r="K126">
        <v>1</v>
      </c>
      <c r="L126">
        <f t="shared" si="5"/>
        <v>1</v>
      </c>
      <c r="M126">
        <f t="shared" si="6"/>
        <v>-44</v>
      </c>
      <c r="N126">
        <f t="shared" si="7"/>
        <v>-26</v>
      </c>
      <c r="O126">
        <f t="shared" si="8"/>
        <v>-18</v>
      </c>
      <c r="P126">
        <f t="shared" si="9"/>
        <v>1</v>
      </c>
      <c r="Q126" t="s">
        <v>5</v>
      </c>
    </row>
    <row r="127" spans="1:17" x14ac:dyDescent="0.35">
      <c r="A127" t="s">
        <v>12</v>
      </c>
      <c r="B127">
        <v>17</v>
      </c>
      <c r="C127">
        <v>333</v>
      </c>
      <c r="D127">
        <v>187</v>
      </c>
      <c r="E127">
        <v>146</v>
      </c>
      <c r="F127">
        <v>2</v>
      </c>
      <c r="G127">
        <v>27</v>
      </c>
      <c r="H127">
        <v>451</v>
      </c>
      <c r="I127">
        <v>272</v>
      </c>
      <c r="J127">
        <v>179</v>
      </c>
      <c r="K127">
        <v>1</v>
      </c>
      <c r="L127">
        <f t="shared" si="5"/>
        <v>-10</v>
      </c>
      <c r="M127">
        <f t="shared" si="6"/>
        <v>-118</v>
      </c>
      <c r="N127">
        <f t="shared" si="7"/>
        <v>-85</v>
      </c>
      <c r="O127">
        <f t="shared" si="8"/>
        <v>-33</v>
      </c>
      <c r="P127">
        <f t="shared" si="9"/>
        <v>1</v>
      </c>
      <c r="Q127" t="s">
        <v>7</v>
      </c>
    </row>
    <row r="128" spans="1:17" x14ac:dyDescent="0.35">
      <c r="A128" t="s">
        <v>11</v>
      </c>
      <c r="B128">
        <v>25</v>
      </c>
      <c r="C128">
        <v>393</v>
      </c>
      <c r="D128">
        <v>241</v>
      </c>
      <c r="E128">
        <v>152</v>
      </c>
      <c r="F128">
        <v>2</v>
      </c>
      <c r="G128">
        <v>26</v>
      </c>
      <c r="H128">
        <v>445</v>
      </c>
      <c r="I128">
        <v>219</v>
      </c>
      <c r="J128">
        <v>226</v>
      </c>
      <c r="K128">
        <v>1</v>
      </c>
      <c r="L128">
        <f t="shared" si="5"/>
        <v>-1</v>
      </c>
      <c r="M128">
        <f t="shared" si="6"/>
        <v>-52</v>
      </c>
      <c r="N128">
        <f t="shared" si="7"/>
        <v>22</v>
      </c>
      <c r="O128">
        <f t="shared" si="8"/>
        <v>-74</v>
      </c>
      <c r="P128">
        <f t="shared" si="9"/>
        <v>1</v>
      </c>
      <c r="Q128" t="s">
        <v>5</v>
      </c>
    </row>
    <row r="129" spans="1:17" x14ac:dyDescent="0.35">
      <c r="A129" t="s">
        <v>12</v>
      </c>
      <c r="B129">
        <v>17</v>
      </c>
      <c r="C129">
        <v>241</v>
      </c>
      <c r="D129">
        <v>184</v>
      </c>
      <c r="E129">
        <v>57</v>
      </c>
      <c r="F129">
        <v>1</v>
      </c>
      <c r="G129">
        <v>31</v>
      </c>
      <c r="H129">
        <v>481</v>
      </c>
      <c r="I129">
        <v>238</v>
      </c>
      <c r="J129">
        <v>243</v>
      </c>
      <c r="K129">
        <v>1</v>
      </c>
      <c r="L129">
        <f t="shared" si="5"/>
        <v>-14</v>
      </c>
      <c r="M129">
        <f t="shared" si="6"/>
        <v>-240</v>
      </c>
      <c r="N129">
        <f t="shared" si="7"/>
        <v>-54</v>
      </c>
      <c r="O129">
        <f t="shared" si="8"/>
        <v>-186</v>
      </c>
      <c r="P129">
        <f t="shared" si="9"/>
        <v>0</v>
      </c>
      <c r="Q129" t="s">
        <v>5</v>
      </c>
    </row>
    <row r="130" spans="1:17" x14ac:dyDescent="0.35">
      <c r="A130" t="s">
        <v>11</v>
      </c>
      <c r="B130">
        <v>15</v>
      </c>
      <c r="C130">
        <v>313</v>
      </c>
      <c r="D130">
        <v>239</v>
      </c>
      <c r="E130">
        <v>74</v>
      </c>
      <c r="F130">
        <v>3</v>
      </c>
      <c r="G130">
        <v>22</v>
      </c>
      <c r="H130">
        <v>361</v>
      </c>
      <c r="I130">
        <v>182</v>
      </c>
      <c r="J130">
        <v>179</v>
      </c>
      <c r="K130">
        <v>1</v>
      </c>
      <c r="L130">
        <f t="shared" si="5"/>
        <v>-7</v>
      </c>
      <c r="M130">
        <f t="shared" si="6"/>
        <v>-48</v>
      </c>
      <c r="N130">
        <f t="shared" si="7"/>
        <v>57</v>
      </c>
      <c r="O130">
        <f t="shared" si="8"/>
        <v>-105</v>
      </c>
      <c r="P130">
        <f t="shared" ref="P130:P193" si="10">F130-K130</f>
        <v>2</v>
      </c>
      <c r="Q130" t="s">
        <v>5</v>
      </c>
    </row>
    <row r="131" spans="1:17" x14ac:dyDescent="0.35">
      <c r="A131" t="s">
        <v>12</v>
      </c>
      <c r="B131">
        <v>23</v>
      </c>
      <c r="C131">
        <v>494</v>
      </c>
      <c r="D131">
        <v>405</v>
      </c>
      <c r="E131">
        <v>89</v>
      </c>
      <c r="F131">
        <v>0</v>
      </c>
      <c r="G131">
        <v>25</v>
      </c>
      <c r="H131">
        <v>470</v>
      </c>
      <c r="I131">
        <v>319</v>
      </c>
      <c r="J131">
        <v>151</v>
      </c>
      <c r="K131">
        <v>2</v>
      </c>
      <c r="L131">
        <f t="shared" ref="L131:L194" si="11">B131-G131</f>
        <v>-2</v>
      </c>
      <c r="M131">
        <f t="shared" ref="M131:M194" si="12">C131-H131</f>
        <v>24</v>
      </c>
      <c r="N131">
        <f t="shared" ref="N131:N194" si="13">D131-I131</f>
        <v>86</v>
      </c>
      <c r="O131">
        <f t="shared" ref="O131:O194" si="14">E131-J131</f>
        <v>-62</v>
      </c>
      <c r="P131">
        <f t="shared" si="10"/>
        <v>-2</v>
      </c>
      <c r="Q131" t="s">
        <v>7</v>
      </c>
    </row>
    <row r="132" spans="1:17" x14ac:dyDescent="0.35">
      <c r="A132" t="s">
        <v>11</v>
      </c>
      <c r="B132">
        <v>25</v>
      </c>
      <c r="C132">
        <v>474</v>
      </c>
      <c r="D132">
        <v>261</v>
      </c>
      <c r="E132">
        <v>213</v>
      </c>
      <c r="F132">
        <v>1</v>
      </c>
      <c r="G132">
        <v>19</v>
      </c>
      <c r="H132">
        <v>255</v>
      </c>
      <c r="I132">
        <v>208</v>
      </c>
      <c r="J132">
        <v>47</v>
      </c>
      <c r="K132">
        <v>0</v>
      </c>
      <c r="L132">
        <f t="shared" si="11"/>
        <v>6</v>
      </c>
      <c r="M132">
        <f t="shared" si="12"/>
        <v>219</v>
      </c>
      <c r="N132">
        <f t="shared" si="13"/>
        <v>53</v>
      </c>
      <c r="O132">
        <f t="shared" si="14"/>
        <v>166</v>
      </c>
      <c r="P132">
        <f t="shared" si="10"/>
        <v>1</v>
      </c>
      <c r="Q132" t="s">
        <v>7</v>
      </c>
    </row>
    <row r="133" spans="1:17" x14ac:dyDescent="0.35">
      <c r="A133" t="s">
        <v>12</v>
      </c>
      <c r="B133">
        <v>28</v>
      </c>
      <c r="C133">
        <v>476</v>
      </c>
      <c r="D133">
        <v>241</v>
      </c>
      <c r="E133">
        <v>235</v>
      </c>
      <c r="F133">
        <v>1</v>
      </c>
      <c r="G133">
        <v>17</v>
      </c>
      <c r="H133">
        <v>283</v>
      </c>
      <c r="I133">
        <v>211</v>
      </c>
      <c r="J133">
        <v>72</v>
      </c>
      <c r="K133">
        <v>1</v>
      </c>
      <c r="L133">
        <f t="shared" si="11"/>
        <v>11</v>
      </c>
      <c r="M133">
        <f t="shared" si="12"/>
        <v>193</v>
      </c>
      <c r="N133">
        <f t="shared" si="13"/>
        <v>30</v>
      </c>
      <c r="O133">
        <f t="shared" si="14"/>
        <v>163</v>
      </c>
      <c r="P133">
        <f t="shared" si="10"/>
        <v>0</v>
      </c>
      <c r="Q133" t="s">
        <v>7</v>
      </c>
    </row>
    <row r="134" spans="1:17" x14ac:dyDescent="0.35">
      <c r="A134" t="s">
        <v>11</v>
      </c>
      <c r="B134">
        <v>15</v>
      </c>
      <c r="C134">
        <v>257</v>
      </c>
      <c r="D134">
        <v>212</v>
      </c>
      <c r="E134">
        <v>45</v>
      </c>
      <c r="F134">
        <v>3</v>
      </c>
      <c r="G134">
        <v>18</v>
      </c>
      <c r="H134">
        <v>266</v>
      </c>
      <c r="I134">
        <v>149</v>
      </c>
      <c r="J134">
        <v>117</v>
      </c>
      <c r="K134">
        <v>1</v>
      </c>
      <c r="L134">
        <f t="shared" si="11"/>
        <v>-3</v>
      </c>
      <c r="M134">
        <f t="shared" si="12"/>
        <v>-9</v>
      </c>
      <c r="N134">
        <f t="shared" si="13"/>
        <v>63</v>
      </c>
      <c r="O134">
        <f t="shared" si="14"/>
        <v>-72</v>
      </c>
      <c r="P134">
        <f t="shared" si="10"/>
        <v>2</v>
      </c>
      <c r="Q134" t="s">
        <v>5</v>
      </c>
    </row>
    <row r="135" spans="1:17" x14ac:dyDescent="0.35">
      <c r="A135" t="s">
        <v>12</v>
      </c>
      <c r="B135">
        <v>32</v>
      </c>
      <c r="C135">
        <v>563</v>
      </c>
      <c r="D135">
        <v>441</v>
      </c>
      <c r="E135">
        <v>122</v>
      </c>
      <c r="F135">
        <v>3</v>
      </c>
      <c r="G135">
        <v>24</v>
      </c>
      <c r="H135">
        <v>335</v>
      </c>
      <c r="I135">
        <v>215</v>
      </c>
      <c r="J135">
        <v>120</v>
      </c>
      <c r="K135">
        <v>0</v>
      </c>
      <c r="L135">
        <f t="shared" si="11"/>
        <v>8</v>
      </c>
      <c r="M135">
        <f t="shared" si="12"/>
        <v>228</v>
      </c>
      <c r="N135">
        <f t="shared" si="13"/>
        <v>226</v>
      </c>
      <c r="O135">
        <f t="shared" si="14"/>
        <v>2</v>
      </c>
      <c r="P135">
        <f t="shared" si="10"/>
        <v>3</v>
      </c>
      <c r="Q135" t="s">
        <v>5</v>
      </c>
    </row>
    <row r="136" spans="1:17" x14ac:dyDescent="0.35">
      <c r="A136" t="s">
        <v>11</v>
      </c>
      <c r="B136">
        <v>26</v>
      </c>
      <c r="C136">
        <v>399</v>
      </c>
      <c r="D136">
        <v>270</v>
      </c>
      <c r="E136">
        <v>129</v>
      </c>
      <c r="F136">
        <v>0</v>
      </c>
      <c r="G136">
        <v>20</v>
      </c>
      <c r="H136">
        <v>382</v>
      </c>
      <c r="I136">
        <v>326</v>
      </c>
      <c r="J136">
        <v>56</v>
      </c>
      <c r="K136">
        <v>1</v>
      </c>
      <c r="L136">
        <f t="shared" si="11"/>
        <v>6</v>
      </c>
      <c r="M136">
        <f t="shared" si="12"/>
        <v>17</v>
      </c>
      <c r="N136">
        <f t="shared" si="13"/>
        <v>-56</v>
      </c>
      <c r="O136">
        <f t="shared" si="14"/>
        <v>73</v>
      </c>
      <c r="P136">
        <f t="shared" si="10"/>
        <v>-1</v>
      </c>
      <c r="Q136" t="s">
        <v>5</v>
      </c>
    </row>
    <row r="137" spans="1:17" x14ac:dyDescent="0.35">
      <c r="A137" t="s">
        <v>12</v>
      </c>
      <c r="B137">
        <v>23</v>
      </c>
      <c r="C137">
        <v>402</v>
      </c>
      <c r="D137">
        <v>213</v>
      </c>
      <c r="E137">
        <v>189</v>
      </c>
      <c r="F137">
        <v>1</v>
      </c>
      <c r="G137">
        <v>16</v>
      </c>
      <c r="H137">
        <v>283</v>
      </c>
      <c r="I137">
        <v>168</v>
      </c>
      <c r="J137">
        <v>115</v>
      </c>
      <c r="K137">
        <v>4</v>
      </c>
      <c r="L137">
        <f t="shared" si="11"/>
        <v>7</v>
      </c>
      <c r="M137">
        <f t="shared" si="12"/>
        <v>119</v>
      </c>
      <c r="N137">
        <f t="shared" si="13"/>
        <v>45</v>
      </c>
      <c r="O137">
        <f t="shared" si="14"/>
        <v>74</v>
      </c>
      <c r="P137">
        <f t="shared" si="10"/>
        <v>-3</v>
      </c>
      <c r="Q137" t="s">
        <v>7</v>
      </c>
    </row>
    <row r="138" spans="1:17" x14ac:dyDescent="0.35">
      <c r="A138" t="s">
        <v>11</v>
      </c>
      <c r="B138">
        <v>24</v>
      </c>
      <c r="C138">
        <v>429</v>
      </c>
      <c r="D138">
        <v>257</v>
      </c>
      <c r="E138">
        <v>172</v>
      </c>
      <c r="F138">
        <v>2</v>
      </c>
      <c r="G138">
        <v>20</v>
      </c>
      <c r="H138">
        <v>271</v>
      </c>
      <c r="I138">
        <v>171</v>
      </c>
      <c r="J138">
        <v>100</v>
      </c>
      <c r="K138">
        <v>3</v>
      </c>
      <c r="L138">
        <f t="shared" si="11"/>
        <v>4</v>
      </c>
      <c r="M138">
        <f t="shared" si="12"/>
        <v>158</v>
      </c>
      <c r="N138">
        <f t="shared" si="13"/>
        <v>86</v>
      </c>
      <c r="O138">
        <f t="shared" si="14"/>
        <v>72</v>
      </c>
      <c r="P138">
        <f t="shared" si="10"/>
        <v>-1</v>
      </c>
      <c r="Q138" t="s">
        <v>7</v>
      </c>
    </row>
    <row r="139" spans="1:17" x14ac:dyDescent="0.35">
      <c r="A139" t="s">
        <v>12</v>
      </c>
      <c r="B139">
        <v>24</v>
      </c>
      <c r="C139">
        <v>443</v>
      </c>
      <c r="D139">
        <v>393</v>
      </c>
      <c r="E139">
        <v>50</v>
      </c>
      <c r="F139">
        <v>1</v>
      </c>
      <c r="G139">
        <v>27</v>
      </c>
      <c r="H139">
        <v>364</v>
      </c>
      <c r="I139">
        <v>211</v>
      </c>
      <c r="J139">
        <v>153</v>
      </c>
      <c r="K139">
        <v>0</v>
      </c>
      <c r="L139">
        <f t="shared" si="11"/>
        <v>-3</v>
      </c>
      <c r="M139">
        <f t="shared" si="12"/>
        <v>79</v>
      </c>
      <c r="N139">
        <f t="shared" si="13"/>
        <v>182</v>
      </c>
      <c r="O139">
        <f t="shared" si="14"/>
        <v>-103</v>
      </c>
      <c r="P139">
        <f t="shared" si="10"/>
        <v>1</v>
      </c>
      <c r="Q139" t="s">
        <v>5</v>
      </c>
    </row>
    <row r="140" spans="1:17" x14ac:dyDescent="0.35">
      <c r="A140" t="s">
        <v>11</v>
      </c>
      <c r="B140">
        <v>26</v>
      </c>
      <c r="C140">
        <v>509</v>
      </c>
      <c r="D140">
        <v>434</v>
      </c>
      <c r="E140">
        <v>75</v>
      </c>
      <c r="F140">
        <v>1</v>
      </c>
      <c r="G140">
        <v>19</v>
      </c>
      <c r="H140">
        <v>312</v>
      </c>
      <c r="I140">
        <v>191</v>
      </c>
      <c r="J140">
        <v>121</v>
      </c>
      <c r="K140">
        <v>0</v>
      </c>
      <c r="L140">
        <f t="shared" si="11"/>
        <v>7</v>
      </c>
      <c r="M140">
        <f t="shared" si="12"/>
        <v>197</v>
      </c>
      <c r="N140">
        <f t="shared" si="13"/>
        <v>243</v>
      </c>
      <c r="O140">
        <f t="shared" si="14"/>
        <v>-46</v>
      </c>
      <c r="P140">
        <f t="shared" si="10"/>
        <v>1</v>
      </c>
      <c r="Q140" t="s">
        <v>7</v>
      </c>
    </row>
    <row r="141" spans="1:17" x14ac:dyDescent="0.35">
      <c r="A141" t="s">
        <v>11</v>
      </c>
      <c r="B141">
        <v>16</v>
      </c>
      <c r="C141">
        <v>321</v>
      </c>
      <c r="D141">
        <v>212</v>
      </c>
      <c r="E141">
        <v>109</v>
      </c>
      <c r="F141">
        <v>1</v>
      </c>
      <c r="G141">
        <v>17</v>
      </c>
      <c r="H141">
        <v>282</v>
      </c>
      <c r="I141">
        <v>181</v>
      </c>
      <c r="J141">
        <v>101</v>
      </c>
      <c r="K141">
        <v>0</v>
      </c>
      <c r="L141">
        <f t="shared" si="11"/>
        <v>-1</v>
      </c>
      <c r="M141">
        <f t="shared" si="12"/>
        <v>39</v>
      </c>
      <c r="N141">
        <f t="shared" si="13"/>
        <v>31</v>
      </c>
      <c r="O141">
        <f t="shared" si="14"/>
        <v>8</v>
      </c>
      <c r="P141">
        <f t="shared" si="10"/>
        <v>1</v>
      </c>
      <c r="Q141" t="s">
        <v>5</v>
      </c>
    </row>
    <row r="142" spans="1:17" x14ac:dyDescent="0.35">
      <c r="A142" t="s">
        <v>12</v>
      </c>
      <c r="B142">
        <v>32</v>
      </c>
      <c r="C142">
        <v>426</v>
      </c>
      <c r="D142">
        <v>323</v>
      </c>
      <c r="E142">
        <v>103</v>
      </c>
      <c r="F142">
        <v>2</v>
      </c>
      <c r="G142">
        <v>22</v>
      </c>
      <c r="H142">
        <v>356</v>
      </c>
      <c r="I142">
        <v>232</v>
      </c>
      <c r="J142">
        <v>124</v>
      </c>
      <c r="K142">
        <v>0</v>
      </c>
      <c r="L142">
        <f t="shared" si="11"/>
        <v>10</v>
      </c>
      <c r="M142">
        <f t="shared" si="12"/>
        <v>70</v>
      </c>
      <c r="N142">
        <f t="shared" si="13"/>
        <v>91</v>
      </c>
      <c r="O142">
        <f t="shared" si="14"/>
        <v>-21</v>
      </c>
      <c r="P142">
        <f t="shared" si="10"/>
        <v>2</v>
      </c>
      <c r="Q142" t="s">
        <v>5</v>
      </c>
    </row>
    <row r="143" spans="1:17" x14ac:dyDescent="0.35">
      <c r="A143" t="s">
        <v>11</v>
      </c>
      <c r="B143">
        <v>22</v>
      </c>
      <c r="C143">
        <v>408</v>
      </c>
      <c r="D143">
        <v>326</v>
      </c>
      <c r="E143">
        <v>82</v>
      </c>
      <c r="F143">
        <v>0</v>
      </c>
      <c r="G143">
        <v>24</v>
      </c>
      <c r="H143">
        <v>382</v>
      </c>
      <c r="I143">
        <v>231</v>
      </c>
      <c r="J143">
        <v>151</v>
      </c>
      <c r="K143">
        <v>2</v>
      </c>
      <c r="L143">
        <f t="shared" si="11"/>
        <v>-2</v>
      </c>
      <c r="M143">
        <f t="shared" si="12"/>
        <v>26</v>
      </c>
      <c r="N143">
        <f t="shared" si="13"/>
        <v>95</v>
      </c>
      <c r="O143">
        <f t="shared" si="14"/>
        <v>-69</v>
      </c>
      <c r="P143">
        <f t="shared" si="10"/>
        <v>-2</v>
      </c>
      <c r="Q143" t="s">
        <v>5</v>
      </c>
    </row>
    <row r="144" spans="1:17" x14ac:dyDescent="0.35">
      <c r="A144" t="s">
        <v>12</v>
      </c>
      <c r="B144">
        <v>25</v>
      </c>
      <c r="C144">
        <v>475</v>
      </c>
      <c r="D144">
        <v>212</v>
      </c>
      <c r="E144">
        <v>263</v>
      </c>
      <c r="F144">
        <v>0</v>
      </c>
      <c r="G144">
        <v>23</v>
      </c>
      <c r="H144">
        <v>289</v>
      </c>
      <c r="I144">
        <v>267</v>
      </c>
      <c r="J144">
        <v>22</v>
      </c>
      <c r="K144">
        <v>1</v>
      </c>
      <c r="L144">
        <f t="shared" si="11"/>
        <v>2</v>
      </c>
      <c r="M144">
        <f t="shared" si="12"/>
        <v>186</v>
      </c>
      <c r="N144">
        <f t="shared" si="13"/>
        <v>-55</v>
      </c>
      <c r="O144">
        <f t="shared" si="14"/>
        <v>241</v>
      </c>
      <c r="P144">
        <f t="shared" si="10"/>
        <v>-1</v>
      </c>
      <c r="Q144" t="s">
        <v>7</v>
      </c>
    </row>
    <row r="145" spans="1:17" x14ac:dyDescent="0.35">
      <c r="A145" t="s">
        <v>11</v>
      </c>
      <c r="B145">
        <v>16</v>
      </c>
      <c r="C145">
        <v>311</v>
      </c>
      <c r="D145">
        <v>257</v>
      </c>
      <c r="E145">
        <v>54</v>
      </c>
      <c r="F145">
        <v>1</v>
      </c>
      <c r="G145">
        <v>23</v>
      </c>
      <c r="H145">
        <v>431</v>
      </c>
      <c r="I145">
        <v>313</v>
      </c>
      <c r="J145">
        <v>118</v>
      </c>
      <c r="K145">
        <v>0</v>
      </c>
      <c r="L145">
        <f t="shared" si="11"/>
        <v>-7</v>
      </c>
      <c r="M145">
        <f t="shared" si="12"/>
        <v>-120</v>
      </c>
      <c r="N145">
        <f t="shared" si="13"/>
        <v>-56</v>
      </c>
      <c r="O145">
        <f t="shared" si="14"/>
        <v>-64</v>
      </c>
      <c r="P145">
        <f t="shared" si="10"/>
        <v>1</v>
      </c>
      <c r="Q145" t="s">
        <v>5</v>
      </c>
    </row>
    <row r="146" spans="1:17" x14ac:dyDescent="0.35">
      <c r="A146" t="s">
        <v>12</v>
      </c>
      <c r="B146">
        <v>22</v>
      </c>
      <c r="C146">
        <v>517</v>
      </c>
      <c r="D146">
        <v>294</v>
      </c>
      <c r="E146">
        <v>223</v>
      </c>
      <c r="F146">
        <v>1</v>
      </c>
      <c r="G146">
        <v>13</v>
      </c>
      <c r="H146">
        <v>271</v>
      </c>
      <c r="I146">
        <v>183</v>
      </c>
      <c r="J146">
        <v>88</v>
      </c>
      <c r="K146">
        <v>2</v>
      </c>
      <c r="L146">
        <f t="shared" si="11"/>
        <v>9</v>
      </c>
      <c r="M146">
        <f t="shared" si="12"/>
        <v>246</v>
      </c>
      <c r="N146">
        <f t="shared" si="13"/>
        <v>111</v>
      </c>
      <c r="O146">
        <f t="shared" si="14"/>
        <v>135</v>
      </c>
      <c r="P146">
        <f t="shared" si="10"/>
        <v>-1</v>
      </c>
      <c r="Q146" t="s">
        <v>7</v>
      </c>
    </row>
    <row r="147" spans="1:17" x14ac:dyDescent="0.35">
      <c r="A147" t="s">
        <v>11</v>
      </c>
      <c r="B147">
        <v>18</v>
      </c>
      <c r="C147">
        <v>344</v>
      </c>
      <c r="D147">
        <v>249</v>
      </c>
      <c r="E147">
        <v>95</v>
      </c>
      <c r="F147">
        <v>0</v>
      </c>
      <c r="G147">
        <v>19</v>
      </c>
      <c r="H147">
        <v>357</v>
      </c>
      <c r="I147">
        <v>259</v>
      </c>
      <c r="J147">
        <v>98</v>
      </c>
      <c r="K147">
        <v>0</v>
      </c>
      <c r="L147">
        <f t="shared" si="11"/>
        <v>-1</v>
      </c>
      <c r="M147">
        <f t="shared" si="12"/>
        <v>-13</v>
      </c>
      <c r="N147">
        <f t="shared" si="13"/>
        <v>-10</v>
      </c>
      <c r="O147">
        <f t="shared" si="14"/>
        <v>-3</v>
      </c>
      <c r="P147">
        <f t="shared" si="10"/>
        <v>0</v>
      </c>
      <c r="Q147" t="s">
        <v>5</v>
      </c>
    </row>
    <row r="148" spans="1:17" x14ac:dyDescent="0.35">
      <c r="A148" t="s">
        <v>12</v>
      </c>
      <c r="B148">
        <v>27</v>
      </c>
      <c r="C148">
        <v>372</v>
      </c>
      <c r="D148">
        <v>282</v>
      </c>
      <c r="E148">
        <v>90</v>
      </c>
      <c r="F148">
        <v>1</v>
      </c>
      <c r="G148">
        <v>18</v>
      </c>
      <c r="H148">
        <v>273</v>
      </c>
      <c r="I148">
        <v>120</v>
      </c>
      <c r="J148">
        <v>153</v>
      </c>
      <c r="K148">
        <v>0</v>
      </c>
      <c r="L148">
        <f t="shared" si="11"/>
        <v>9</v>
      </c>
      <c r="M148">
        <f t="shared" si="12"/>
        <v>99</v>
      </c>
      <c r="N148">
        <f t="shared" si="13"/>
        <v>162</v>
      </c>
      <c r="O148">
        <f t="shared" si="14"/>
        <v>-63</v>
      </c>
      <c r="P148">
        <f t="shared" si="10"/>
        <v>1</v>
      </c>
      <c r="Q148" t="s">
        <v>5</v>
      </c>
    </row>
    <row r="149" spans="1:17" x14ac:dyDescent="0.35">
      <c r="A149" t="s">
        <v>11</v>
      </c>
      <c r="B149">
        <v>20</v>
      </c>
      <c r="C149">
        <v>310</v>
      </c>
      <c r="D149">
        <v>161</v>
      </c>
      <c r="E149">
        <v>149</v>
      </c>
      <c r="F149">
        <v>3</v>
      </c>
      <c r="G149">
        <v>16</v>
      </c>
      <c r="H149">
        <v>312</v>
      </c>
      <c r="I149">
        <v>235</v>
      </c>
      <c r="J149">
        <v>77</v>
      </c>
      <c r="K149">
        <v>0</v>
      </c>
      <c r="L149">
        <f t="shared" si="11"/>
        <v>4</v>
      </c>
      <c r="M149">
        <f t="shared" si="12"/>
        <v>-2</v>
      </c>
      <c r="N149">
        <f t="shared" si="13"/>
        <v>-74</v>
      </c>
      <c r="O149">
        <f t="shared" si="14"/>
        <v>72</v>
      </c>
      <c r="P149">
        <f t="shared" si="10"/>
        <v>3</v>
      </c>
      <c r="Q149" t="s">
        <v>5</v>
      </c>
    </row>
    <row r="150" spans="1:17" x14ac:dyDescent="0.35">
      <c r="A150" t="s">
        <v>12</v>
      </c>
      <c r="B150">
        <v>19</v>
      </c>
      <c r="C150">
        <v>371</v>
      </c>
      <c r="D150">
        <v>303</v>
      </c>
      <c r="E150">
        <v>68</v>
      </c>
      <c r="F150">
        <v>1</v>
      </c>
      <c r="G150">
        <v>25</v>
      </c>
      <c r="H150">
        <v>455</v>
      </c>
      <c r="I150">
        <v>186</v>
      </c>
      <c r="J150">
        <v>269</v>
      </c>
      <c r="K150">
        <v>0</v>
      </c>
      <c r="L150">
        <f t="shared" si="11"/>
        <v>-6</v>
      </c>
      <c r="M150">
        <f t="shared" si="12"/>
        <v>-84</v>
      </c>
      <c r="N150">
        <f t="shared" si="13"/>
        <v>117</v>
      </c>
      <c r="O150">
        <f t="shared" si="14"/>
        <v>-201</v>
      </c>
      <c r="P150">
        <f t="shared" si="10"/>
        <v>1</v>
      </c>
      <c r="Q150" t="s">
        <v>5</v>
      </c>
    </row>
    <row r="151" spans="1:17" x14ac:dyDescent="0.35">
      <c r="A151" t="s">
        <v>11</v>
      </c>
      <c r="B151">
        <v>15</v>
      </c>
      <c r="C151">
        <v>350</v>
      </c>
      <c r="D151">
        <v>159</v>
      </c>
      <c r="E151">
        <v>191</v>
      </c>
      <c r="F151">
        <v>2</v>
      </c>
      <c r="G151">
        <v>19</v>
      </c>
      <c r="H151">
        <v>246</v>
      </c>
      <c r="I151">
        <v>211</v>
      </c>
      <c r="J151">
        <v>35</v>
      </c>
      <c r="K151">
        <v>3</v>
      </c>
      <c r="L151">
        <f t="shared" si="11"/>
        <v>-4</v>
      </c>
      <c r="M151">
        <f t="shared" si="12"/>
        <v>104</v>
      </c>
      <c r="N151">
        <f t="shared" si="13"/>
        <v>-52</v>
      </c>
      <c r="O151">
        <f t="shared" si="14"/>
        <v>156</v>
      </c>
      <c r="P151">
        <f t="shared" si="10"/>
        <v>-1</v>
      </c>
      <c r="Q151" t="s">
        <v>7</v>
      </c>
    </row>
    <row r="152" spans="1:17" x14ac:dyDescent="0.35">
      <c r="A152" t="s">
        <v>12</v>
      </c>
      <c r="B152">
        <v>11</v>
      </c>
      <c r="C152">
        <v>270</v>
      </c>
      <c r="D152">
        <v>167</v>
      </c>
      <c r="E152">
        <v>103</v>
      </c>
      <c r="F152">
        <v>1</v>
      </c>
      <c r="G152">
        <v>12</v>
      </c>
      <c r="H152">
        <v>204</v>
      </c>
      <c r="I152">
        <v>165</v>
      </c>
      <c r="J152">
        <v>39</v>
      </c>
      <c r="K152">
        <v>3</v>
      </c>
      <c r="L152">
        <f t="shared" si="11"/>
        <v>-1</v>
      </c>
      <c r="M152">
        <f t="shared" si="12"/>
        <v>66</v>
      </c>
      <c r="N152">
        <f t="shared" si="13"/>
        <v>2</v>
      </c>
      <c r="O152">
        <f t="shared" si="14"/>
        <v>64</v>
      </c>
      <c r="P152">
        <f t="shared" si="10"/>
        <v>-2</v>
      </c>
      <c r="Q152" t="s">
        <v>7</v>
      </c>
    </row>
    <row r="153" spans="1:17" x14ac:dyDescent="0.35">
      <c r="A153" t="s">
        <v>12</v>
      </c>
      <c r="B153">
        <v>15</v>
      </c>
      <c r="C153">
        <v>205</v>
      </c>
      <c r="D153">
        <v>134</v>
      </c>
      <c r="E153">
        <v>71</v>
      </c>
      <c r="F153">
        <v>1</v>
      </c>
      <c r="G153">
        <v>14</v>
      </c>
      <c r="H153">
        <v>271</v>
      </c>
      <c r="I153">
        <v>191</v>
      </c>
      <c r="J153">
        <v>80</v>
      </c>
      <c r="K153">
        <v>0</v>
      </c>
      <c r="L153">
        <f t="shared" si="11"/>
        <v>1</v>
      </c>
      <c r="M153">
        <f t="shared" si="12"/>
        <v>-66</v>
      </c>
      <c r="N153">
        <f t="shared" si="13"/>
        <v>-57</v>
      </c>
      <c r="O153">
        <f t="shared" si="14"/>
        <v>-9</v>
      </c>
      <c r="P153">
        <f t="shared" si="10"/>
        <v>1</v>
      </c>
      <c r="Q153" t="s">
        <v>5</v>
      </c>
    </row>
    <row r="154" spans="1:17" x14ac:dyDescent="0.35">
      <c r="A154" t="s">
        <v>11</v>
      </c>
      <c r="B154">
        <v>21</v>
      </c>
      <c r="C154">
        <v>279</v>
      </c>
      <c r="D154">
        <v>166</v>
      </c>
      <c r="E154">
        <v>113</v>
      </c>
      <c r="F154">
        <v>0</v>
      </c>
      <c r="G154">
        <v>19</v>
      </c>
      <c r="H154">
        <v>318</v>
      </c>
      <c r="I154">
        <v>191</v>
      </c>
      <c r="J154">
        <v>127</v>
      </c>
      <c r="K154">
        <v>1</v>
      </c>
      <c r="L154">
        <f t="shared" si="11"/>
        <v>2</v>
      </c>
      <c r="M154">
        <f t="shared" si="12"/>
        <v>-39</v>
      </c>
      <c r="N154">
        <f t="shared" si="13"/>
        <v>-25</v>
      </c>
      <c r="O154">
        <f t="shared" si="14"/>
        <v>-14</v>
      </c>
      <c r="P154">
        <f t="shared" si="10"/>
        <v>-1</v>
      </c>
      <c r="Q154" t="s">
        <v>5</v>
      </c>
    </row>
    <row r="155" spans="1:17" x14ac:dyDescent="0.35">
      <c r="A155" t="s">
        <v>12</v>
      </c>
      <c r="B155">
        <v>13</v>
      </c>
      <c r="C155">
        <v>302</v>
      </c>
      <c r="D155">
        <v>175</v>
      </c>
      <c r="E155">
        <v>127</v>
      </c>
      <c r="F155">
        <v>1</v>
      </c>
      <c r="G155">
        <v>21</v>
      </c>
      <c r="H155">
        <v>351</v>
      </c>
      <c r="I155">
        <v>261</v>
      </c>
      <c r="J155">
        <v>90</v>
      </c>
      <c r="K155">
        <v>0</v>
      </c>
      <c r="L155">
        <f t="shared" si="11"/>
        <v>-8</v>
      </c>
      <c r="M155">
        <f t="shared" si="12"/>
        <v>-49</v>
      </c>
      <c r="N155">
        <f t="shared" si="13"/>
        <v>-86</v>
      </c>
      <c r="O155">
        <f t="shared" si="14"/>
        <v>37</v>
      </c>
      <c r="P155">
        <f t="shared" si="10"/>
        <v>1</v>
      </c>
      <c r="Q155" t="s">
        <v>7</v>
      </c>
    </row>
    <row r="156" spans="1:17" x14ac:dyDescent="0.35">
      <c r="A156" t="s">
        <v>11</v>
      </c>
      <c r="B156">
        <v>20</v>
      </c>
      <c r="C156">
        <v>394</v>
      </c>
      <c r="D156">
        <v>270</v>
      </c>
      <c r="E156">
        <v>124</v>
      </c>
      <c r="F156">
        <v>1</v>
      </c>
      <c r="G156">
        <v>19</v>
      </c>
      <c r="H156">
        <v>321</v>
      </c>
      <c r="I156">
        <v>284</v>
      </c>
      <c r="J156">
        <v>37</v>
      </c>
      <c r="K156">
        <v>2</v>
      </c>
      <c r="L156">
        <f t="shared" si="11"/>
        <v>1</v>
      </c>
      <c r="M156">
        <f t="shared" si="12"/>
        <v>73</v>
      </c>
      <c r="N156">
        <f t="shared" si="13"/>
        <v>-14</v>
      </c>
      <c r="O156">
        <f t="shared" si="14"/>
        <v>87</v>
      </c>
      <c r="P156">
        <f t="shared" si="10"/>
        <v>-1</v>
      </c>
      <c r="Q156" t="s">
        <v>5</v>
      </c>
    </row>
    <row r="157" spans="1:17" x14ac:dyDescent="0.35">
      <c r="A157" t="s">
        <v>11</v>
      </c>
      <c r="B157">
        <v>9</v>
      </c>
      <c r="C157">
        <v>134</v>
      </c>
      <c r="D157">
        <v>49</v>
      </c>
      <c r="E157">
        <v>85</v>
      </c>
      <c r="F157">
        <v>1</v>
      </c>
      <c r="G157">
        <v>22</v>
      </c>
      <c r="H157">
        <v>424</v>
      </c>
      <c r="I157">
        <v>180</v>
      </c>
      <c r="J157">
        <v>244</v>
      </c>
      <c r="K157">
        <v>1</v>
      </c>
      <c r="L157">
        <f t="shared" si="11"/>
        <v>-13</v>
      </c>
      <c r="M157">
        <f t="shared" si="12"/>
        <v>-290</v>
      </c>
      <c r="N157">
        <f t="shared" si="13"/>
        <v>-131</v>
      </c>
      <c r="O157">
        <f t="shared" si="14"/>
        <v>-159</v>
      </c>
      <c r="P157">
        <f t="shared" si="10"/>
        <v>0</v>
      </c>
      <c r="Q157" t="s">
        <v>5</v>
      </c>
    </row>
    <row r="158" spans="1:17" x14ac:dyDescent="0.35">
      <c r="A158" t="s">
        <v>12</v>
      </c>
      <c r="B158">
        <v>13</v>
      </c>
      <c r="C158">
        <v>218</v>
      </c>
      <c r="D158">
        <v>134</v>
      </c>
      <c r="E158">
        <v>84</v>
      </c>
      <c r="F158">
        <v>1</v>
      </c>
      <c r="G158">
        <v>17</v>
      </c>
      <c r="H158">
        <v>359</v>
      </c>
      <c r="I158">
        <v>244</v>
      </c>
      <c r="J158">
        <v>115</v>
      </c>
      <c r="K158">
        <v>2</v>
      </c>
      <c r="L158">
        <f t="shared" si="11"/>
        <v>-4</v>
      </c>
      <c r="M158">
        <f t="shared" si="12"/>
        <v>-141</v>
      </c>
      <c r="N158">
        <f t="shared" si="13"/>
        <v>-110</v>
      </c>
      <c r="O158">
        <f t="shared" si="14"/>
        <v>-31</v>
      </c>
      <c r="P158">
        <f t="shared" si="10"/>
        <v>-1</v>
      </c>
      <c r="Q158" t="s">
        <v>7</v>
      </c>
    </row>
    <row r="159" spans="1:17" x14ac:dyDescent="0.35">
      <c r="A159" t="s">
        <v>11</v>
      </c>
      <c r="B159">
        <v>22</v>
      </c>
      <c r="C159">
        <v>391</v>
      </c>
      <c r="D159">
        <v>301</v>
      </c>
      <c r="E159">
        <v>90</v>
      </c>
      <c r="F159">
        <v>1</v>
      </c>
      <c r="G159">
        <v>26</v>
      </c>
      <c r="H159">
        <v>414</v>
      </c>
      <c r="I159">
        <v>280</v>
      </c>
      <c r="J159">
        <v>134</v>
      </c>
      <c r="K159">
        <v>3</v>
      </c>
      <c r="L159">
        <f t="shared" si="11"/>
        <v>-4</v>
      </c>
      <c r="M159">
        <f t="shared" si="12"/>
        <v>-23</v>
      </c>
      <c r="N159">
        <f t="shared" si="13"/>
        <v>21</v>
      </c>
      <c r="O159">
        <f t="shared" si="14"/>
        <v>-44</v>
      </c>
      <c r="P159">
        <f t="shared" si="10"/>
        <v>-2</v>
      </c>
      <c r="Q159" t="s">
        <v>7</v>
      </c>
    </row>
    <row r="160" spans="1:17" x14ac:dyDescent="0.35">
      <c r="A160" t="s">
        <v>11</v>
      </c>
      <c r="B160">
        <v>15</v>
      </c>
      <c r="C160">
        <v>251</v>
      </c>
      <c r="D160">
        <v>199</v>
      </c>
      <c r="E160">
        <v>52</v>
      </c>
      <c r="F160">
        <v>1</v>
      </c>
      <c r="G160">
        <v>27</v>
      </c>
      <c r="H160">
        <v>419</v>
      </c>
      <c r="I160">
        <v>327</v>
      </c>
      <c r="J160">
        <v>92</v>
      </c>
      <c r="K160">
        <v>1</v>
      </c>
      <c r="L160">
        <f t="shared" si="11"/>
        <v>-12</v>
      </c>
      <c r="M160">
        <f t="shared" si="12"/>
        <v>-168</v>
      </c>
      <c r="N160">
        <f t="shared" si="13"/>
        <v>-128</v>
      </c>
      <c r="O160">
        <f t="shared" si="14"/>
        <v>-40</v>
      </c>
      <c r="P160">
        <f t="shared" si="10"/>
        <v>0</v>
      </c>
      <c r="Q160" t="s">
        <v>5</v>
      </c>
    </row>
    <row r="161" spans="1:17" x14ac:dyDescent="0.35">
      <c r="A161" t="s">
        <v>12</v>
      </c>
      <c r="B161">
        <v>25</v>
      </c>
      <c r="C161">
        <v>348</v>
      </c>
      <c r="D161">
        <v>198</v>
      </c>
      <c r="E161">
        <v>150</v>
      </c>
      <c r="F161">
        <v>0</v>
      </c>
      <c r="G161">
        <v>13</v>
      </c>
      <c r="H161">
        <v>191</v>
      </c>
      <c r="I161">
        <v>95</v>
      </c>
      <c r="J161">
        <v>96</v>
      </c>
      <c r="K161">
        <v>0</v>
      </c>
      <c r="L161">
        <f t="shared" si="11"/>
        <v>12</v>
      </c>
      <c r="M161">
        <f t="shared" si="12"/>
        <v>157</v>
      </c>
      <c r="N161">
        <f t="shared" si="13"/>
        <v>103</v>
      </c>
      <c r="O161">
        <f t="shared" si="14"/>
        <v>54</v>
      </c>
      <c r="P161">
        <f t="shared" si="10"/>
        <v>0</v>
      </c>
      <c r="Q161" t="s">
        <v>7</v>
      </c>
    </row>
    <row r="162" spans="1:17" x14ac:dyDescent="0.35">
      <c r="A162" t="s">
        <v>12</v>
      </c>
      <c r="B162">
        <v>16</v>
      </c>
      <c r="C162">
        <v>238</v>
      </c>
      <c r="D162">
        <v>168</v>
      </c>
      <c r="E162">
        <v>70</v>
      </c>
      <c r="F162">
        <v>1</v>
      </c>
      <c r="G162">
        <v>18</v>
      </c>
      <c r="H162">
        <v>477</v>
      </c>
      <c r="I162">
        <v>380</v>
      </c>
      <c r="J162">
        <v>97</v>
      </c>
      <c r="K162">
        <v>1</v>
      </c>
      <c r="L162">
        <f t="shared" si="11"/>
        <v>-2</v>
      </c>
      <c r="M162">
        <f t="shared" si="12"/>
        <v>-239</v>
      </c>
      <c r="N162">
        <f t="shared" si="13"/>
        <v>-212</v>
      </c>
      <c r="O162">
        <f t="shared" si="14"/>
        <v>-27</v>
      </c>
      <c r="P162">
        <f t="shared" si="10"/>
        <v>0</v>
      </c>
      <c r="Q162" t="s">
        <v>7</v>
      </c>
    </row>
    <row r="163" spans="1:17" x14ac:dyDescent="0.35">
      <c r="A163" t="s">
        <v>12</v>
      </c>
      <c r="B163">
        <v>19</v>
      </c>
      <c r="C163">
        <v>339</v>
      </c>
      <c r="D163">
        <v>245</v>
      </c>
      <c r="E163">
        <v>94</v>
      </c>
      <c r="F163">
        <v>2</v>
      </c>
      <c r="G163">
        <v>21</v>
      </c>
      <c r="H163">
        <v>424</v>
      </c>
      <c r="I163">
        <v>287</v>
      </c>
      <c r="J163">
        <v>137</v>
      </c>
      <c r="K163">
        <v>2</v>
      </c>
      <c r="L163">
        <f t="shared" si="11"/>
        <v>-2</v>
      </c>
      <c r="M163">
        <f t="shared" si="12"/>
        <v>-85</v>
      </c>
      <c r="N163">
        <f t="shared" si="13"/>
        <v>-42</v>
      </c>
      <c r="O163">
        <f t="shared" si="14"/>
        <v>-43</v>
      </c>
      <c r="P163">
        <f t="shared" si="10"/>
        <v>0</v>
      </c>
      <c r="Q163" t="s">
        <v>7</v>
      </c>
    </row>
    <row r="164" spans="1:17" x14ac:dyDescent="0.35">
      <c r="A164" t="s">
        <v>11</v>
      </c>
      <c r="B164">
        <v>16</v>
      </c>
      <c r="C164">
        <v>287</v>
      </c>
      <c r="D164">
        <v>201</v>
      </c>
      <c r="E164">
        <v>86</v>
      </c>
      <c r="F164">
        <v>0</v>
      </c>
      <c r="G164">
        <v>22</v>
      </c>
      <c r="H164">
        <v>373</v>
      </c>
      <c r="I164">
        <v>246</v>
      </c>
      <c r="J164">
        <v>127</v>
      </c>
      <c r="K164">
        <v>2</v>
      </c>
      <c r="L164">
        <f t="shared" si="11"/>
        <v>-6</v>
      </c>
      <c r="M164">
        <f t="shared" si="12"/>
        <v>-86</v>
      </c>
      <c r="N164">
        <f t="shared" si="13"/>
        <v>-45</v>
      </c>
      <c r="O164">
        <f t="shared" si="14"/>
        <v>-41</v>
      </c>
      <c r="P164">
        <f t="shared" si="10"/>
        <v>-2</v>
      </c>
      <c r="Q164" t="s">
        <v>7</v>
      </c>
    </row>
    <row r="165" spans="1:17" x14ac:dyDescent="0.35">
      <c r="A165" t="s">
        <v>12</v>
      </c>
      <c r="B165">
        <v>29</v>
      </c>
      <c r="C165">
        <v>447</v>
      </c>
      <c r="D165">
        <v>261</v>
      </c>
      <c r="E165">
        <v>186</v>
      </c>
      <c r="F165">
        <v>2</v>
      </c>
      <c r="G165">
        <v>29</v>
      </c>
      <c r="H165">
        <v>438</v>
      </c>
      <c r="I165">
        <v>315</v>
      </c>
      <c r="J165">
        <v>123</v>
      </c>
      <c r="K165">
        <v>3</v>
      </c>
      <c r="L165">
        <f t="shared" si="11"/>
        <v>0</v>
      </c>
      <c r="M165">
        <f t="shared" si="12"/>
        <v>9</v>
      </c>
      <c r="N165">
        <f t="shared" si="13"/>
        <v>-54</v>
      </c>
      <c r="O165">
        <f t="shared" si="14"/>
        <v>63</v>
      </c>
      <c r="P165">
        <f t="shared" si="10"/>
        <v>-1</v>
      </c>
      <c r="Q165" t="s">
        <v>5</v>
      </c>
    </row>
    <row r="166" spans="1:17" x14ac:dyDescent="0.35">
      <c r="A166" t="s">
        <v>11</v>
      </c>
      <c r="B166">
        <v>13</v>
      </c>
      <c r="C166">
        <v>299</v>
      </c>
      <c r="D166">
        <v>243</v>
      </c>
      <c r="E166">
        <v>56</v>
      </c>
      <c r="F166">
        <v>0</v>
      </c>
      <c r="G166">
        <v>22</v>
      </c>
      <c r="H166">
        <v>447</v>
      </c>
      <c r="I166">
        <v>277</v>
      </c>
      <c r="J166">
        <v>170</v>
      </c>
      <c r="K166">
        <v>3</v>
      </c>
      <c r="L166">
        <f t="shared" si="11"/>
        <v>-9</v>
      </c>
      <c r="M166">
        <f t="shared" si="12"/>
        <v>-148</v>
      </c>
      <c r="N166">
        <f t="shared" si="13"/>
        <v>-34</v>
      </c>
      <c r="O166">
        <f t="shared" si="14"/>
        <v>-114</v>
      </c>
      <c r="P166">
        <f t="shared" si="10"/>
        <v>-3</v>
      </c>
      <c r="Q166" t="s">
        <v>5</v>
      </c>
    </row>
    <row r="167" spans="1:17" x14ac:dyDescent="0.35">
      <c r="A167" t="s">
        <v>12</v>
      </c>
      <c r="B167">
        <v>26</v>
      </c>
      <c r="C167">
        <v>433</v>
      </c>
      <c r="D167">
        <v>352</v>
      </c>
      <c r="E167">
        <v>81</v>
      </c>
      <c r="F167">
        <v>1</v>
      </c>
      <c r="G167">
        <v>32</v>
      </c>
      <c r="H167">
        <v>504</v>
      </c>
      <c r="I167">
        <v>338</v>
      </c>
      <c r="J167">
        <v>166</v>
      </c>
      <c r="K167">
        <v>0</v>
      </c>
      <c r="L167">
        <f t="shared" si="11"/>
        <v>-6</v>
      </c>
      <c r="M167">
        <f t="shared" si="12"/>
        <v>-71</v>
      </c>
      <c r="N167">
        <f t="shared" si="13"/>
        <v>14</v>
      </c>
      <c r="O167">
        <f t="shared" si="14"/>
        <v>-85</v>
      </c>
      <c r="P167">
        <f t="shared" si="10"/>
        <v>1</v>
      </c>
      <c r="Q167" t="s">
        <v>5</v>
      </c>
    </row>
    <row r="168" spans="1:17" x14ac:dyDescent="0.35">
      <c r="A168" t="s">
        <v>12</v>
      </c>
      <c r="B168">
        <v>17</v>
      </c>
      <c r="C168">
        <v>375</v>
      </c>
      <c r="D168">
        <v>316</v>
      </c>
      <c r="E168">
        <v>59</v>
      </c>
      <c r="F168">
        <v>2</v>
      </c>
      <c r="G168">
        <v>24</v>
      </c>
      <c r="H168">
        <v>370</v>
      </c>
      <c r="I168">
        <v>290</v>
      </c>
      <c r="J168">
        <v>80</v>
      </c>
      <c r="K168">
        <v>1</v>
      </c>
      <c r="L168">
        <f t="shared" si="11"/>
        <v>-7</v>
      </c>
      <c r="M168">
        <f t="shared" si="12"/>
        <v>5</v>
      </c>
      <c r="N168">
        <f t="shared" si="13"/>
        <v>26</v>
      </c>
      <c r="O168">
        <f t="shared" si="14"/>
        <v>-21</v>
      </c>
      <c r="P168">
        <f t="shared" si="10"/>
        <v>1</v>
      </c>
      <c r="Q168" t="s">
        <v>7</v>
      </c>
    </row>
    <row r="169" spans="1:17" x14ac:dyDescent="0.35">
      <c r="A169" t="s">
        <v>11</v>
      </c>
      <c r="B169">
        <v>26</v>
      </c>
      <c r="C169">
        <v>473</v>
      </c>
      <c r="D169">
        <v>383</v>
      </c>
      <c r="E169">
        <v>90</v>
      </c>
      <c r="F169">
        <v>2</v>
      </c>
      <c r="G169">
        <v>25</v>
      </c>
      <c r="H169">
        <v>450</v>
      </c>
      <c r="I169">
        <v>279</v>
      </c>
      <c r="J169">
        <v>171</v>
      </c>
      <c r="K169">
        <v>0</v>
      </c>
      <c r="L169">
        <f t="shared" si="11"/>
        <v>1</v>
      </c>
      <c r="M169">
        <f t="shared" si="12"/>
        <v>23</v>
      </c>
      <c r="N169">
        <f t="shared" si="13"/>
        <v>104</v>
      </c>
      <c r="O169">
        <f t="shared" si="14"/>
        <v>-81</v>
      </c>
      <c r="P169">
        <f t="shared" si="10"/>
        <v>2</v>
      </c>
      <c r="Q169" t="s">
        <v>5</v>
      </c>
    </row>
    <row r="170" spans="1:17" x14ac:dyDescent="0.35">
      <c r="A170" t="s">
        <v>11</v>
      </c>
      <c r="B170">
        <v>21</v>
      </c>
      <c r="C170">
        <v>357</v>
      </c>
      <c r="D170">
        <v>259</v>
      </c>
      <c r="E170">
        <v>98</v>
      </c>
      <c r="F170">
        <v>1</v>
      </c>
      <c r="G170">
        <v>13</v>
      </c>
      <c r="H170">
        <v>226</v>
      </c>
      <c r="I170">
        <v>145</v>
      </c>
      <c r="J170">
        <v>81</v>
      </c>
      <c r="K170">
        <v>0</v>
      </c>
      <c r="L170">
        <f t="shared" si="11"/>
        <v>8</v>
      </c>
      <c r="M170">
        <f t="shared" si="12"/>
        <v>131</v>
      </c>
      <c r="N170">
        <f t="shared" si="13"/>
        <v>114</v>
      </c>
      <c r="O170">
        <f t="shared" si="14"/>
        <v>17</v>
      </c>
      <c r="P170">
        <f t="shared" si="10"/>
        <v>1</v>
      </c>
      <c r="Q170" t="s">
        <v>5</v>
      </c>
    </row>
    <row r="171" spans="1:17" x14ac:dyDescent="0.35">
      <c r="A171" t="s">
        <v>12</v>
      </c>
      <c r="B171">
        <v>19</v>
      </c>
      <c r="C171">
        <v>312</v>
      </c>
      <c r="D171">
        <v>191</v>
      </c>
      <c r="E171">
        <v>121</v>
      </c>
      <c r="F171">
        <v>0</v>
      </c>
      <c r="G171">
        <v>26</v>
      </c>
      <c r="H171">
        <v>509</v>
      </c>
      <c r="I171">
        <v>434</v>
      </c>
      <c r="J171">
        <v>75</v>
      </c>
      <c r="K171">
        <v>1</v>
      </c>
      <c r="L171">
        <f t="shared" si="11"/>
        <v>-7</v>
      </c>
      <c r="M171">
        <f t="shared" si="12"/>
        <v>-197</v>
      </c>
      <c r="N171">
        <f t="shared" si="13"/>
        <v>-243</v>
      </c>
      <c r="O171">
        <f t="shared" si="14"/>
        <v>46</v>
      </c>
      <c r="P171">
        <f t="shared" si="10"/>
        <v>-1</v>
      </c>
      <c r="Q171" t="s">
        <v>5</v>
      </c>
    </row>
    <row r="172" spans="1:17" x14ac:dyDescent="0.35">
      <c r="A172" t="s">
        <v>11</v>
      </c>
      <c r="B172">
        <v>21</v>
      </c>
      <c r="C172">
        <v>364</v>
      </c>
      <c r="D172">
        <v>189</v>
      </c>
      <c r="E172">
        <v>175</v>
      </c>
      <c r="F172">
        <v>4</v>
      </c>
      <c r="G172">
        <v>13</v>
      </c>
      <c r="H172">
        <v>230</v>
      </c>
      <c r="I172">
        <v>144</v>
      </c>
      <c r="J172">
        <v>86</v>
      </c>
      <c r="K172">
        <v>2</v>
      </c>
      <c r="L172">
        <f t="shared" si="11"/>
        <v>8</v>
      </c>
      <c r="M172">
        <f t="shared" si="12"/>
        <v>134</v>
      </c>
      <c r="N172">
        <f t="shared" si="13"/>
        <v>45</v>
      </c>
      <c r="O172">
        <f t="shared" si="14"/>
        <v>89</v>
      </c>
      <c r="P172">
        <f t="shared" si="10"/>
        <v>2</v>
      </c>
      <c r="Q172" t="s">
        <v>5</v>
      </c>
    </row>
    <row r="173" spans="1:17" x14ac:dyDescent="0.35">
      <c r="A173" t="s">
        <v>12</v>
      </c>
      <c r="B173">
        <v>19</v>
      </c>
      <c r="C173">
        <v>364</v>
      </c>
      <c r="D173">
        <v>259</v>
      </c>
      <c r="E173">
        <v>105</v>
      </c>
      <c r="F173">
        <v>1</v>
      </c>
      <c r="G173">
        <v>22</v>
      </c>
      <c r="H173">
        <v>419</v>
      </c>
      <c r="I173">
        <v>331</v>
      </c>
      <c r="J173">
        <v>88</v>
      </c>
      <c r="K173">
        <v>1</v>
      </c>
      <c r="L173">
        <f t="shared" si="11"/>
        <v>-3</v>
      </c>
      <c r="M173">
        <f t="shared" si="12"/>
        <v>-55</v>
      </c>
      <c r="N173">
        <f t="shared" si="13"/>
        <v>-72</v>
      </c>
      <c r="O173">
        <f t="shared" si="14"/>
        <v>17</v>
      </c>
      <c r="P173">
        <f t="shared" si="10"/>
        <v>0</v>
      </c>
      <c r="Q173" t="s">
        <v>5</v>
      </c>
    </row>
    <row r="174" spans="1:17" x14ac:dyDescent="0.35">
      <c r="A174" t="s">
        <v>11</v>
      </c>
      <c r="B174">
        <v>18</v>
      </c>
      <c r="C174">
        <v>231</v>
      </c>
      <c r="D174">
        <v>161</v>
      </c>
      <c r="E174">
        <v>70</v>
      </c>
      <c r="F174">
        <v>2</v>
      </c>
      <c r="G174">
        <v>22</v>
      </c>
      <c r="H174">
        <v>354</v>
      </c>
      <c r="I174">
        <v>234</v>
      </c>
      <c r="J174">
        <v>120</v>
      </c>
      <c r="K174">
        <v>0</v>
      </c>
      <c r="L174">
        <f t="shared" si="11"/>
        <v>-4</v>
      </c>
      <c r="M174">
        <f t="shared" si="12"/>
        <v>-123</v>
      </c>
      <c r="N174">
        <f t="shared" si="13"/>
        <v>-73</v>
      </c>
      <c r="O174">
        <f t="shared" si="14"/>
        <v>-50</v>
      </c>
      <c r="P174">
        <f t="shared" si="10"/>
        <v>2</v>
      </c>
      <c r="Q174" t="s">
        <v>5</v>
      </c>
    </row>
    <row r="175" spans="1:17" x14ac:dyDescent="0.35">
      <c r="A175" t="s">
        <v>12</v>
      </c>
      <c r="B175">
        <v>16</v>
      </c>
      <c r="C175">
        <v>295</v>
      </c>
      <c r="D175">
        <v>250</v>
      </c>
      <c r="E175">
        <v>45</v>
      </c>
      <c r="F175">
        <v>3</v>
      </c>
      <c r="G175">
        <v>23</v>
      </c>
      <c r="H175">
        <v>495</v>
      </c>
      <c r="I175">
        <v>446</v>
      </c>
      <c r="J175">
        <v>49</v>
      </c>
      <c r="K175">
        <v>1</v>
      </c>
      <c r="L175">
        <f t="shared" si="11"/>
        <v>-7</v>
      </c>
      <c r="M175">
        <f t="shared" si="12"/>
        <v>-200</v>
      </c>
      <c r="N175">
        <f t="shared" si="13"/>
        <v>-196</v>
      </c>
      <c r="O175">
        <f t="shared" si="14"/>
        <v>-4</v>
      </c>
      <c r="P175">
        <f t="shared" si="10"/>
        <v>2</v>
      </c>
      <c r="Q175" t="s">
        <v>5</v>
      </c>
    </row>
    <row r="176" spans="1:17" x14ac:dyDescent="0.35">
      <c r="A176" t="s">
        <v>11</v>
      </c>
      <c r="B176">
        <v>13</v>
      </c>
      <c r="C176">
        <v>191</v>
      </c>
      <c r="D176">
        <v>95</v>
      </c>
      <c r="E176">
        <v>96</v>
      </c>
      <c r="F176">
        <v>0</v>
      </c>
      <c r="G176">
        <v>25</v>
      </c>
      <c r="H176">
        <v>348</v>
      </c>
      <c r="I176">
        <v>198</v>
      </c>
      <c r="J176">
        <v>150</v>
      </c>
      <c r="K176">
        <v>0</v>
      </c>
      <c r="L176">
        <f t="shared" si="11"/>
        <v>-12</v>
      </c>
      <c r="M176">
        <f t="shared" si="12"/>
        <v>-157</v>
      </c>
      <c r="N176">
        <f t="shared" si="13"/>
        <v>-103</v>
      </c>
      <c r="O176">
        <f t="shared" si="14"/>
        <v>-54</v>
      </c>
      <c r="P176">
        <f t="shared" si="10"/>
        <v>0</v>
      </c>
      <c r="Q176" t="s">
        <v>5</v>
      </c>
    </row>
    <row r="177" spans="1:17" x14ac:dyDescent="0.35">
      <c r="A177" t="s">
        <v>12</v>
      </c>
      <c r="B177">
        <v>17</v>
      </c>
      <c r="C177">
        <v>305</v>
      </c>
      <c r="D177">
        <v>134</v>
      </c>
      <c r="E177">
        <v>171</v>
      </c>
      <c r="F177">
        <v>1</v>
      </c>
      <c r="G177">
        <v>25</v>
      </c>
      <c r="H177">
        <v>432</v>
      </c>
      <c r="I177">
        <v>312</v>
      </c>
      <c r="J177">
        <v>120</v>
      </c>
      <c r="K177">
        <v>1</v>
      </c>
      <c r="L177">
        <f t="shared" si="11"/>
        <v>-8</v>
      </c>
      <c r="M177">
        <f t="shared" si="12"/>
        <v>-127</v>
      </c>
      <c r="N177">
        <f t="shared" si="13"/>
        <v>-178</v>
      </c>
      <c r="O177">
        <f t="shared" si="14"/>
        <v>51</v>
      </c>
      <c r="P177">
        <f t="shared" si="10"/>
        <v>0</v>
      </c>
      <c r="Q177" t="s">
        <v>5</v>
      </c>
    </row>
    <row r="178" spans="1:17" x14ac:dyDescent="0.35">
      <c r="A178" t="s">
        <v>11</v>
      </c>
      <c r="B178">
        <v>13</v>
      </c>
      <c r="C178">
        <v>213</v>
      </c>
      <c r="D178">
        <v>166</v>
      </c>
      <c r="E178">
        <v>47</v>
      </c>
      <c r="F178">
        <v>0</v>
      </c>
      <c r="G178">
        <v>16</v>
      </c>
      <c r="H178">
        <v>254</v>
      </c>
      <c r="I178">
        <v>208</v>
      </c>
      <c r="J178">
        <v>46</v>
      </c>
      <c r="K178">
        <v>1</v>
      </c>
      <c r="L178">
        <f t="shared" si="11"/>
        <v>-3</v>
      </c>
      <c r="M178">
        <f t="shared" si="12"/>
        <v>-41</v>
      </c>
      <c r="N178">
        <f t="shared" si="13"/>
        <v>-42</v>
      </c>
      <c r="O178">
        <f t="shared" si="14"/>
        <v>1</v>
      </c>
      <c r="P178">
        <f t="shared" si="10"/>
        <v>-1</v>
      </c>
      <c r="Q178" t="s">
        <v>7</v>
      </c>
    </row>
    <row r="179" spans="1:17" x14ac:dyDescent="0.35">
      <c r="A179" t="s">
        <v>12</v>
      </c>
      <c r="B179">
        <v>20</v>
      </c>
      <c r="C179">
        <v>335</v>
      </c>
      <c r="D179">
        <v>191</v>
      </c>
      <c r="E179">
        <v>144</v>
      </c>
      <c r="F179">
        <v>2</v>
      </c>
      <c r="G179">
        <v>15</v>
      </c>
      <c r="H179">
        <v>421</v>
      </c>
      <c r="I179">
        <v>223</v>
      </c>
      <c r="J179">
        <v>198</v>
      </c>
      <c r="K179">
        <v>4</v>
      </c>
      <c r="L179">
        <f t="shared" si="11"/>
        <v>5</v>
      </c>
      <c r="M179">
        <f t="shared" si="12"/>
        <v>-86</v>
      </c>
      <c r="N179">
        <f t="shared" si="13"/>
        <v>-32</v>
      </c>
      <c r="O179">
        <f t="shared" si="14"/>
        <v>-54</v>
      </c>
      <c r="P179">
        <f t="shared" si="10"/>
        <v>-2</v>
      </c>
      <c r="Q179" t="s">
        <v>7</v>
      </c>
    </row>
    <row r="180" spans="1:17" x14ac:dyDescent="0.35">
      <c r="A180" t="s">
        <v>12</v>
      </c>
      <c r="B180">
        <v>16</v>
      </c>
      <c r="C180">
        <v>312</v>
      </c>
      <c r="D180">
        <v>235</v>
      </c>
      <c r="E180">
        <v>77</v>
      </c>
      <c r="F180">
        <v>0</v>
      </c>
      <c r="G180">
        <v>20</v>
      </c>
      <c r="H180">
        <v>310</v>
      </c>
      <c r="I180">
        <v>161</v>
      </c>
      <c r="J180">
        <v>149</v>
      </c>
      <c r="K180">
        <v>3</v>
      </c>
      <c r="L180">
        <f t="shared" si="11"/>
        <v>-4</v>
      </c>
      <c r="M180">
        <f t="shared" si="12"/>
        <v>2</v>
      </c>
      <c r="N180">
        <f t="shared" si="13"/>
        <v>74</v>
      </c>
      <c r="O180">
        <f t="shared" si="14"/>
        <v>-72</v>
      </c>
      <c r="P180">
        <f t="shared" si="10"/>
        <v>-3</v>
      </c>
      <c r="Q180" t="s">
        <v>7</v>
      </c>
    </row>
    <row r="181" spans="1:17" x14ac:dyDescent="0.35">
      <c r="A181" t="s">
        <v>12</v>
      </c>
      <c r="B181">
        <v>31</v>
      </c>
      <c r="C181">
        <v>491</v>
      </c>
      <c r="D181">
        <v>414</v>
      </c>
      <c r="E181">
        <v>77</v>
      </c>
      <c r="F181">
        <v>2</v>
      </c>
      <c r="G181">
        <v>24</v>
      </c>
      <c r="H181">
        <v>336</v>
      </c>
      <c r="I181">
        <v>160</v>
      </c>
      <c r="J181">
        <v>176</v>
      </c>
      <c r="K181">
        <v>0</v>
      </c>
      <c r="L181">
        <f t="shared" si="11"/>
        <v>7</v>
      </c>
      <c r="M181">
        <f t="shared" si="12"/>
        <v>155</v>
      </c>
      <c r="N181">
        <f t="shared" si="13"/>
        <v>254</v>
      </c>
      <c r="O181">
        <f t="shared" si="14"/>
        <v>-99</v>
      </c>
      <c r="P181">
        <f t="shared" si="10"/>
        <v>2</v>
      </c>
      <c r="Q181" t="s">
        <v>5</v>
      </c>
    </row>
    <row r="182" spans="1:17" x14ac:dyDescent="0.35">
      <c r="A182" t="s">
        <v>11</v>
      </c>
      <c r="B182">
        <v>24</v>
      </c>
      <c r="C182">
        <v>335</v>
      </c>
      <c r="D182">
        <v>215</v>
      </c>
      <c r="E182">
        <v>120</v>
      </c>
      <c r="F182">
        <v>0</v>
      </c>
      <c r="G182">
        <v>32</v>
      </c>
      <c r="H182">
        <v>563</v>
      </c>
      <c r="I182">
        <v>441</v>
      </c>
      <c r="J182">
        <v>122</v>
      </c>
      <c r="K182">
        <v>3</v>
      </c>
      <c r="L182">
        <f t="shared" si="11"/>
        <v>-8</v>
      </c>
      <c r="M182">
        <f t="shared" si="12"/>
        <v>-228</v>
      </c>
      <c r="N182">
        <f t="shared" si="13"/>
        <v>-226</v>
      </c>
      <c r="O182">
        <f t="shared" si="14"/>
        <v>-2</v>
      </c>
      <c r="P182">
        <f t="shared" si="10"/>
        <v>-3</v>
      </c>
      <c r="Q182" t="s">
        <v>7</v>
      </c>
    </row>
    <row r="183" spans="1:17" x14ac:dyDescent="0.35">
      <c r="A183" t="s">
        <v>12</v>
      </c>
      <c r="B183">
        <v>22</v>
      </c>
      <c r="C183">
        <v>447</v>
      </c>
      <c r="D183">
        <v>277</v>
      </c>
      <c r="E183">
        <v>170</v>
      </c>
      <c r="F183">
        <v>3</v>
      </c>
      <c r="G183">
        <v>13</v>
      </c>
      <c r="H183">
        <v>299</v>
      </c>
      <c r="I183">
        <v>243</v>
      </c>
      <c r="J183">
        <v>56</v>
      </c>
      <c r="K183">
        <v>0</v>
      </c>
      <c r="L183">
        <f t="shared" si="11"/>
        <v>9</v>
      </c>
      <c r="M183">
        <f t="shared" si="12"/>
        <v>148</v>
      </c>
      <c r="N183">
        <f t="shared" si="13"/>
        <v>34</v>
      </c>
      <c r="O183">
        <f t="shared" si="14"/>
        <v>114</v>
      </c>
      <c r="P183">
        <f t="shared" si="10"/>
        <v>3</v>
      </c>
      <c r="Q183" t="s">
        <v>7</v>
      </c>
    </row>
    <row r="184" spans="1:17" x14ac:dyDescent="0.35">
      <c r="A184" t="s">
        <v>12</v>
      </c>
      <c r="B184">
        <v>22</v>
      </c>
      <c r="C184">
        <v>481</v>
      </c>
      <c r="D184">
        <v>421</v>
      </c>
      <c r="E184">
        <v>60</v>
      </c>
      <c r="F184">
        <v>0</v>
      </c>
      <c r="G184">
        <v>21</v>
      </c>
      <c r="H184">
        <v>484</v>
      </c>
      <c r="I184">
        <v>329</v>
      </c>
      <c r="J184">
        <v>155</v>
      </c>
      <c r="K184">
        <v>2</v>
      </c>
      <c r="L184">
        <f t="shared" si="11"/>
        <v>1</v>
      </c>
      <c r="M184">
        <f t="shared" si="12"/>
        <v>-3</v>
      </c>
      <c r="N184">
        <f t="shared" si="13"/>
        <v>92</v>
      </c>
      <c r="O184">
        <f t="shared" si="14"/>
        <v>-95</v>
      </c>
      <c r="P184">
        <f t="shared" si="10"/>
        <v>-2</v>
      </c>
      <c r="Q184" t="s">
        <v>7</v>
      </c>
    </row>
    <row r="185" spans="1:17" x14ac:dyDescent="0.35">
      <c r="A185" t="s">
        <v>11</v>
      </c>
      <c r="B185">
        <v>21</v>
      </c>
      <c r="C185">
        <v>374</v>
      </c>
      <c r="D185">
        <v>256</v>
      </c>
      <c r="E185">
        <v>118</v>
      </c>
      <c r="F185">
        <v>0</v>
      </c>
      <c r="G185">
        <v>21</v>
      </c>
      <c r="H185">
        <v>337</v>
      </c>
      <c r="I185">
        <v>249</v>
      </c>
      <c r="J185">
        <v>88</v>
      </c>
      <c r="K185">
        <v>1</v>
      </c>
      <c r="L185">
        <f t="shared" si="11"/>
        <v>0</v>
      </c>
      <c r="M185">
        <f t="shared" si="12"/>
        <v>37</v>
      </c>
      <c r="N185">
        <f t="shared" si="13"/>
        <v>7</v>
      </c>
      <c r="O185">
        <f t="shared" si="14"/>
        <v>30</v>
      </c>
      <c r="P185">
        <f t="shared" si="10"/>
        <v>-1</v>
      </c>
      <c r="Q185" t="s">
        <v>7</v>
      </c>
    </row>
    <row r="186" spans="1:17" x14ac:dyDescent="0.35">
      <c r="A186" t="s">
        <v>11</v>
      </c>
      <c r="B186">
        <v>13</v>
      </c>
      <c r="C186">
        <v>184</v>
      </c>
      <c r="D186">
        <v>139</v>
      </c>
      <c r="E186">
        <v>45</v>
      </c>
      <c r="F186">
        <v>0</v>
      </c>
      <c r="G186">
        <v>24</v>
      </c>
      <c r="H186">
        <v>442</v>
      </c>
      <c r="I186">
        <v>283</v>
      </c>
      <c r="J186">
        <v>159</v>
      </c>
      <c r="K186">
        <v>0</v>
      </c>
      <c r="L186">
        <f t="shared" si="11"/>
        <v>-11</v>
      </c>
      <c r="M186">
        <f t="shared" si="12"/>
        <v>-258</v>
      </c>
      <c r="N186">
        <f t="shared" si="13"/>
        <v>-144</v>
      </c>
      <c r="O186">
        <f t="shared" si="14"/>
        <v>-114</v>
      </c>
      <c r="P186">
        <f t="shared" si="10"/>
        <v>0</v>
      </c>
      <c r="Q186" t="s">
        <v>5</v>
      </c>
    </row>
    <row r="187" spans="1:17" x14ac:dyDescent="0.35">
      <c r="A187" t="s">
        <v>12</v>
      </c>
      <c r="B187">
        <v>23</v>
      </c>
      <c r="C187">
        <v>388</v>
      </c>
      <c r="D187">
        <v>225</v>
      </c>
      <c r="E187">
        <v>163</v>
      </c>
      <c r="F187">
        <v>0</v>
      </c>
      <c r="G187">
        <v>26</v>
      </c>
      <c r="H187">
        <v>401</v>
      </c>
      <c r="I187">
        <v>281</v>
      </c>
      <c r="J187">
        <v>120</v>
      </c>
      <c r="K187">
        <v>2</v>
      </c>
      <c r="L187">
        <f t="shared" si="11"/>
        <v>-3</v>
      </c>
      <c r="M187">
        <f t="shared" si="12"/>
        <v>-13</v>
      </c>
      <c r="N187">
        <f t="shared" si="13"/>
        <v>-56</v>
      </c>
      <c r="O187">
        <f t="shared" si="14"/>
        <v>43</v>
      </c>
      <c r="P187">
        <f t="shared" si="10"/>
        <v>-2</v>
      </c>
      <c r="Q187" t="s">
        <v>7</v>
      </c>
    </row>
    <row r="188" spans="1:17" x14ac:dyDescent="0.35">
      <c r="A188" t="s">
        <v>11</v>
      </c>
      <c r="B188">
        <v>19</v>
      </c>
      <c r="C188">
        <v>198</v>
      </c>
      <c r="D188">
        <v>81</v>
      </c>
      <c r="E188">
        <v>117</v>
      </c>
      <c r="F188">
        <v>1</v>
      </c>
      <c r="G188">
        <v>16</v>
      </c>
      <c r="H188">
        <v>339</v>
      </c>
      <c r="I188">
        <v>227</v>
      </c>
      <c r="J188">
        <v>112</v>
      </c>
      <c r="K188">
        <v>0</v>
      </c>
      <c r="L188">
        <f t="shared" si="11"/>
        <v>3</v>
      </c>
      <c r="M188">
        <f t="shared" si="12"/>
        <v>-141</v>
      </c>
      <c r="N188">
        <f t="shared" si="13"/>
        <v>-146</v>
      </c>
      <c r="O188">
        <f t="shared" si="14"/>
        <v>5</v>
      </c>
      <c r="P188">
        <f t="shared" si="10"/>
        <v>1</v>
      </c>
      <c r="Q188" t="s">
        <v>5</v>
      </c>
    </row>
    <row r="189" spans="1:17" x14ac:dyDescent="0.35">
      <c r="A189" t="s">
        <v>11</v>
      </c>
      <c r="B189">
        <v>19</v>
      </c>
      <c r="C189">
        <v>322</v>
      </c>
      <c r="D189">
        <v>243</v>
      </c>
      <c r="E189">
        <v>79</v>
      </c>
      <c r="F189">
        <v>0</v>
      </c>
      <c r="G189">
        <v>20</v>
      </c>
      <c r="H189">
        <v>335</v>
      </c>
      <c r="I189">
        <v>240</v>
      </c>
      <c r="J189">
        <v>95</v>
      </c>
      <c r="K189">
        <v>3</v>
      </c>
      <c r="L189">
        <f t="shared" si="11"/>
        <v>-1</v>
      </c>
      <c r="M189">
        <f t="shared" si="12"/>
        <v>-13</v>
      </c>
      <c r="N189">
        <f t="shared" si="13"/>
        <v>3</v>
      </c>
      <c r="O189">
        <f t="shared" si="14"/>
        <v>-16</v>
      </c>
      <c r="P189">
        <f t="shared" si="10"/>
        <v>-3</v>
      </c>
      <c r="Q189" t="s">
        <v>7</v>
      </c>
    </row>
    <row r="190" spans="1:17" x14ac:dyDescent="0.35">
      <c r="A190" t="s">
        <v>12</v>
      </c>
      <c r="B190">
        <v>18</v>
      </c>
      <c r="C190">
        <v>341</v>
      </c>
      <c r="D190">
        <v>167</v>
      </c>
      <c r="E190">
        <v>174</v>
      </c>
      <c r="F190">
        <v>1</v>
      </c>
      <c r="G190">
        <v>18</v>
      </c>
      <c r="H190">
        <v>262</v>
      </c>
      <c r="I190">
        <v>141</v>
      </c>
      <c r="J190">
        <v>121</v>
      </c>
      <c r="K190">
        <v>1</v>
      </c>
      <c r="L190">
        <f t="shared" si="11"/>
        <v>0</v>
      </c>
      <c r="M190">
        <f t="shared" si="12"/>
        <v>79</v>
      </c>
      <c r="N190">
        <f t="shared" si="13"/>
        <v>26</v>
      </c>
      <c r="O190">
        <f t="shared" si="14"/>
        <v>53</v>
      </c>
      <c r="P190">
        <f t="shared" si="10"/>
        <v>0</v>
      </c>
      <c r="Q190" t="s">
        <v>7</v>
      </c>
    </row>
    <row r="191" spans="1:17" x14ac:dyDescent="0.35">
      <c r="A191" t="s">
        <v>12</v>
      </c>
      <c r="B191">
        <v>12</v>
      </c>
      <c r="C191">
        <v>292</v>
      </c>
      <c r="D191">
        <v>192</v>
      </c>
      <c r="E191">
        <v>100</v>
      </c>
      <c r="F191">
        <v>0</v>
      </c>
      <c r="G191">
        <v>20</v>
      </c>
      <c r="H191">
        <v>415</v>
      </c>
      <c r="I191">
        <v>319</v>
      </c>
      <c r="J191">
        <v>96</v>
      </c>
      <c r="K191">
        <v>3</v>
      </c>
      <c r="L191">
        <f t="shared" si="11"/>
        <v>-8</v>
      </c>
      <c r="M191">
        <f t="shared" si="12"/>
        <v>-123</v>
      </c>
      <c r="N191">
        <f t="shared" si="13"/>
        <v>-127</v>
      </c>
      <c r="O191">
        <f t="shared" si="14"/>
        <v>4</v>
      </c>
      <c r="P191">
        <f t="shared" si="10"/>
        <v>-3</v>
      </c>
      <c r="Q191" t="s">
        <v>7</v>
      </c>
    </row>
    <row r="192" spans="1:17" x14ac:dyDescent="0.35">
      <c r="A192" t="s">
        <v>11</v>
      </c>
      <c r="B192">
        <v>22</v>
      </c>
      <c r="C192">
        <v>383</v>
      </c>
      <c r="D192">
        <v>199</v>
      </c>
      <c r="E192">
        <v>184</v>
      </c>
      <c r="F192">
        <v>3</v>
      </c>
      <c r="G192">
        <v>7</v>
      </c>
      <c r="H192">
        <v>139</v>
      </c>
      <c r="I192">
        <v>82</v>
      </c>
      <c r="J192">
        <v>57</v>
      </c>
      <c r="K192">
        <v>1</v>
      </c>
      <c r="L192">
        <f t="shared" si="11"/>
        <v>15</v>
      </c>
      <c r="M192">
        <f t="shared" si="12"/>
        <v>244</v>
      </c>
      <c r="N192">
        <f t="shared" si="13"/>
        <v>117</v>
      </c>
      <c r="O192">
        <f t="shared" si="14"/>
        <v>127</v>
      </c>
      <c r="P192">
        <f t="shared" si="10"/>
        <v>2</v>
      </c>
      <c r="Q192" t="s">
        <v>7</v>
      </c>
    </row>
    <row r="193" spans="1:17" x14ac:dyDescent="0.35">
      <c r="A193" t="s">
        <v>11</v>
      </c>
      <c r="B193">
        <v>25</v>
      </c>
      <c r="C193">
        <v>432</v>
      </c>
      <c r="D193">
        <v>312</v>
      </c>
      <c r="E193">
        <v>120</v>
      </c>
      <c r="F193">
        <v>1</v>
      </c>
      <c r="G193">
        <v>17</v>
      </c>
      <c r="H193">
        <v>305</v>
      </c>
      <c r="I193">
        <v>134</v>
      </c>
      <c r="J193">
        <v>171</v>
      </c>
      <c r="K193">
        <v>1</v>
      </c>
      <c r="L193">
        <f t="shared" si="11"/>
        <v>8</v>
      </c>
      <c r="M193">
        <f t="shared" si="12"/>
        <v>127</v>
      </c>
      <c r="N193">
        <f t="shared" si="13"/>
        <v>178</v>
      </c>
      <c r="O193">
        <f t="shared" si="14"/>
        <v>-51</v>
      </c>
      <c r="P193">
        <f t="shared" si="10"/>
        <v>0</v>
      </c>
      <c r="Q193" t="s">
        <v>7</v>
      </c>
    </row>
    <row r="194" spans="1:17" x14ac:dyDescent="0.35">
      <c r="A194" t="s">
        <v>12</v>
      </c>
      <c r="B194">
        <v>22</v>
      </c>
      <c r="C194">
        <v>344</v>
      </c>
      <c r="D194">
        <v>235</v>
      </c>
      <c r="E194">
        <v>109</v>
      </c>
      <c r="F194">
        <v>0</v>
      </c>
      <c r="G194">
        <v>23</v>
      </c>
      <c r="H194">
        <v>375</v>
      </c>
      <c r="I194">
        <v>265</v>
      </c>
      <c r="J194">
        <v>110</v>
      </c>
      <c r="K194">
        <v>0</v>
      </c>
      <c r="L194">
        <f t="shared" si="11"/>
        <v>-1</v>
      </c>
      <c r="M194">
        <f t="shared" si="12"/>
        <v>-31</v>
      </c>
      <c r="N194">
        <f t="shared" si="13"/>
        <v>-30</v>
      </c>
      <c r="O194">
        <f t="shared" si="14"/>
        <v>-1</v>
      </c>
      <c r="P194">
        <f t="shared" ref="P194:P257" si="15">F194-K194</f>
        <v>0</v>
      </c>
      <c r="Q194" t="s">
        <v>7</v>
      </c>
    </row>
    <row r="195" spans="1:17" x14ac:dyDescent="0.35">
      <c r="A195" t="s">
        <v>11</v>
      </c>
      <c r="B195">
        <v>21</v>
      </c>
      <c r="C195">
        <v>358</v>
      </c>
      <c r="D195">
        <v>296</v>
      </c>
      <c r="E195">
        <v>62</v>
      </c>
      <c r="F195">
        <v>3</v>
      </c>
      <c r="G195">
        <v>19</v>
      </c>
      <c r="H195">
        <v>354</v>
      </c>
      <c r="I195">
        <v>69</v>
      </c>
      <c r="J195">
        <v>285</v>
      </c>
      <c r="K195">
        <v>0</v>
      </c>
      <c r="L195">
        <f t="shared" ref="L195:L258" si="16">B195-G195</f>
        <v>2</v>
      </c>
      <c r="M195">
        <f t="shared" ref="M195:M258" si="17">C195-H195</f>
        <v>4</v>
      </c>
      <c r="N195">
        <f t="shared" ref="N195:N258" si="18">D195-I195</f>
        <v>227</v>
      </c>
      <c r="O195">
        <f t="shared" ref="O195:O258" si="19">E195-J195</f>
        <v>-223</v>
      </c>
      <c r="P195">
        <f t="shared" si="15"/>
        <v>3</v>
      </c>
      <c r="Q195" t="s">
        <v>5</v>
      </c>
    </row>
    <row r="196" spans="1:17" x14ac:dyDescent="0.35">
      <c r="A196" t="s">
        <v>11</v>
      </c>
      <c r="B196">
        <v>22</v>
      </c>
      <c r="C196">
        <v>414</v>
      </c>
      <c r="D196">
        <v>234</v>
      </c>
      <c r="E196">
        <v>180</v>
      </c>
      <c r="F196">
        <v>1</v>
      </c>
      <c r="G196">
        <v>25</v>
      </c>
      <c r="H196">
        <v>510</v>
      </c>
      <c r="I196">
        <v>362</v>
      </c>
      <c r="J196">
        <v>148</v>
      </c>
      <c r="K196">
        <v>1</v>
      </c>
      <c r="L196">
        <f t="shared" si="16"/>
        <v>-3</v>
      </c>
      <c r="M196">
        <f t="shared" si="17"/>
        <v>-96</v>
      </c>
      <c r="N196">
        <f t="shared" si="18"/>
        <v>-128</v>
      </c>
      <c r="O196">
        <f t="shared" si="19"/>
        <v>32</v>
      </c>
      <c r="P196">
        <f t="shared" si="15"/>
        <v>0</v>
      </c>
      <c r="Q196" t="s">
        <v>5</v>
      </c>
    </row>
    <row r="197" spans="1:17" x14ac:dyDescent="0.35">
      <c r="A197" t="s">
        <v>12</v>
      </c>
      <c r="B197">
        <v>17</v>
      </c>
      <c r="C197">
        <v>263</v>
      </c>
      <c r="D197">
        <v>137</v>
      </c>
      <c r="E197">
        <v>126</v>
      </c>
      <c r="F197">
        <v>0</v>
      </c>
      <c r="G197">
        <v>16</v>
      </c>
      <c r="H197">
        <v>281</v>
      </c>
      <c r="I197">
        <v>178</v>
      </c>
      <c r="J197">
        <v>103</v>
      </c>
      <c r="K197">
        <v>1</v>
      </c>
      <c r="L197">
        <f t="shared" si="16"/>
        <v>1</v>
      </c>
      <c r="M197">
        <f t="shared" si="17"/>
        <v>-18</v>
      </c>
      <c r="N197">
        <f t="shared" si="18"/>
        <v>-41</v>
      </c>
      <c r="O197">
        <f t="shared" si="19"/>
        <v>23</v>
      </c>
      <c r="P197">
        <f t="shared" si="15"/>
        <v>-1</v>
      </c>
      <c r="Q197" t="s">
        <v>7</v>
      </c>
    </row>
    <row r="198" spans="1:17" x14ac:dyDescent="0.35">
      <c r="A198" t="s">
        <v>11</v>
      </c>
      <c r="B198">
        <v>20</v>
      </c>
      <c r="C198">
        <v>376</v>
      </c>
      <c r="D198">
        <v>337</v>
      </c>
      <c r="E198">
        <v>39</v>
      </c>
      <c r="F198">
        <v>1</v>
      </c>
      <c r="G198">
        <v>22</v>
      </c>
      <c r="H198">
        <v>366</v>
      </c>
      <c r="I198">
        <v>293</v>
      </c>
      <c r="J198">
        <v>73</v>
      </c>
      <c r="K198">
        <v>1</v>
      </c>
      <c r="L198">
        <f t="shared" si="16"/>
        <v>-2</v>
      </c>
      <c r="M198">
        <f t="shared" si="17"/>
        <v>10</v>
      </c>
      <c r="N198">
        <f t="shared" si="18"/>
        <v>44</v>
      </c>
      <c r="O198">
        <f t="shared" si="19"/>
        <v>-34</v>
      </c>
      <c r="P198">
        <f t="shared" si="15"/>
        <v>0</v>
      </c>
      <c r="Q198" t="s">
        <v>7</v>
      </c>
    </row>
    <row r="199" spans="1:17" x14ac:dyDescent="0.35">
      <c r="A199" t="s">
        <v>12</v>
      </c>
      <c r="B199">
        <v>18</v>
      </c>
      <c r="C199">
        <v>264</v>
      </c>
      <c r="D199">
        <v>128</v>
      </c>
      <c r="E199">
        <v>136</v>
      </c>
      <c r="F199">
        <v>2</v>
      </c>
      <c r="G199">
        <v>19</v>
      </c>
      <c r="H199">
        <v>297</v>
      </c>
      <c r="I199">
        <v>203</v>
      </c>
      <c r="J199">
        <v>94</v>
      </c>
      <c r="K199">
        <v>3</v>
      </c>
      <c r="L199">
        <f t="shared" si="16"/>
        <v>-1</v>
      </c>
      <c r="M199">
        <f t="shared" si="17"/>
        <v>-33</v>
      </c>
      <c r="N199">
        <f t="shared" si="18"/>
        <v>-75</v>
      </c>
      <c r="O199">
        <f t="shared" si="19"/>
        <v>42</v>
      </c>
      <c r="P199">
        <f t="shared" si="15"/>
        <v>-1</v>
      </c>
      <c r="Q199" t="s">
        <v>5</v>
      </c>
    </row>
    <row r="200" spans="1:17" x14ac:dyDescent="0.35">
      <c r="A200" t="s">
        <v>12</v>
      </c>
      <c r="B200">
        <v>31</v>
      </c>
      <c r="C200">
        <v>592</v>
      </c>
      <c r="D200">
        <v>426</v>
      </c>
      <c r="E200">
        <v>166</v>
      </c>
      <c r="F200">
        <v>1</v>
      </c>
      <c r="G200">
        <v>22</v>
      </c>
      <c r="H200">
        <v>373</v>
      </c>
      <c r="I200">
        <v>316</v>
      </c>
      <c r="J200">
        <v>57</v>
      </c>
      <c r="K200">
        <v>1</v>
      </c>
      <c r="L200">
        <f t="shared" si="16"/>
        <v>9</v>
      </c>
      <c r="M200">
        <f t="shared" si="17"/>
        <v>219</v>
      </c>
      <c r="N200">
        <f t="shared" si="18"/>
        <v>110</v>
      </c>
      <c r="O200">
        <f t="shared" si="19"/>
        <v>109</v>
      </c>
      <c r="P200">
        <f t="shared" si="15"/>
        <v>0</v>
      </c>
      <c r="Q200" t="s">
        <v>7</v>
      </c>
    </row>
    <row r="201" spans="1:17" x14ac:dyDescent="0.35">
      <c r="A201" t="s">
        <v>11</v>
      </c>
      <c r="B201">
        <v>35</v>
      </c>
      <c r="C201">
        <v>472</v>
      </c>
      <c r="D201">
        <v>280</v>
      </c>
      <c r="E201">
        <v>192</v>
      </c>
      <c r="F201">
        <v>3</v>
      </c>
      <c r="G201">
        <v>20</v>
      </c>
      <c r="H201">
        <v>309</v>
      </c>
      <c r="I201">
        <v>256</v>
      </c>
      <c r="J201">
        <v>53</v>
      </c>
      <c r="K201">
        <v>2</v>
      </c>
      <c r="L201">
        <f t="shared" si="16"/>
        <v>15</v>
      </c>
      <c r="M201">
        <f t="shared" si="17"/>
        <v>163</v>
      </c>
      <c r="N201">
        <f t="shared" si="18"/>
        <v>24</v>
      </c>
      <c r="O201">
        <f t="shared" si="19"/>
        <v>139</v>
      </c>
      <c r="P201">
        <f t="shared" si="15"/>
        <v>1</v>
      </c>
      <c r="Q201" t="s">
        <v>7</v>
      </c>
    </row>
    <row r="202" spans="1:17" x14ac:dyDescent="0.35">
      <c r="A202" t="s">
        <v>11</v>
      </c>
      <c r="B202">
        <v>21</v>
      </c>
      <c r="C202">
        <v>391</v>
      </c>
      <c r="D202">
        <v>291</v>
      </c>
      <c r="E202">
        <v>100</v>
      </c>
      <c r="F202">
        <v>2</v>
      </c>
      <c r="G202">
        <v>23</v>
      </c>
      <c r="H202">
        <v>383</v>
      </c>
      <c r="I202">
        <v>321</v>
      </c>
      <c r="J202">
        <v>62</v>
      </c>
      <c r="K202">
        <v>1</v>
      </c>
      <c r="L202">
        <f t="shared" si="16"/>
        <v>-2</v>
      </c>
      <c r="M202">
        <f t="shared" si="17"/>
        <v>8</v>
      </c>
      <c r="N202">
        <f t="shared" si="18"/>
        <v>-30</v>
      </c>
      <c r="O202">
        <f t="shared" si="19"/>
        <v>38</v>
      </c>
      <c r="P202">
        <f t="shared" si="15"/>
        <v>1</v>
      </c>
      <c r="Q202" t="s">
        <v>5</v>
      </c>
    </row>
    <row r="203" spans="1:17" x14ac:dyDescent="0.35">
      <c r="A203" t="s">
        <v>12</v>
      </c>
      <c r="B203">
        <v>29</v>
      </c>
      <c r="C203">
        <v>388</v>
      </c>
      <c r="D203">
        <v>258</v>
      </c>
      <c r="E203">
        <v>130</v>
      </c>
      <c r="F203">
        <v>0</v>
      </c>
      <c r="G203">
        <v>15</v>
      </c>
      <c r="H203">
        <v>378</v>
      </c>
      <c r="I203">
        <v>285</v>
      </c>
      <c r="J203">
        <v>93</v>
      </c>
      <c r="K203">
        <v>0</v>
      </c>
      <c r="L203">
        <f t="shared" si="16"/>
        <v>14</v>
      </c>
      <c r="M203">
        <f t="shared" si="17"/>
        <v>10</v>
      </c>
      <c r="N203">
        <f t="shared" si="18"/>
        <v>-27</v>
      </c>
      <c r="O203">
        <f t="shared" si="19"/>
        <v>37</v>
      </c>
      <c r="P203">
        <f t="shared" si="15"/>
        <v>0</v>
      </c>
      <c r="Q203" t="s">
        <v>7</v>
      </c>
    </row>
    <row r="204" spans="1:17" x14ac:dyDescent="0.35">
      <c r="A204" t="s">
        <v>11</v>
      </c>
      <c r="B204">
        <v>21</v>
      </c>
      <c r="C204">
        <v>410</v>
      </c>
      <c r="D204">
        <v>194</v>
      </c>
      <c r="E204">
        <v>216</v>
      </c>
      <c r="F204">
        <v>1</v>
      </c>
      <c r="G204">
        <v>21</v>
      </c>
      <c r="H204">
        <v>356</v>
      </c>
      <c r="I204">
        <v>282</v>
      </c>
      <c r="J204">
        <v>74</v>
      </c>
      <c r="K204">
        <v>4</v>
      </c>
      <c r="L204">
        <f t="shared" si="16"/>
        <v>0</v>
      </c>
      <c r="M204">
        <f t="shared" si="17"/>
        <v>54</v>
      </c>
      <c r="N204">
        <f t="shared" si="18"/>
        <v>-88</v>
      </c>
      <c r="O204">
        <f t="shared" si="19"/>
        <v>142</v>
      </c>
      <c r="P204">
        <f t="shared" si="15"/>
        <v>-3</v>
      </c>
      <c r="Q204" t="s">
        <v>7</v>
      </c>
    </row>
    <row r="205" spans="1:17" x14ac:dyDescent="0.35">
      <c r="A205" t="s">
        <v>11</v>
      </c>
      <c r="B205">
        <v>16</v>
      </c>
      <c r="C205">
        <v>232</v>
      </c>
      <c r="D205">
        <v>110</v>
      </c>
      <c r="E205">
        <v>122</v>
      </c>
      <c r="F205">
        <v>2</v>
      </c>
      <c r="G205">
        <v>25</v>
      </c>
      <c r="H205">
        <v>491</v>
      </c>
      <c r="I205">
        <v>235</v>
      </c>
      <c r="J205">
        <v>256</v>
      </c>
      <c r="K205">
        <v>0</v>
      </c>
      <c r="L205">
        <f t="shared" si="16"/>
        <v>-9</v>
      </c>
      <c r="M205">
        <f t="shared" si="17"/>
        <v>-259</v>
      </c>
      <c r="N205">
        <f t="shared" si="18"/>
        <v>-125</v>
      </c>
      <c r="O205">
        <f t="shared" si="19"/>
        <v>-134</v>
      </c>
      <c r="P205">
        <f t="shared" si="15"/>
        <v>2</v>
      </c>
      <c r="Q205" t="s">
        <v>5</v>
      </c>
    </row>
    <row r="206" spans="1:17" x14ac:dyDescent="0.35">
      <c r="A206" t="s">
        <v>12</v>
      </c>
      <c r="B206">
        <v>16</v>
      </c>
      <c r="C206">
        <v>396</v>
      </c>
      <c r="D206">
        <v>297</v>
      </c>
      <c r="E206">
        <v>99</v>
      </c>
      <c r="F206">
        <v>1</v>
      </c>
      <c r="G206">
        <v>19</v>
      </c>
      <c r="H206">
        <v>296</v>
      </c>
      <c r="I206">
        <v>121</v>
      </c>
      <c r="J206">
        <v>175</v>
      </c>
      <c r="K206">
        <v>0</v>
      </c>
      <c r="L206">
        <f t="shared" si="16"/>
        <v>-3</v>
      </c>
      <c r="M206">
        <f t="shared" si="17"/>
        <v>100</v>
      </c>
      <c r="N206">
        <f t="shared" si="18"/>
        <v>176</v>
      </c>
      <c r="O206">
        <f t="shared" si="19"/>
        <v>-76</v>
      </c>
      <c r="P206">
        <f t="shared" si="15"/>
        <v>1</v>
      </c>
      <c r="Q206" t="s">
        <v>7</v>
      </c>
    </row>
    <row r="207" spans="1:17" x14ac:dyDescent="0.35">
      <c r="A207" t="s">
        <v>12</v>
      </c>
      <c r="B207">
        <v>16</v>
      </c>
      <c r="C207">
        <v>276</v>
      </c>
      <c r="D207">
        <v>224</v>
      </c>
      <c r="E207">
        <v>52</v>
      </c>
      <c r="F207">
        <v>0</v>
      </c>
      <c r="G207">
        <v>29</v>
      </c>
      <c r="H207">
        <v>448</v>
      </c>
      <c r="I207">
        <v>303</v>
      </c>
      <c r="J207">
        <v>145</v>
      </c>
      <c r="K207">
        <v>1</v>
      </c>
      <c r="L207">
        <f t="shared" si="16"/>
        <v>-13</v>
      </c>
      <c r="M207">
        <f t="shared" si="17"/>
        <v>-172</v>
      </c>
      <c r="N207">
        <f t="shared" si="18"/>
        <v>-79</v>
      </c>
      <c r="O207">
        <f t="shared" si="19"/>
        <v>-93</v>
      </c>
      <c r="P207">
        <f t="shared" si="15"/>
        <v>-1</v>
      </c>
      <c r="Q207" t="s">
        <v>7</v>
      </c>
    </row>
    <row r="208" spans="1:17" x14ac:dyDescent="0.35">
      <c r="A208" t="s">
        <v>12</v>
      </c>
      <c r="B208">
        <v>26</v>
      </c>
      <c r="C208">
        <v>414</v>
      </c>
      <c r="D208">
        <v>280</v>
      </c>
      <c r="E208">
        <v>134</v>
      </c>
      <c r="F208">
        <v>3</v>
      </c>
      <c r="G208">
        <v>22</v>
      </c>
      <c r="H208">
        <v>391</v>
      </c>
      <c r="I208">
        <v>301</v>
      </c>
      <c r="J208">
        <v>90</v>
      </c>
      <c r="K208">
        <v>1</v>
      </c>
      <c r="L208">
        <f t="shared" si="16"/>
        <v>4</v>
      </c>
      <c r="M208">
        <f t="shared" si="17"/>
        <v>23</v>
      </c>
      <c r="N208">
        <f t="shared" si="18"/>
        <v>-21</v>
      </c>
      <c r="O208">
        <f t="shared" si="19"/>
        <v>44</v>
      </c>
      <c r="P208">
        <f t="shared" si="15"/>
        <v>2</v>
      </c>
      <c r="Q208" t="s">
        <v>5</v>
      </c>
    </row>
    <row r="209" spans="1:17" x14ac:dyDescent="0.35">
      <c r="A209" t="s">
        <v>11</v>
      </c>
      <c r="B209">
        <v>23</v>
      </c>
      <c r="C209">
        <v>374</v>
      </c>
      <c r="D209">
        <v>234</v>
      </c>
      <c r="E209">
        <v>140</v>
      </c>
      <c r="F209">
        <v>2</v>
      </c>
      <c r="G209">
        <v>24</v>
      </c>
      <c r="H209">
        <v>432</v>
      </c>
      <c r="I209">
        <v>269</v>
      </c>
      <c r="J209">
        <v>163</v>
      </c>
      <c r="K209">
        <v>1</v>
      </c>
      <c r="L209">
        <f t="shared" si="16"/>
        <v>-1</v>
      </c>
      <c r="M209">
        <f t="shared" si="17"/>
        <v>-58</v>
      </c>
      <c r="N209">
        <f t="shared" si="18"/>
        <v>-35</v>
      </c>
      <c r="O209">
        <f t="shared" si="19"/>
        <v>-23</v>
      </c>
      <c r="P209">
        <f t="shared" si="15"/>
        <v>1</v>
      </c>
      <c r="Q209" t="s">
        <v>7</v>
      </c>
    </row>
    <row r="210" spans="1:17" x14ac:dyDescent="0.35">
      <c r="A210" t="s">
        <v>11</v>
      </c>
      <c r="B210">
        <v>15</v>
      </c>
      <c r="C210">
        <v>229</v>
      </c>
      <c r="D210">
        <v>161</v>
      </c>
      <c r="E210">
        <v>68</v>
      </c>
      <c r="F210">
        <v>2</v>
      </c>
      <c r="G210">
        <v>19</v>
      </c>
      <c r="H210">
        <v>435</v>
      </c>
      <c r="I210">
        <v>329</v>
      </c>
      <c r="J210">
        <v>106</v>
      </c>
      <c r="K210">
        <v>5</v>
      </c>
      <c r="L210">
        <f t="shared" si="16"/>
        <v>-4</v>
      </c>
      <c r="M210">
        <f t="shared" si="17"/>
        <v>-206</v>
      </c>
      <c r="N210">
        <f t="shared" si="18"/>
        <v>-168</v>
      </c>
      <c r="O210">
        <f t="shared" si="19"/>
        <v>-38</v>
      </c>
      <c r="P210">
        <f t="shared" si="15"/>
        <v>-3</v>
      </c>
      <c r="Q210" t="s">
        <v>7</v>
      </c>
    </row>
    <row r="211" spans="1:17" x14ac:dyDescent="0.35">
      <c r="A211" t="s">
        <v>12</v>
      </c>
      <c r="B211">
        <v>20</v>
      </c>
      <c r="C211">
        <v>301</v>
      </c>
      <c r="D211">
        <v>192</v>
      </c>
      <c r="E211">
        <v>109</v>
      </c>
      <c r="F211">
        <v>1</v>
      </c>
      <c r="G211">
        <v>25</v>
      </c>
      <c r="H211">
        <v>467</v>
      </c>
      <c r="I211">
        <v>222</v>
      </c>
      <c r="J211">
        <v>245</v>
      </c>
      <c r="K211">
        <v>0</v>
      </c>
      <c r="L211">
        <f t="shared" si="16"/>
        <v>-5</v>
      </c>
      <c r="M211">
        <f t="shared" si="17"/>
        <v>-166</v>
      </c>
      <c r="N211">
        <f t="shared" si="18"/>
        <v>-30</v>
      </c>
      <c r="O211">
        <f t="shared" si="19"/>
        <v>-136</v>
      </c>
      <c r="P211">
        <f t="shared" si="15"/>
        <v>1</v>
      </c>
      <c r="Q211" t="s">
        <v>5</v>
      </c>
    </row>
    <row r="212" spans="1:17" x14ac:dyDescent="0.35">
      <c r="A212" t="s">
        <v>12</v>
      </c>
      <c r="B212">
        <v>19</v>
      </c>
      <c r="C212">
        <v>360</v>
      </c>
      <c r="D212">
        <v>219</v>
      </c>
      <c r="E212">
        <v>141</v>
      </c>
      <c r="F212">
        <v>1</v>
      </c>
      <c r="G212">
        <v>24</v>
      </c>
      <c r="H212">
        <v>425</v>
      </c>
      <c r="I212">
        <v>253</v>
      </c>
      <c r="J212">
        <v>172</v>
      </c>
      <c r="K212">
        <v>1</v>
      </c>
      <c r="L212">
        <f t="shared" si="16"/>
        <v>-5</v>
      </c>
      <c r="M212">
        <f t="shared" si="17"/>
        <v>-65</v>
      </c>
      <c r="N212">
        <f t="shared" si="18"/>
        <v>-34</v>
      </c>
      <c r="O212">
        <f t="shared" si="19"/>
        <v>-31</v>
      </c>
      <c r="P212">
        <f t="shared" si="15"/>
        <v>0</v>
      </c>
      <c r="Q212" t="s">
        <v>7</v>
      </c>
    </row>
    <row r="213" spans="1:17" x14ac:dyDescent="0.35">
      <c r="A213" t="s">
        <v>11</v>
      </c>
      <c r="B213">
        <v>23</v>
      </c>
      <c r="C213">
        <v>442</v>
      </c>
      <c r="D213">
        <v>348</v>
      </c>
      <c r="E213">
        <v>94</v>
      </c>
      <c r="F213">
        <v>1</v>
      </c>
      <c r="G213">
        <v>29</v>
      </c>
      <c r="H213">
        <v>434</v>
      </c>
      <c r="I213">
        <v>316</v>
      </c>
      <c r="J213">
        <v>118</v>
      </c>
      <c r="K213">
        <v>1</v>
      </c>
      <c r="L213">
        <f t="shared" si="16"/>
        <v>-6</v>
      </c>
      <c r="M213">
        <f t="shared" si="17"/>
        <v>8</v>
      </c>
      <c r="N213">
        <f t="shared" si="18"/>
        <v>32</v>
      </c>
      <c r="O213">
        <f t="shared" si="19"/>
        <v>-24</v>
      </c>
      <c r="P213">
        <f t="shared" si="15"/>
        <v>0</v>
      </c>
      <c r="Q213" t="s">
        <v>5</v>
      </c>
    </row>
    <row r="214" spans="1:17" x14ac:dyDescent="0.35">
      <c r="A214" t="s">
        <v>11</v>
      </c>
      <c r="B214">
        <v>22</v>
      </c>
      <c r="C214">
        <v>376</v>
      </c>
      <c r="D214">
        <v>173</v>
      </c>
      <c r="E214">
        <v>203</v>
      </c>
      <c r="F214">
        <v>0</v>
      </c>
      <c r="G214">
        <v>25</v>
      </c>
      <c r="H214">
        <v>435</v>
      </c>
      <c r="I214">
        <v>310</v>
      </c>
      <c r="J214">
        <v>125</v>
      </c>
      <c r="K214">
        <v>2</v>
      </c>
      <c r="L214">
        <f t="shared" si="16"/>
        <v>-3</v>
      </c>
      <c r="M214">
        <f t="shared" si="17"/>
        <v>-59</v>
      </c>
      <c r="N214">
        <f t="shared" si="18"/>
        <v>-137</v>
      </c>
      <c r="O214">
        <f t="shared" si="19"/>
        <v>78</v>
      </c>
      <c r="P214">
        <f t="shared" si="15"/>
        <v>-2</v>
      </c>
      <c r="Q214" t="s">
        <v>5</v>
      </c>
    </row>
    <row r="215" spans="1:17" x14ac:dyDescent="0.35">
      <c r="A215" t="s">
        <v>11</v>
      </c>
      <c r="B215">
        <v>21</v>
      </c>
      <c r="C215">
        <v>288</v>
      </c>
      <c r="D215">
        <v>121</v>
      </c>
      <c r="E215">
        <v>167</v>
      </c>
      <c r="F215">
        <v>2</v>
      </c>
      <c r="G215">
        <v>18</v>
      </c>
      <c r="H215">
        <v>243</v>
      </c>
      <c r="I215">
        <v>119</v>
      </c>
      <c r="J215">
        <v>124</v>
      </c>
      <c r="K215">
        <v>0</v>
      </c>
      <c r="L215">
        <f t="shared" si="16"/>
        <v>3</v>
      </c>
      <c r="M215">
        <f t="shared" si="17"/>
        <v>45</v>
      </c>
      <c r="N215">
        <f t="shared" si="18"/>
        <v>2</v>
      </c>
      <c r="O215">
        <f t="shared" si="19"/>
        <v>43</v>
      </c>
      <c r="P215">
        <f t="shared" si="15"/>
        <v>2</v>
      </c>
      <c r="Q215" t="s">
        <v>7</v>
      </c>
    </row>
    <row r="216" spans="1:17" x14ac:dyDescent="0.35">
      <c r="A216" t="s">
        <v>12</v>
      </c>
      <c r="B216">
        <v>29</v>
      </c>
      <c r="C216">
        <v>379</v>
      </c>
      <c r="D216">
        <v>300</v>
      </c>
      <c r="E216">
        <v>79</v>
      </c>
      <c r="F216">
        <v>0</v>
      </c>
      <c r="G216">
        <v>25</v>
      </c>
      <c r="H216">
        <v>397</v>
      </c>
      <c r="I216">
        <v>304</v>
      </c>
      <c r="J216">
        <v>93</v>
      </c>
      <c r="K216">
        <v>1</v>
      </c>
      <c r="L216">
        <f t="shared" si="16"/>
        <v>4</v>
      </c>
      <c r="M216">
        <f t="shared" si="17"/>
        <v>-18</v>
      </c>
      <c r="N216">
        <f t="shared" si="18"/>
        <v>-4</v>
      </c>
      <c r="O216">
        <f t="shared" si="19"/>
        <v>-14</v>
      </c>
      <c r="P216">
        <f t="shared" si="15"/>
        <v>-1</v>
      </c>
      <c r="Q216" t="s">
        <v>7</v>
      </c>
    </row>
    <row r="217" spans="1:17" x14ac:dyDescent="0.35">
      <c r="A217" t="s">
        <v>12</v>
      </c>
      <c r="B217">
        <v>22</v>
      </c>
      <c r="C217">
        <v>346</v>
      </c>
      <c r="D217">
        <v>265</v>
      </c>
      <c r="E217">
        <v>81</v>
      </c>
      <c r="F217">
        <v>2</v>
      </c>
      <c r="G217">
        <v>21</v>
      </c>
      <c r="H217">
        <v>377</v>
      </c>
      <c r="I217">
        <v>189</v>
      </c>
      <c r="J217">
        <v>188</v>
      </c>
      <c r="K217">
        <v>1</v>
      </c>
      <c r="L217">
        <f t="shared" si="16"/>
        <v>1</v>
      </c>
      <c r="M217">
        <f t="shared" si="17"/>
        <v>-31</v>
      </c>
      <c r="N217">
        <f t="shared" si="18"/>
        <v>76</v>
      </c>
      <c r="O217">
        <f t="shared" si="19"/>
        <v>-107</v>
      </c>
      <c r="P217">
        <f t="shared" si="15"/>
        <v>1</v>
      </c>
      <c r="Q217" t="s">
        <v>5</v>
      </c>
    </row>
    <row r="218" spans="1:17" x14ac:dyDescent="0.35">
      <c r="A218" t="s">
        <v>11</v>
      </c>
      <c r="B218">
        <v>25</v>
      </c>
      <c r="C218">
        <v>331</v>
      </c>
      <c r="D218">
        <v>151</v>
      </c>
      <c r="E218">
        <v>180</v>
      </c>
      <c r="F218">
        <v>1</v>
      </c>
      <c r="G218">
        <v>18</v>
      </c>
      <c r="H218">
        <v>324</v>
      </c>
      <c r="I218">
        <v>288</v>
      </c>
      <c r="J218">
        <v>36</v>
      </c>
      <c r="K218">
        <v>1</v>
      </c>
      <c r="L218">
        <f t="shared" si="16"/>
        <v>7</v>
      </c>
      <c r="M218">
        <f t="shared" si="17"/>
        <v>7</v>
      </c>
      <c r="N218">
        <f t="shared" si="18"/>
        <v>-137</v>
      </c>
      <c r="O218">
        <f t="shared" si="19"/>
        <v>144</v>
      </c>
      <c r="P218">
        <f t="shared" si="15"/>
        <v>0</v>
      </c>
      <c r="Q218" t="s">
        <v>7</v>
      </c>
    </row>
    <row r="219" spans="1:17" x14ac:dyDescent="0.35">
      <c r="A219" t="s">
        <v>12</v>
      </c>
      <c r="B219">
        <v>23</v>
      </c>
      <c r="C219">
        <v>383</v>
      </c>
      <c r="D219">
        <v>321</v>
      </c>
      <c r="E219">
        <v>62</v>
      </c>
      <c r="F219">
        <v>1</v>
      </c>
      <c r="G219">
        <v>21</v>
      </c>
      <c r="H219">
        <v>391</v>
      </c>
      <c r="I219">
        <v>291</v>
      </c>
      <c r="J219">
        <v>100</v>
      </c>
      <c r="K219">
        <v>2</v>
      </c>
      <c r="L219">
        <f t="shared" si="16"/>
        <v>2</v>
      </c>
      <c r="M219">
        <f t="shared" si="17"/>
        <v>-8</v>
      </c>
      <c r="N219">
        <f t="shared" si="18"/>
        <v>30</v>
      </c>
      <c r="O219">
        <f t="shared" si="19"/>
        <v>-38</v>
      </c>
      <c r="P219">
        <f t="shared" si="15"/>
        <v>-1</v>
      </c>
      <c r="Q219" t="s">
        <v>7</v>
      </c>
    </row>
    <row r="220" spans="1:17" x14ac:dyDescent="0.35">
      <c r="A220" t="s">
        <v>12</v>
      </c>
      <c r="B220">
        <v>19</v>
      </c>
      <c r="C220">
        <v>318</v>
      </c>
      <c r="D220">
        <v>191</v>
      </c>
      <c r="E220">
        <v>127</v>
      </c>
      <c r="F220">
        <v>1</v>
      </c>
      <c r="G220">
        <v>21</v>
      </c>
      <c r="H220">
        <v>279</v>
      </c>
      <c r="I220">
        <v>166</v>
      </c>
      <c r="J220">
        <v>113</v>
      </c>
      <c r="K220">
        <v>0</v>
      </c>
      <c r="L220">
        <f t="shared" si="16"/>
        <v>-2</v>
      </c>
      <c r="M220">
        <f t="shared" si="17"/>
        <v>39</v>
      </c>
      <c r="N220">
        <f t="shared" si="18"/>
        <v>25</v>
      </c>
      <c r="O220">
        <f t="shared" si="19"/>
        <v>14</v>
      </c>
      <c r="P220">
        <f t="shared" si="15"/>
        <v>1</v>
      </c>
      <c r="Q220" t="s">
        <v>7</v>
      </c>
    </row>
    <row r="221" spans="1:17" x14ac:dyDescent="0.35">
      <c r="A221" t="s">
        <v>11</v>
      </c>
      <c r="B221">
        <v>22</v>
      </c>
      <c r="C221">
        <v>328</v>
      </c>
      <c r="D221">
        <v>189</v>
      </c>
      <c r="E221">
        <v>139</v>
      </c>
      <c r="F221">
        <v>3</v>
      </c>
      <c r="G221">
        <v>17</v>
      </c>
      <c r="H221">
        <v>273</v>
      </c>
      <c r="I221">
        <v>183</v>
      </c>
      <c r="J221">
        <v>90</v>
      </c>
      <c r="K221">
        <v>2</v>
      </c>
      <c r="L221">
        <f t="shared" si="16"/>
        <v>5</v>
      </c>
      <c r="M221">
        <f t="shared" si="17"/>
        <v>55</v>
      </c>
      <c r="N221">
        <f t="shared" si="18"/>
        <v>6</v>
      </c>
      <c r="O221">
        <f t="shared" si="19"/>
        <v>49</v>
      </c>
      <c r="P221">
        <f t="shared" si="15"/>
        <v>1</v>
      </c>
      <c r="Q221" t="s">
        <v>5</v>
      </c>
    </row>
    <row r="222" spans="1:17" x14ac:dyDescent="0.35">
      <c r="A222" t="s">
        <v>12</v>
      </c>
      <c r="B222">
        <v>19</v>
      </c>
      <c r="C222">
        <v>300</v>
      </c>
      <c r="D222">
        <v>191</v>
      </c>
      <c r="E222">
        <v>109</v>
      </c>
      <c r="F222">
        <v>3</v>
      </c>
      <c r="G222">
        <v>13</v>
      </c>
      <c r="H222">
        <v>229</v>
      </c>
      <c r="I222">
        <v>159</v>
      </c>
      <c r="J222">
        <v>70</v>
      </c>
      <c r="K222">
        <v>2</v>
      </c>
      <c r="L222">
        <f t="shared" si="16"/>
        <v>6</v>
      </c>
      <c r="M222">
        <f t="shared" si="17"/>
        <v>71</v>
      </c>
      <c r="N222">
        <f t="shared" si="18"/>
        <v>32</v>
      </c>
      <c r="O222">
        <f t="shared" si="19"/>
        <v>39</v>
      </c>
      <c r="P222">
        <f t="shared" si="15"/>
        <v>1</v>
      </c>
      <c r="Q222" t="s">
        <v>5</v>
      </c>
    </row>
    <row r="223" spans="1:17" x14ac:dyDescent="0.35">
      <c r="A223" t="s">
        <v>12</v>
      </c>
      <c r="B223">
        <v>23</v>
      </c>
      <c r="C223">
        <v>389</v>
      </c>
      <c r="D223">
        <v>125</v>
      </c>
      <c r="E223">
        <v>264</v>
      </c>
      <c r="F223">
        <v>2</v>
      </c>
      <c r="G223">
        <v>15</v>
      </c>
      <c r="H223">
        <v>308</v>
      </c>
      <c r="I223">
        <v>279</v>
      </c>
      <c r="J223">
        <v>29</v>
      </c>
      <c r="K223">
        <v>1</v>
      </c>
      <c r="L223">
        <f t="shared" si="16"/>
        <v>8</v>
      </c>
      <c r="M223">
        <f t="shared" si="17"/>
        <v>81</v>
      </c>
      <c r="N223">
        <f t="shared" si="18"/>
        <v>-154</v>
      </c>
      <c r="O223">
        <f t="shared" si="19"/>
        <v>235</v>
      </c>
      <c r="P223">
        <f t="shared" si="15"/>
        <v>1</v>
      </c>
      <c r="Q223" t="s">
        <v>7</v>
      </c>
    </row>
    <row r="224" spans="1:17" x14ac:dyDescent="0.35">
      <c r="A224" t="s">
        <v>11</v>
      </c>
      <c r="B224">
        <v>19</v>
      </c>
      <c r="C224">
        <v>296</v>
      </c>
      <c r="D224">
        <v>121</v>
      </c>
      <c r="E224">
        <v>175</v>
      </c>
      <c r="F224">
        <v>0</v>
      </c>
      <c r="G224">
        <v>16</v>
      </c>
      <c r="H224">
        <v>396</v>
      </c>
      <c r="I224">
        <v>297</v>
      </c>
      <c r="J224">
        <v>99</v>
      </c>
      <c r="K224">
        <v>1</v>
      </c>
      <c r="L224">
        <f t="shared" si="16"/>
        <v>3</v>
      </c>
      <c r="M224">
        <f t="shared" si="17"/>
        <v>-100</v>
      </c>
      <c r="N224">
        <f t="shared" si="18"/>
        <v>-176</v>
      </c>
      <c r="O224">
        <f t="shared" si="19"/>
        <v>76</v>
      </c>
      <c r="P224">
        <f t="shared" si="15"/>
        <v>-1</v>
      </c>
      <c r="Q224" t="s">
        <v>5</v>
      </c>
    </row>
    <row r="225" spans="1:17" x14ac:dyDescent="0.35">
      <c r="A225" t="s">
        <v>12</v>
      </c>
      <c r="B225">
        <v>22</v>
      </c>
      <c r="C225">
        <v>391</v>
      </c>
      <c r="D225">
        <v>309</v>
      </c>
      <c r="E225">
        <v>82</v>
      </c>
      <c r="F225">
        <v>3</v>
      </c>
      <c r="G225">
        <v>15</v>
      </c>
      <c r="H225">
        <v>292</v>
      </c>
      <c r="I225">
        <v>138</v>
      </c>
      <c r="J225">
        <v>154</v>
      </c>
      <c r="K225">
        <v>2</v>
      </c>
      <c r="L225">
        <f t="shared" si="16"/>
        <v>7</v>
      </c>
      <c r="M225">
        <f t="shared" si="17"/>
        <v>99</v>
      </c>
      <c r="N225">
        <f t="shared" si="18"/>
        <v>171</v>
      </c>
      <c r="O225">
        <f t="shared" si="19"/>
        <v>-72</v>
      </c>
      <c r="P225">
        <f t="shared" si="15"/>
        <v>1</v>
      </c>
      <c r="Q225" t="s">
        <v>5</v>
      </c>
    </row>
    <row r="226" spans="1:17" x14ac:dyDescent="0.35">
      <c r="A226" t="s">
        <v>11</v>
      </c>
      <c r="B226">
        <v>16</v>
      </c>
      <c r="C226">
        <v>309</v>
      </c>
      <c r="D226">
        <v>243</v>
      </c>
      <c r="E226">
        <v>66</v>
      </c>
      <c r="F226">
        <v>1</v>
      </c>
      <c r="G226">
        <v>29</v>
      </c>
      <c r="H226">
        <v>542</v>
      </c>
      <c r="I226">
        <v>467</v>
      </c>
      <c r="J226">
        <v>75</v>
      </c>
      <c r="K226">
        <v>4</v>
      </c>
      <c r="L226">
        <f t="shared" si="16"/>
        <v>-13</v>
      </c>
      <c r="M226">
        <f t="shared" si="17"/>
        <v>-233</v>
      </c>
      <c r="N226">
        <f t="shared" si="18"/>
        <v>-224</v>
      </c>
      <c r="O226">
        <f t="shared" si="19"/>
        <v>-9</v>
      </c>
      <c r="P226">
        <f t="shared" si="15"/>
        <v>-3</v>
      </c>
      <c r="Q226" t="s">
        <v>5</v>
      </c>
    </row>
    <row r="227" spans="1:17" x14ac:dyDescent="0.35">
      <c r="A227" t="s">
        <v>11</v>
      </c>
      <c r="B227">
        <v>16</v>
      </c>
      <c r="C227">
        <v>205</v>
      </c>
      <c r="D227">
        <v>159</v>
      </c>
      <c r="E227">
        <v>46</v>
      </c>
      <c r="F227">
        <v>0</v>
      </c>
      <c r="G227">
        <v>27</v>
      </c>
      <c r="H227">
        <v>424</v>
      </c>
      <c r="I227">
        <v>307</v>
      </c>
      <c r="J227">
        <v>117</v>
      </c>
      <c r="K227">
        <v>0</v>
      </c>
      <c r="L227">
        <f t="shared" si="16"/>
        <v>-11</v>
      </c>
      <c r="M227">
        <f t="shared" si="17"/>
        <v>-219</v>
      </c>
      <c r="N227">
        <f t="shared" si="18"/>
        <v>-148</v>
      </c>
      <c r="O227">
        <f t="shared" si="19"/>
        <v>-71</v>
      </c>
      <c r="P227">
        <f t="shared" si="15"/>
        <v>0</v>
      </c>
      <c r="Q227" t="s">
        <v>5</v>
      </c>
    </row>
    <row r="228" spans="1:17" x14ac:dyDescent="0.35">
      <c r="A228" t="s">
        <v>12</v>
      </c>
      <c r="B228">
        <v>25</v>
      </c>
      <c r="C228">
        <v>324</v>
      </c>
      <c r="D228">
        <v>106</v>
      </c>
      <c r="E228">
        <v>218</v>
      </c>
      <c r="F228">
        <v>0</v>
      </c>
      <c r="G228">
        <v>19</v>
      </c>
      <c r="H228">
        <v>286</v>
      </c>
      <c r="I228">
        <v>199</v>
      </c>
      <c r="J228">
        <v>87</v>
      </c>
      <c r="K228">
        <v>3</v>
      </c>
      <c r="L228">
        <f t="shared" si="16"/>
        <v>6</v>
      </c>
      <c r="M228">
        <f t="shared" si="17"/>
        <v>38</v>
      </c>
      <c r="N228">
        <f t="shared" si="18"/>
        <v>-93</v>
      </c>
      <c r="O228">
        <f t="shared" si="19"/>
        <v>131</v>
      </c>
      <c r="P228">
        <f t="shared" si="15"/>
        <v>-3</v>
      </c>
      <c r="Q228" t="s">
        <v>7</v>
      </c>
    </row>
    <row r="229" spans="1:17" x14ac:dyDescent="0.35">
      <c r="A229" t="s">
        <v>11</v>
      </c>
      <c r="B229">
        <v>17</v>
      </c>
      <c r="C229">
        <v>275</v>
      </c>
      <c r="D229">
        <v>143</v>
      </c>
      <c r="E229">
        <v>132</v>
      </c>
      <c r="F229">
        <v>2</v>
      </c>
      <c r="G229">
        <v>23</v>
      </c>
      <c r="H229">
        <v>353</v>
      </c>
      <c r="I229">
        <v>286</v>
      </c>
      <c r="J229">
        <v>67</v>
      </c>
      <c r="K229">
        <v>1</v>
      </c>
      <c r="L229">
        <f t="shared" si="16"/>
        <v>-6</v>
      </c>
      <c r="M229">
        <f t="shared" si="17"/>
        <v>-78</v>
      </c>
      <c r="N229">
        <f t="shared" si="18"/>
        <v>-143</v>
      </c>
      <c r="O229">
        <f t="shared" si="19"/>
        <v>65</v>
      </c>
      <c r="P229">
        <f t="shared" si="15"/>
        <v>1</v>
      </c>
      <c r="Q229" t="s">
        <v>5</v>
      </c>
    </row>
    <row r="230" spans="1:17" x14ac:dyDescent="0.35">
      <c r="A230" t="s">
        <v>12</v>
      </c>
      <c r="B230">
        <v>18</v>
      </c>
      <c r="C230">
        <v>428</v>
      </c>
      <c r="D230">
        <v>347</v>
      </c>
      <c r="E230">
        <v>81</v>
      </c>
      <c r="F230">
        <v>2</v>
      </c>
      <c r="G230">
        <v>24</v>
      </c>
      <c r="H230">
        <v>491</v>
      </c>
      <c r="I230">
        <v>378</v>
      </c>
      <c r="J230">
        <v>113</v>
      </c>
      <c r="K230">
        <v>0</v>
      </c>
      <c r="L230">
        <f t="shared" si="16"/>
        <v>-6</v>
      </c>
      <c r="M230">
        <f t="shared" si="17"/>
        <v>-63</v>
      </c>
      <c r="N230">
        <f t="shared" si="18"/>
        <v>-31</v>
      </c>
      <c r="O230">
        <f t="shared" si="19"/>
        <v>-32</v>
      </c>
      <c r="P230">
        <f t="shared" si="15"/>
        <v>2</v>
      </c>
      <c r="Q230" t="s">
        <v>5</v>
      </c>
    </row>
    <row r="231" spans="1:17" x14ac:dyDescent="0.35">
      <c r="A231" t="s">
        <v>11</v>
      </c>
      <c r="B231">
        <v>16</v>
      </c>
      <c r="C231">
        <v>281</v>
      </c>
      <c r="D231">
        <v>178</v>
      </c>
      <c r="E231">
        <v>103</v>
      </c>
      <c r="F231">
        <v>1</v>
      </c>
      <c r="G231">
        <v>17</v>
      </c>
      <c r="H231">
        <v>263</v>
      </c>
      <c r="I231">
        <v>137</v>
      </c>
      <c r="J231">
        <v>126</v>
      </c>
      <c r="K231">
        <v>0</v>
      </c>
      <c r="L231">
        <f t="shared" si="16"/>
        <v>-1</v>
      </c>
      <c r="M231">
        <f t="shared" si="17"/>
        <v>18</v>
      </c>
      <c r="N231">
        <f t="shared" si="18"/>
        <v>41</v>
      </c>
      <c r="O231">
        <f t="shared" si="19"/>
        <v>-23</v>
      </c>
      <c r="P231">
        <f t="shared" si="15"/>
        <v>1</v>
      </c>
      <c r="Q231" t="s">
        <v>5</v>
      </c>
    </row>
    <row r="232" spans="1:17" x14ac:dyDescent="0.35">
      <c r="A232" t="s">
        <v>12</v>
      </c>
      <c r="B232">
        <v>12</v>
      </c>
      <c r="C232">
        <v>292</v>
      </c>
      <c r="D232">
        <v>204</v>
      </c>
      <c r="E232">
        <v>88</v>
      </c>
      <c r="F232">
        <v>0</v>
      </c>
      <c r="G232">
        <v>21</v>
      </c>
      <c r="H232">
        <v>340</v>
      </c>
      <c r="I232">
        <v>249</v>
      </c>
      <c r="J232">
        <v>91</v>
      </c>
      <c r="K232">
        <v>1</v>
      </c>
      <c r="L232">
        <f t="shared" si="16"/>
        <v>-9</v>
      </c>
      <c r="M232">
        <f t="shared" si="17"/>
        <v>-48</v>
      </c>
      <c r="N232">
        <f t="shared" si="18"/>
        <v>-45</v>
      </c>
      <c r="O232">
        <f t="shared" si="19"/>
        <v>-3</v>
      </c>
      <c r="P232">
        <f t="shared" si="15"/>
        <v>-1</v>
      </c>
      <c r="Q232" t="s">
        <v>7</v>
      </c>
    </row>
    <row r="233" spans="1:17" x14ac:dyDescent="0.35">
      <c r="A233" t="s">
        <v>11</v>
      </c>
      <c r="B233">
        <v>25</v>
      </c>
      <c r="C233">
        <v>455</v>
      </c>
      <c r="D233">
        <v>186</v>
      </c>
      <c r="E233">
        <v>269</v>
      </c>
      <c r="F233">
        <v>0</v>
      </c>
      <c r="G233">
        <v>19</v>
      </c>
      <c r="H233">
        <v>371</v>
      </c>
      <c r="I233">
        <v>303</v>
      </c>
      <c r="J233">
        <v>68</v>
      </c>
      <c r="K233">
        <v>1</v>
      </c>
      <c r="L233">
        <f t="shared" si="16"/>
        <v>6</v>
      </c>
      <c r="M233">
        <f t="shared" si="17"/>
        <v>84</v>
      </c>
      <c r="N233">
        <f t="shared" si="18"/>
        <v>-117</v>
      </c>
      <c r="O233">
        <f t="shared" si="19"/>
        <v>201</v>
      </c>
      <c r="P233">
        <f t="shared" si="15"/>
        <v>-1</v>
      </c>
      <c r="Q233" t="s">
        <v>7</v>
      </c>
    </row>
    <row r="234" spans="1:17" x14ac:dyDescent="0.35">
      <c r="A234" t="s">
        <v>11</v>
      </c>
      <c r="B234">
        <v>28</v>
      </c>
      <c r="C234">
        <v>507</v>
      </c>
      <c r="D234">
        <v>358</v>
      </c>
      <c r="E234">
        <v>149</v>
      </c>
      <c r="F234">
        <v>3</v>
      </c>
      <c r="G234">
        <v>22</v>
      </c>
      <c r="H234">
        <v>445</v>
      </c>
      <c r="I234">
        <v>160</v>
      </c>
      <c r="J234">
        <v>285</v>
      </c>
      <c r="K234">
        <v>0</v>
      </c>
      <c r="L234">
        <f t="shared" si="16"/>
        <v>6</v>
      </c>
      <c r="M234">
        <f t="shared" si="17"/>
        <v>62</v>
      </c>
      <c r="N234">
        <f t="shared" si="18"/>
        <v>198</v>
      </c>
      <c r="O234">
        <f t="shared" si="19"/>
        <v>-136</v>
      </c>
      <c r="P234">
        <f t="shared" si="15"/>
        <v>3</v>
      </c>
      <c r="Q234" t="s">
        <v>5</v>
      </c>
    </row>
    <row r="235" spans="1:17" x14ac:dyDescent="0.35">
      <c r="A235" t="s">
        <v>12</v>
      </c>
      <c r="B235">
        <v>11</v>
      </c>
      <c r="C235">
        <v>226</v>
      </c>
      <c r="D235">
        <v>151</v>
      </c>
      <c r="E235">
        <v>75</v>
      </c>
      <c r="F235">
        <v>1</v>
      </c>
      <c r="G235">
        <v>18</v>
      </c>
      <c r="H235">
        <v>326</v>
      </c>
      <c r="I235">
        <v>222</v>
      </c>
      <c r="J235">
        <v>104</v>
      </c>
      <c r="K235">
        <v>0</v>
      </c>
      <c r="L235">
        <f t="shared" si="16"/>
        <v>-7</v>
      </c>
      <c r="M235">
        <f t="shared" si="17"/>
        <v>-100</v>
      </c>
      <c r="N235">
        <f t="shared" si="18"/>
        <v>-71</v>
      </c>
      <c r="O235">
        <f t="shared" si="19"/>
        <v>-29</v>
      </c>
      <c r="P235">
        <f t="shared" si="15"/>
        <v>1</v>
      </c>
      <c r="Q235" t="s">
        <v>5</v>
      </c>
    </row>
    <row r="236" spans="1:17" x14ac:dyDescent="0.35">
      <c r="A236" t="s">
        <v>11</v>
      </c>
      <c r="B236">
        <v>22</v>
      </c>
      <c r="C236">
        <v>460</v>
      </c>
      <c r="D236">
        <v>244</v>
      </c>
      <c r="E236">
        <v>216</v>
      </c>
      <c r="F236">
        <v>0</v>
      </c>
      <c r="G236">
        <v>21</v>
      </c>
      <c r="H236">
        <v>291</v>
      </c>
      <c r="I236">
        <v>258</v>
      </c>
      <c r="J236">
        <v>33</v>
      </c>
      <c r="K236">
        <v>4</v>
      </c>
      <c r="L236">
        <f t="shared" si="16"/>
        <v>1</v>
      </c>
      <c r="M236">
        <f t="shared" si="17"/>
        <v>169</v>
      </c>
      <c r="N236">
        <f t="shared" si="18"/>
        <v>-14</v>
      </c>
      <c r="O236">
        <f t="shared" si="19"/>
        <v>183</v>
      </c>
      <c r="P236">
        <f t="shared" si="15"/>
        <v>-4</v>
      </c>
      <c r="Q236" t="s">
        <v>7</v>
      </c>
    </row>
    <row r="237" spans="1:17" x14ac:dyDescent="0.35">
      <c r="A237" t="s">
        <v>12</v>
      </c>
      <c r="B237">
        <v>21</v>
      </c>
      <c r="C237">
        <v>389</v>
      </c>
      <c r="D237">
        <v>278</v>
      </c>
      <c r="E237">
        <v>111</v>
      </c>
      <c r="F237">
        <v>1</v>
      </c>
      <c r="G237">
        <v>15</v>
      </c>
      <c r="H237">
        <v>213</v>
      </c>
      <c r="I237">
        <v>167</v>
      </c>
      <c r="J237">
        <v>46</v>
      </c>
      <c r="K237">
        <v>3</v>
      </c>
      <c r="L237">
        <f t="shared" si="16"/>
        <v>6</v>
      </c>
      <c r="M237">
        <f t="shared" si="17"/>
        <v>176</v>
      </c>
      <c r="N237">
        <f t="shared" si="18"/>
        <v>111</v>
      </c>
      <c r="O237">
        <f t="shared" si="19"/>
        <v>65</v>
      </c>
      <c r="P237">
        <f t="shared" si="15"/>
        <v>-2</v>
      </c>
      <c r="Q237" t="s">
        <v>7</v>
      </c>
    </row>
    <row r="238" spans="1:17" x14ac:dyDescent="0.35">
      <c r="A238" t="s">
        <v>12</v>
      </c>
      <c r="B238">
        <v>21</v>
      </c>
      <c r="C238">
        <v>356</v>
      </c>
      <c r="D238">
        <v>282</v>
      </c>
      <c r="E238">
        <v>74</v>
      </c>
      <c r="F238">
        <v>4</v>
      </c>
      <c r="G238">
        <v>21</v>
      </c>
      <c r="H238">
        <v>410</v>
      </c>
      <c r="I238">
        <v>194</v>
      </c>
      <c r="J238">
        <v>216</v>
      </c>
      <c r="K238">
        <v>1</v>
      </c>
      <c r="L238">
        <f t="shared" si="16"/>
        <v>0</v>
      </c>
      <c r="M238">
        <f t="shared" si="17"/>
        <v>-54</v>
      </c>
      <c r="N238">
        <f t="shared" si="18"/>
        <v>88</v>
      </c>
      <c r="O238">
        <f t="shared" si="19"/>
        <v>-142</v>
      </c>
      <c r="P238">
        <f t="shared" si="15"/>
        <v>3</v>
      </c>
      <c r="Q238" t="s">
        <v>5</v>
      </c>
    </row>
    <row r="239" spans="1:17" x14ac:dyDescent="0.35">
      <c r="A239" t="s">
        <v>11</v>
      </c>
      <c r="B239">
        <v>15</v>
      </c>
      <c r="C239">
        <v>308</v>
      </c>
      <c r="D239">
        <v>279</v>
      </c>
      <c r="E239">
        <v>29</v>
      </c>
      <c r="F239">
        <v>1</v>
      </c>
      <c r="G239">
        <v>23</v>
      </c>
      <c r="H239">
        <v>389</v>
      </c>
      <c r="I239">
        <v>125</v>
      </c>
      <c r="J239">
        <v>264</v>
      </c>
      <c r="K239">
        <v>2</v>
      </c>
      <c r="L239">
        <f t="shared" si="16"/>
        <v>-8</v>
      </c>
      <c r="M239">
        <f t="shared" si="17"/>
        <v>-81</v>
      </c>
      <c r="N239">
        <f t="shared" si="18"/>
        <v>154</v>
      </c>
      <c r="O239">
        <f t="shared" si="19"/>
        <v>-235</v>
      </c>
      <c r="P239">
        <f t="shared" si="15"/>
        <v>-1</v>
      </c>
      <c r="Q239" t="s">
        <v>5</v>
      </c>
    </row>
    <row r="240" spans="1:17" x14ac:dyDescent="0.35">
      <c r="A240" t="s">
        <v>11</v>
      </c>
      <c r="B240">
        <v>23</v>
      </c>
      <c r="C240">
        <v>369</v>
      </c>
      <c r="D240">
        <v>252</v>
      </c>
      <c r="E240">
        <v>117</v>
      </c>
      <c r="F240">
        <v>1</v>
      </c>
      <c r="G240">
        <v>21</v>
      </c>
      <c r="H240">
        <v>471</v>
      </c>
      <c r="I240">
        <v>252</v>
      </c>
      <c r="J240">
        <v>219</v>
      </c>
      <c r="K240">
        <v>2</v>
      </c>
      <c r="L240">
        <f t="shared" si="16"/>
        <v>2</v>
      </c>
      <c r="M240">
        <f t="shared" si="17"/>
        <v>-102</v>
      </c>
      <c r="N240">
        <f t="shared" si="18"/>
        <v>0</v>
      </c>
      <c r="O240">
        <f t="shared" si="19"/>
        <v>-102</v>
      </c>
      <c r="P240">
        <f t="shared" si="15"/>
        <v>-1</v>
      </c>
      <c r="Q240" t="s">
        <v>5</v>
      </c>
    </row>
    <row r="241" spans="1:17" x14ac:dyDescent="0.35">
      <c r="A241" t="s">
        <v>12</v>
      </c>
      <c r="B241">
        <v>14</v>
      </c>
      <c r="C241">
        <v>242</v>
      </c>
      <c r="D241">
        <v>193</v>
      </c>
      <c r="E241">
        <v>49</v>
      </c>
      <c r="F241">
        <v>4</v>
      </c>
      <c r="G241">
        <v>19</v>
      </c>
      <c r="H241">
        <v>315</v>
      </c>
      <c r="I241">
        <v>241</v>
      </c>
      <c r="J241">
        <v>74</v>
      </c>
      <c r="K241">
        <v>1</v>
      </c>
      <c r="L241">
        <f t="shared" si="16"/>
        <v>-5</v>
      </c>
      <c r="M241">
        <f t="shared" si="17"/>
        <v>-73</v>
      </c>
      <c r="N241">
        <f t="shared" si="18"/>
        <v>-48</v>
      </c>
      <c r="O241">
        <f t="shared" si="19"/>
        <v>-25</v>
      </c>
      <c r="P241">
        <f t="shared" si="15"/>
        <v>3</v>
      </c>
      <c r="Q241" t="s">
        <v>5</v>
      </c>
    </row>
    <row r="242" spans="1:17" x14ac:dyDescent="0.35">
      <c r="A242" t="s">
        <v>12</v>
      </c>
      <c r="B242">
        <v>15</v>
      </c>
      <c r="C242">
        <v>252</v>
      </c>
      <c r="D242">
        <v>164</v>
      </c>
      <c r="E242">
        <v>88</v>
      </c>
      <c r="F242">
        <v>0</v>
      </c>
      <c r="G242">
        <v>27</v>
      </c>
      <c r="H242">
        <v>525</v>
      </c>
      <c r="I242">
        <v>330</v>
      </c>
      <c r="J242">
        <v>195</v>
      </c>
      <c r="K242">
        <v>0</v>
      </c>
      <c r="L242">
        <f t="shared" si="16"/>
        <v>-12</v>
      </c>
      <c r="M242">
        <f t="shared" si="17"/>
        <v>-273</v>
      </c>
      <c r="N242">
        <f t="shared" si="18"/>
        <v>-166</v>
      </c>
      <c r="O242">
        <f t="shared" si="19"/>
        <v>-107</v>
      </c>
      <c r="P242">
        <f t="shared" si="15"/>
        <v>0</v>
      </c>
      <c r="Q242" t="s">
        <v>5</v>
      </c>
    </row>
    <row r="243" spans="1:17" x14ac:dyDescent="0.35">
      <c r="A243" t="s">
        <v>11</v>
      </c>
      <c r="B243">
        <v>17</v>
      </c>
      <c r="C243">
        <v>262</v>
      </c>
      <c r="D243">
        <v>185</v>
      </c>
      <c r="E243">
        <v>77</v>
      </c>
      <c r="F243">
        <v>0</v>
      </c>
      <c r="G243">
        <v>27</v>
      </c>
      <c r="H243">
        <v>364</v>
      </c>
      <c r="I243">
        <v>236</v>
      </c>
      <c r="J243">
        <v>128</v>
      </c>
      <c r="K243">
        <v>0</v>
      </c>
      <c r="L243">
        <f t="shared" si="16"/>
        <v>-10</v>
      </c>
      <c r="M243">
        <f t="shared" si="17"/>
        <v>-102</v>
      </c>
      <c r="N243">
        <f t="shared" si="18"/>
        <v>-51</v>
      </c>
      <c r="O243">
        <f t="shared" si="19"/>
        <v>-51</v>
      </c>
      <c r="P243">
        <f t="shared" si="15"/>
        <v>0</v>
      </c>
      <c r="Q243" t="s">
        <v>7</v>
      </c>
    </row>
    <row r="244" spans="1:17" x14ac:dyDescent="0.35">
      <c r="A244" t="s">
        <v>11</v>
      </c>
      <c r="B244">
        <v>17</v>
      </c>
      <c r="C244">
        <v>288</v>
      </c>
      <c r="D244">
        <v>173</v>
      </c>
      <c r="E244">
        <v>115</v>
      </c>
      <c r="F244">
        <v>1</v>
      </c>
      <c r="G244">
        <v>28</v>
      </c>
      <c r="H244">
        <v>518</v>
      </c>
      <c r="I244">
        <v>383</v>
      </c>
      <c r="J244">
        <v>135</v>
      </c>
      <c r="K244">
        <v>2</v>
      </c>
      <c r="L244">
        <f t="shared" si="16"/>
        <v>-11</v>
      </c>
      <c r="M244">
        <f t="shared" si="17"/>
        <v>-230</v>
      </c>
      <c r="N244">
        <f t="shared" si="18"/>
        <v>-210</v>
      </c>
      <c r="O244">
        <f t="shared" si="19"/>
        <v>-20</v>
      </c>
      <c r="P244">
        <f t="shared" si="15"/>
        <v>-1</v>
      </c>
      <c r="Q244" t="s">
        <v>5</v>
      </c>
    </row>
    <row r="245" spans="1:17" x14ac:dyDescent="0.35">
      <c r="A245" t="s">
        <v>12</v>
      </c>
      <c r="B245">
        <v>23</v>
      </c>
      <c r="C245">
        <v>353</v>
      </c>
      <c r="D245">
        <v>286</v>
      </c>
      <c r="E245">
        <v>67</v>
      </c>
      <c r="F245">
        <v>1</v>
      </c>
      <c r="G245">
        <v>17</v>
      </c>
      <c r="H245">
        <v>275</v>
      </c>
      <c r="I245">
        <v>143</v>
      </c>
      <c r="J245">
        <v>132</v>
      </c>
      <c r="K245">
        <v>2</v>
      </c>
      <c r="L245">
        <f t="shared" si="16"/>
        <v>6</v>
      </c>
      <c r="M245">
        <f t="shared" si="17"/>
        <v>78</v>
      </c>
      <c r="N245">
        <f t="shared" si="18"/>
        <v>143</v>
      </c>
      <c r="O245">
        <f t="shared" si="19"/>
        <v>-65</v>
      </c>
      <c r="P245">
        <f t="shared" si="15"/>
        <v>-1</v>
      </c>
      <c r="Q245" t="s">
        <v>7</v>
      </c>
    </row>
    <row r="246" spans="1:17" x14ac:dyDescent="0.35">
      <c r="A246" t="s">
        <v>11</v>
      </c>
      <c r="B246">
        <v>24</v>
      </c>
      <c r="C246">
        <v>491</v>
      </c>
      <c r="D246">
        <v>378</v>
      </c>
      <c r="E246">
        <v>113</v>
      </c>
      <c r="F246">
        <v>0</v>
      </c>
      <c r="G246">
        <v>18</v>
      </c>
      <c r="H246">
        <v>428</v>
      </c>
      <c r="I246">
        <v>347</v>
      </c>
      <c r="J246">
        <v>81</v>
      </c>
      <c r="K246">
        <v>2</v>
      </c>
      <c r="L246">
        <f t="shared" si="16"/>
        <v>6</v>
      </c>
      <c r="M246">
        <f t="shared" si="17"/>
        <v>63</v>
      </c>
      <c r="N246">
        <f t="shared" si="18"/>
        <v>31</v>
      </c>
      <c r="O246">
        <f t="shared" si="19"/>
        <v>32</v>
      </c>
      <c r="P246">
        <f t="shared" si="15"/>
        <v>-2</v>
      </c>
      <c r="Q246" t="s">
        <v>7</v>
      </c>
    </row>
    <row r="247" spans="1:17" x14ac:dyDescent="0.35">
      <c r="A247" t="s">
        <v>11</v>
      </c>
      <c r="B247">
        <v>24</v>
      </c>
      <c r="C247">
        <v>467</v>
      </c>
      <c r="D247">
        <v>436</v>
      </c>
      <c r="E247">
        <v>31</v>
      </c>
      <c r="F247">
        <v>1</v>
      </c>
      <c r="G247">
        <v>19</v>
      </c>
      <c r="H247">
        <v>307</v>
      </c>
      <c r="I247">
        <v>178</v>
      </c>
      <c r="J247">
        <v>129</v>
      </c>
      <c r="K247">
        <v>2</v>
      </c>
      <c r="L247">
        <f t="shared" si="16"/>
        <v>5</v>
      </c>
      <c r="M247">
        <f t="shared" si="17"/>
        <v>160</v>
      </c>
      <c r="N247">
        <f t="shared" si="18"/>
        <v>258</v>
      </c>
      <c r="O247">
        <f t="shared" si="19"/>
        <v>-98</v>
      </c>
      <c r="P247">
        <f t="shared" si="15"/>
        <v>-1</v>
      </c>
      <c r="Q247" t="s">
        <v>7</v>
      </c>
    </row>
    <row r="248" spans="1:17" x14ac:dyDescent="0.35">
      <c r="A248" t="s">
        <v>12</v>
      </c>
      <c r="B248">
        <v>27</v>
      </c>
      <c r="C248">
        <v>503</v>
      </c>
      <c r="D248">
        <v>363</v>
      </c>
      <c r="E248">
        <v>140</v>
      </c>
      <c r="F248">
        <v>0</v>
      </c>
      <c r="G248">
        <v>29</v>
      </c>
      <c r="H248">
        <v>452</v>
      </c>
      <c r="I248">
        <v>249</v>
      </c>
      <c r="J248">
        <v>203</v>
      </c>
      <c r="K248">
        <v>0</v>
      </c>
      <c r="L248">
        <f t="shared" si="16"/>
        <v>-2</v>
      </c>
      <c r="M248">
        <f t="shared" si="17"/>
        <v>51</v>
      </c>
      <c r="N248">
        <f t="shared" si="18"/>
        <v>114</v>
      </c>
      <c r="O248">
        <f t="shared" si="19"/>
        <v>-63</v>
      </c>
      <c r="P248">
        <f t="shared" si="15"/>
        <v>0</v>
      </c>
      <c r="Q248" t="s">
        <v>7</v>
      </c>
    </row>
    <row r="249" spans="1:17" x14ac:dyDescent="0.35">
      <c r="A249" t="s">
        <v>11</v>
      </c>
      <c r="B249">
        <v>29</v>
      </c>
      <c r="C249">
        <v>438</v>
      </c>
      <c r="D249">
        <v>315</v>
      </c>
      <c r="E249">
        <v>123</v>
      </c>
      <c r="F249">
        <v>3</v>
      </c>
      <c r="G249">
        <v>29</v>
      </c>
      <c r="H249">
        <v>447</v>
      </c>
      <c r="I249">
        <v>261</v>
      </c>
      <c r="J249">
        <v>186</v>
      </c>
      <c r="K249">
        <v>2</v>
      </c>
      <c r="L249">
        <f t="shared" si="16"/>
        <v>0</v>
      </c>
      <c r="M249">
        <f t="shared" si="17"/>
        <v>-9</v>
      </c>
      <c r="N249">
        <f t="shared" si="18"/>
        <v>54</v>
      </c>
      <c r="O249">
        <f t="shared" si="19"/>
        <v>-63</v>
      </c>
      <c r="P249">
        <f t="shared" si="15"/>
        <v>1</v>
      </c>
      <c r="Q249" t="s">
        <v>7</v>
      </c>
    </row>
    <row r="250" spans="1:17" x14ac:dyDescent="0.35">
      <c r="A250" t="s">
        <v>12</v>
      </c>
      <c r="B250">
        <v>18</v>
      </c>
      <c r="C250">
        <v>324</v>
      </c>
      <c r="D250">
        <v>288</v>
      </c>
      <c r="E250">
        <v>36</v>
      </c>
      <c r="F250">
        <v>1</v>
      </c>
      <c r="G250">
        <v>25</v>
      </c>
      <c r="H250">
        <v>331</v>
      </c>
      <c r="I250">
        <v>151</v>
      </c>
      <c r="J250">
        <v>180</v>
      </c>
      <c r="K250">
        <v>1</v>
      </c>
      <c r="L250">
        <f t="shared" si="16"/>
        <v>-7</v>
      </c>
      <c r="M250">
        <f t="shared" si="17"/>
        <v>-7</v>
      </c>
      <c r="N250">
        <f t="shared" si="18"/>
        <v>137</v>
      </c>
      <c r="O250">
        <f t="shared" si="19"/>
        <v>-144</v>
      </c>
      <c r="P250">
        <f t="shared" si="15"/>
        <v>0</v>
      </c>
      <c r="Q250" t="s">
        <v>5</v>
      </c>
    </row>
    <row r="251" spans="1:17" x14ac:dyDescent="0.35">
      <c r="A251" t="s">
        <v>12</v>
      </c>
      <c r="B251">
        <v>20</v>
      </c>
      <c r="C251">
        <v>309</v>
      </c>
      <c r="D251">
        <v>256</v>
      </c>
      <c r="E251">
        <v>53</v>
      </c>
      <c r="F251">
        <v>2</v>
      </c>
      <c r="G251">
        <v>35</v>
      </c>
      <c r="H251">
        <v>472</v>
      </c>
      <c r="I251">
        <v>280</v>
      </c>
      <c r="J251">
        <v>192</v>
      </c>
      <c r="K251">
        <v>3</v>
      </c>
      <c r="L251">
        <f t="shared" si="16"/>
        <v>-15</v>
      </c>
      <c r="M251">
        <f t="shared" si="17"/>
        <v>-163</v>
      </c>
      <c r="N251">
        <f t="shared" si="18"/>
        <v>-24</v>
      </c>
      <c r="O251">
        <f t="shared" si="19"/>
        <v>-139</v>
      </c>
      <c r="P251">
        <f t="shared" si="15"/>
        <v>-1</v>
      </c>
      <c r="Q251" t="s">
        <v>5</v>
      </c>
    </row>
    <row r="252" spans="1:17" x14ac:dyDescent="0.35">
      <c r="A252" t="s">
        <v>11</v>
      </c>
      <c r="B252">
        <v>14</v>
      </c>
      <c r="C252">
        <v>271</v>
      </c>
      <c r="D252">
        <v>191</v>
      </c>
      <c r="E252">
        <v>80</v>
      </c>
      <c r="F252">
        <v>0</v>
      </c>
      <c r="G252">
        <v>15</v>
      </c>
      <c r="H252">
        <v>205</v>
      </c>
      <c r="I252">
        <v>134</v>
      </c>
      <c r="J252">
        <v>71</v>
      </c>
      <c r="K252">
        <v>1</v>
      </c>
      <c r="L252">
        <f t="shared" si="16"/>
        <v>-1</v>
      </c>
      <c r="M252">
        <f t="shared" si="17"/>
        <v>66</v>
      </c>
      <c r="N252">
        <f t="shared" si="18"/>
        <v>57</v>
      </c>
      <c r="O252">
        <f t="shared" si="19"/>
        <v>9</v>
      </c>
      <c r="P252">
        <f t="shared" si="15"/>
        <v>-1</v>
      </c>
      <c r="Q252" t="s">
        <v>7</v>
      </c>
    </row>
    <row r="253" spans="1:17" x14ac:dyDescent="0.35">
      <c r="A253" t="s">
        <v>12</v>
      </c>
      <c r="B253">
        <v>21</v>
      </c>
      <c r="C253">
        <v>337</v>
      </c>
      <c r="D253">
        <v>249</v>
      </c>
      <c r="E253">
        <v>88</v>
      </c>
      <c r="F253">
        <v>1</v>
      </c>
      <c r="G253">
        <v>21</v>
      </c>
      <c r="H253">
        <v>374</v>
      </c>
      <c r="I253">
        <v>256</v>
      </c>
      <c r="J253">
        <v>118</v>
      </c>
      <c r="K253">
        <v>0</v>
      </c>
      <c r="L253">
        <f t="shared" si="16"/>
        <v>0</v>
      </c>
      <c r="M253">
        <f t="shared" si="17"/>
        <v>-37</v>
      </c>
      <c r="N253">
        <f t="shared" si="18"/>
        <v>-7</v>
      </c>
      <c r="O253">
        <f t="shared" si="19"/>
        <v>-30</v>
      </c>
      <c r="P253">
        <f t="shared" si="15"/>
        <v>1</v>
      </c>
      <c r="Q253" t="s">
        <v>5</v>
      </c>
    </row>
    <row r="254" spans="1:17" x14ac:dyDescent="0.35">
      <c r="A254" t="s">
        <v>12</v>
      </c>
      <c r="B254">
        <v>17</v>
      </c>
      <c r="C254">
        <v>377</v>
      </c>
      <c r="D254">
        <v>230</v>
      </c>
      <c r="E254">
        <v>147</v>
      </c>
      <c r="F254">
        <v>1</v>
      </c>
      <c r="G254">
        <v>17</v>
      </c>
      <c r="H254">
        <v>308</v>
      </c>
      <c r="I254">
        <v>212</v>
      </c>
      <c r="J254">
        <v>96</v>
      </c>
      <c r="K254">
        <v>0</v>
      </c>
      <c r="L254">
        <f t="shared" si="16"/>
        <v>0</v>
      </c>
      <c r="M254">
        <f t="shared" si="17"/>
        <v>69</v>
      </c>
      <c r="N254">
        <f t="shared" si="18"/>
        <v>18</v>
      </c>
      <c r="O254">
        <f t="shared" si="19"/>
        <v>51</v>
      </c>
      <c r="P254">
        <f t="shared" si="15"/>
        <v>1</v>
      </c>
      <c r="Q254" t="s">
        <v>7</v>
      </c>
    </row>
    <row r="255" spans="1:17" x14ac:dyDescent="0.35">
      <c r="A255" t="s">
        <v>11</v>
      </c>
      <c r="B255">
        <v>28</v>
      </c>
      <c r="C255">
        <v>530</v>
      </c>
      <c r="D255">
        <v>433</v>
      </c>
      <c r="E255">
        <v>97</v>
      </c>
      <c r="F255">
        <v>1</v>
      </c>
      <c r="G255">
        <v>19</v>
      </c>
      <c r="H255">
        <v>371</v>
      </c>
      <c r="I255">
        <v>146</v>
      </c>
      <c r="J255">
        <v>225</v>
      </c>
      <c r="K255">
        <v>1</v>
      </c>
      <c r="L255">
        <f t="shared" si="16"/>
        <v>9</v>
      </c>
      <c r="M255">
        <f t="shared" si="17"/>
        <v>159</v>
      </c>
      <c r="N255">
        <f t="shared" si="18"/>
        <v>287</v>
      </c>
      <c r="O255">
        <f t="shared" si="19"/>
        <v>-128</v>
      </c>
      <c r="P255">
        <f t="shared" si="15"/>
        <v>0</v>
      </c>
      <c r="Q255" t="s">
        <v>5</v>
      </c>
    </row>
    <row r="256" spans="1:17" x14ac:dyDescent="0.35">
      <c r="A256" t="s">
        <v>11</v>
      </c>
      <c r="B256">
        <v>18</v>
      </c>
      <c r="C256">
        <v>310</v>
      </c>
      <c r="D256">
        <v>180</v>
      </c>
      <c r="E256">
        <v>130</v>
      </c>
      <c r="F256">
        <v>1</v>
      </c>
      <c r="G256">
        <v>23</v>
      </c>
      <c r="H256">
        <v>438</v>
      </c>
      <c r="I256">
        <v>345</v>
      </c>
      <c r="J256">
        <v>93</v>
      </c>
      <c r="K256">
        <v>4</v>
      </c>
      <c r="L256">
        <f t="shared" si="16"/>
        <v>-5</v>
      </c>
      <c r="M256">
        <f t="shared" si="17"/>
        <v>-128</v>
      </c>
      <c r="N256">
        <f t="shared" si="18"/>
        <v>-165</v>
      </c>
      <c r="O256">
        <f t="shared" si="19"/>
        <v>37</v>
      </c>
      <c r="P256">
        <f t="shared" si="15"/>
        <v>-3</v>
      </c>
      <c r="Q256" t="s">
        <v>7</v>
      </c>
    </row>
    <row r="257" spans="1:17" x14ac:dyDescent="0.35">
      <c r="A257" t="s">
        <v>12</v>
      </c>
      <c r="B257">
        <v>22</v>
      </c>
      <c r="C257">
        <v>259</v>
      </c>
      <c r="D257">
        <v>163</v>
      </c>
      <c r="E257">
        <v>96</v>
      </c>
      <c r="F257">
        <v>0</v>
      </c>
      <c r="G257">
        <v>19</v>
      </c>
      <c r="H257">
        <v>332</v>
      </c>
      <c r="I257">
        <v>210</v>
      </c>
      <c r="J257">
        <v>122</v>
      </c>
      <c r="K257">
        <v>3</v>
      </c>
      <c r="L257">
        <f t="shared" si="16"/>
        <v>3</v>
      </c>
      <c r="M257">
        <f t="shared" si="17"/>
        <v>-73</v>
      </c>
      <c r="N257">
        <f t="shared" si="18"/>
        <v>-47</v>
      </c>
      <c r="O257">
        <f t="shared" si="19"/>
        <v>-26</v>
      </c>
      <c r="P257">
        <f t="shared" si="15"/>
        <v>-3</v>
      </c>
      <c r="Q257" t="s">
        <v>7</v>
      </c>
    </row>
    <row r="258" spans="1:17" x14ac:dyDescent="0.35">
      <c r="A258" t="s">
        <v>11</v>
      </c>
      <c r="B258">
        <v>20</v>
      </c>
      <c r="C258">
        <v>346</v>
      </c>
      <c r="D258">
        <v>271</v>
      </c>
      <c r="E258">
        <v>75</v>
      </c>
      <c r="F258">
        <v>2</v>
      </c>
      <c r="G258">
        <v>17</v>
      </c>
      <c r="H258">
        <v>278</v>
      </c>
      <c r="I258">
        <v>184</v>
      </c>
      <c r="J258">
        <v>94</v>
      </c>
      <c r="K258">
        <v>1</v>
      </c>
      <c r="L258">
        <f t="shared" si="16"/>
        <v>3</v>
      </c>
      <c r="M258">
        <f t="shared" si="17"/>
        <v>68</v>
      </c>
      <c r="N258">
        <f t="shared" si="18"/>
        <v>87</v>
      </c>
      <c r="O258">
        <f t="shared" si="19"/>
        <v>-19</v>
      </c>
      <c r="P258">
        <f t="shared" ref="P258:P321" si="20">F258-K258</f>
        <v>1</v>
      </c>
      <c r="Q258" t="s">
        <v>7</v>
      </c>
    </row>
    <row r="259" spans="1:17" x14ac:dyDescent="0.35">
      <c r="A259" t="s">
        <v>12</v>
      </c>
      <c r="B259">
        <v>27</v>
      </c>
      <c r="C259">
        <v>419</v>
      </c>
      <c r="D259">
        <v>327</v>
      </c>
      <c r="E259">
        <v>92</v>
      </c>
      <c r="F259">
        <v>1</v>
      </c>
      <c r="G259">
        <v>15</v>
      </c>
      <c r="H259">
        <v>251</v>
      </c>
      <c r="I259">
        <v>199</v>
      </c>
      <c r="J259">
        <v>52</v>
      </c>
      <c r="K259">
        <v>1</v>
      </c>
      <c r="L259">
        <f t="shared" ref="L259:L322" si="21">B259-G259</f>
        <v>12</v>
      </c>
      <c r="M259">
        <f t="shared" ref="M259:M322" si="22">C259-H259</f>
        <v>168</v>
      </c>
      <c r="N259">
        <f t="shared" ref="N259:N322" si="23">D259-I259</f>
        <v>128</v>
      </c>
      <c r="O259">
        <f t="shared" ref="O259:O322" si="24">E259-J259</f>
        <v>40</v>
      </c>
      <c r="P259">
        <f t="shared" si="20"/>
        <v>0</v>
      </c>
      <c r="Q259" t="s">
        <v>7</v>
      </c>
    </row>
    <row r="260" spans="1:17" x14ac:dyDescent="0.35">
      <c r="A260" t="s">
        <v>11</v>
      </c>
      <c r="B260">
        <v>25</v>
      </c>
      <c r="C260">
        <v>350</v>
      </c>
      <c r="D260">
        <v>244</v>
      </c>
      <c r="E260">
        <v>106</v>
      </c>
      <c r="F260">
        <v>0</v>
      </c>
      <c r="G260">
        <v>18</v>
      </c>
      <c r="H260">
        <v>234</v>
      </c>
      <c r="I260">
        <v>133</v>
      </c>
      <c r="J260">
        <v>101</v>
      </c>
      <c r="K260">
        <v>0</v>
      </c>
      <c r="L260">
        <f t="shared" si="21"/>
        <v>7</v>
      </c>
      <c r="M260">
        <f t="shared" si="22"/>
        <v>116</v>
      </c>
      <c r="N260">
        <f t="shared" si="23"/>
        <v>111</v>
      </c>
      <c r="O260">
        <f t="shared" si="24"/>
        <v>5</v>
      </c>
      <c r="P260">
        <f t="shared" si="20"/>
        <v>0</v>
      </c>
      <c r="Q260" t="s">
        <v>7</v>
      </c>
    </row>
    <row r="261" spans="1:17" x14ac:dyDescent="0.35">
      <c r="A261" t="s">
        <v>12</v>
      </c>
      <c r="B261">
        <v>16</v>
      </c>
      <c r="C261">
        <v>336</v>
      </c>
      <c r="D261">
        <v>174</v>
      </c>
      <c r="E261">
        <v>162</v>
      </c>
      <c r="F261">
        <v>1</v>
      </c>
      <c r="G261">
        <v>25</v>
      </c>
      <c r="H261">
        <v>366</v>
      </c>
      <c r="I261">
        <v>258</v>
      </c>
      <c r="J261">
        <v>108</v>
      </c>
      <c r="K261">
        <v>2</v>
      </c>
      <c r="L261">
        <f t="shared" si="21"/>
        <v>-9</v>
      </c>
      <c r="M261">
        <f t="shared" si="22"/>
        <v>-30</v>
      </c>
      <c r="N261">
        <f t="shared" si="23"/>
        <v>-84</v>
      </c>
      <c r="O261">
        <f t="shared" si="24"/>
        <v>54</v>
      </c>
      <c r="P261">
        <f t="shared" si="20"/>
        <v>-1</v>
      </c>
      <c r="Q261" t="s">
        <v>7</v>
      </c>
    </row>
    <row r="262" spans="1:17" x14ac:dyDescent="0.35">
      <c r="A262" t="s">
        <v>12</v>
      </c>
      <c r="B262">
        <v>29</v>
      </c>
      <c r="C262">
        <v>434</v>
      </c>
      <c r="D262">
        <v>316</v>
      </c>
      <c r="E262">
        <v>118</v>
      </c>
      <c r="F262">
        <v>1</v>
      </c>
      <c r="G262">
        <v>23</v>
      </c>
      <c r="H262">
        <v>442</v>
      </c>
      <c r="I262">
        <v>348</v>
      </c>
      <c r="J262">
        <v>94</v>
      </c>
      <c r="K262">
        <v>1</v>
      </c>
      <c r="L262">
        <f t="shared" si="21"/>
        <v>6</v>
      </c>
      <c r="M262">
        <f t="shared" si="22"/>
        <v>-8</v>
      </c>
      <c r="N262">
        <f t="shared" si="23"/>
        <v>-32</v>
      </c>
      <c r="O262">
        <f t="shared" si="24"/>
        <v>24</v>
      </c>
      <c r="P262">
        <f t="shared" si="20"/>
        <v>0</v>
      </c>
      <c r="Q262" t="s">
        <v>7</v>
      </c>
    </row>
    <row r="263" spans="1:17" x14ac:dyDescent="0.35">
      <c r="A263" t="s">
        <v>12</v>
      </c>
      <c r="B263">
        <v>27</v>
      </c>
      <c r="C263">
        <v>404</v>
      </c>
      <c r="D263">
        <v>292</v>
      </c>
      <c r="E263">
        <v>112</v>
      </c>
      <c r="F263">
        <v>0</v>
      </c>
      <c r="G263">
        <v>20</v>
      </c>
      <c r="H263">
        <v>295</v>
      </c>
      <c r="I263">
        <v>210</v>
      </c>
      <c r="J263">
        <v>85</v>
      </c>
      <c r="K263">
        <v>0</v>
      </c>
      <c r="L263">
        <f t="shared" si="21"/>
        <v>7</v>
      </c>
      <c r="M263">
        <f t="shared" si="22"/>
        <v>109</v>
      </c>
      <c r="N263">
        <f t="shared" si="23"/>
        <v>82</v>
      </c>
      <c r="O263">
        <f t="shared" si="24"/>
        <v>27</v>
      </c>
      <c r="P263">
        <f t="shared" si="20"/>
        <v>0</v>
      </c>
      <c r="Q263" t="s">
        <v>7</v>
      </c>
    </row>
    <row r="264" spans="1:17" x14ac:dyDescent="0.35">
      <c r="A264" t="s">
        <v>12</v>
      </c>
      <c r="B264">
        <v>26</v>
      </c>
      <c r="C264">
        <v>397</v>
      </c>
      <c r="D264">
        <v>268</v>
      </c>
      <c r="E264">
        <v>129</v>
      </c>
      <c r="F264">
        <v>2</v>
      </c>
      <c r="G264">
        <v>21</v>
      </c>
      <c r="H264">
        <v>351</v>
      </c>
      <c r="I264">
        <v>210</v>
      </c>
      <c r="J264">
        <v>141</v>
      </c>
      <c r="K264">
        <v>2</v>
      </c>
      <c r="L264">
        <f t="shared" si="21"/>
        <v>5</v>
      </c>
      <c r="M264">
        <f t="shared" si="22"/>
        <v>46</v>
      </c>
      <c r="N264">
        <f t="shared" si="23"/>
        <v>58</v>
      </c>
      <c r="O264">
        <f t="shared" si="24"/>
        <v>-12</v>
      </c>
      <c r="P264">
        <f t="shared" si="20"/>
        <v>0</v>
      </c>
      <c r="Q264" t="s">
        <v>7</v>
      </c>
    </row>
    <row r="265" spans="1:17" x14ac:dyDescent="0.35">
      <c r="A265" t="s">
        <v>12</v>
      </c>
      <c r="B265">
        <v>25</v>
      </c>
      <c r="C265">
        <v>435</v>
      </c>
      <c r="D265">
        <v>310</v>
      </c>
      <c r="E265">
        <v>125</v>
      </c>
      <c r="F265">
        <v>2</v>
      </c>
      <c r="G265">
        <v>22</v>
      </c>
      <c r="H265">
        <v>376</v>
      </c>
      <c r="I265">
        <v>173</v>
      </c>
      <c r="J265">
        <v>203</v>
      </c>
      <c r="K265">
        <v>0</v>
      </c>
      <c r="L265">
        <f t="shared" si="21"/>
        <v>3</v>
      </c>
      <c r="M265">
        <f t="shared" si="22"/>
        <v>59</v>
      </c>
      <c r="N265">
        <f t="shared" si="23"/>
        <v>137</v>
      </c>
      <c r="O265">
        <f t="shared" si="24"/>
        <v>-78</v>
      </c>
      <c r="P265">
        <f t="shared" si="20"/>
        <v>2</v>
      </c>
      <c r="Q265" t="s">
        <v>7</v>
      </c>
    </row>
    <row r="266" spans="1:17" x14ac:dyDescent="0.35">
      <c r="A266" t="s">
        <v>11</v>
      </c>
      <c r="B266">
        <v>21</v>
      </c>
      <c r="C266">
        <v>424</v>
      </c>
      <c r="D266">
        <v>287</v>
      </c>
      <c r="E266">
        <v>137</v>
      </c>
      <c r="F266">
        <v>2</v>
      </c>
      <c r="G266">
        <v>19</v>
      </c>
      <c r="H266">
        <v>339</v>
      </c>
      <c r="I266">
        <v>245</v>
      </c>
      <c r="J266">
        <v>94</v>
      </c>
      <c r="K266">
        <v>2</v>
      </c>
      <c r="L266">
        <f t="shared" si="21"/>
        <v>2</v>
      </c>
      <c r="M266">
        <f t="shared" si="22"/>
        <v>85</v>
      </c>
      <c r="N266">
        <f t="shared" si="23"/>
        <v>42</v>
      </c>
      <c r="O266">
        <f t="shared" si="24"/>
        <v>43</v>
      </c>
      <c r="P266">
        <f t="shared" si="20"/>
        <v>0</v>
      </c>
      <c r="Q266" t="s">
        <v>5</v>
      </c>
    </row>
    <row r="267" spans="1:17" x14ac:dyDescent="0.35">
      <c r="A267" t="s">
        <v>12</v>
      </c>
      <c r="B267">
        <v>22</v>
      </c>
      <c r="C267">
        <v>366</v>
      </c>
      <c r="D267">
        <v>293</v>
      </c>
      <c r="E267">
        <v>73</v>
      </c>
      <c r="F267">
        <v>1</v>
      </c>
      <c r="G267">
        <v>20</v>
      </c>
      <c r="H267">
        <v>376</v>
      </c>
      <c r="I267">
        <v>337</v>
      </c>
      <c r="J267">
        <v>39</v>
      </c>
      <c r="K267">
        <v>1</v>
      </c>
      <c r="L267">
        <f t="shared" si="21"/>
        <v>2</v>
      </c>
      <c r="M267">
        <f t="shared" si="22"/>
        <v>-10</v>
      </c>
      <c r="N267">
        <f t="shared" si="23"/>
        <v>-44</v>
      </c>
      <c r="O267">
        <f t="shared" si="24"/>
        <v>34</v>
      </c>
      <c r="P267">
        <f t="shared" si="20"/>
        <v>0</v>
      </c>
      <c r="Q267" t="s">
        <v>5</v>
      </c>
    </row>
    <row r="268" spans="1:17" x14ac:dyDescent="0.35">
      <c r="A268" t="s">
        <v>11</v>
      </c>
      <c r="B268">
        <v>24</v>
      </c>
      <c r="C268">
        <v>390</v>
      </c>
      <c r="D268">
        <v>311</v>
      </c>
      <c r="E268">
        <v>79</v>
      </c>
      <c r="F268">
        <v>0</v>
      </c>
      <c r="G268">
        <v>13</v>
      </c>
      <c r="H268">
        <v>233</v>
      </c>
      <c r="I268">
        <v>161</v>
      </c>
      <c r="J268">
        <v>72</v>
      </c>
      <c r="K268">
        <v>1</v>
      </c>
      <c r="L268">
        <f t="shared" si="21"/>
        <v>11</v>
      </c>
      <c r="M268">
        <f t="shared" si="22"/>
        <v>157</v>
      </c>
      <c r="N268">
        <f t="shared" si="23"/>
        <v>150</v>
      </c>
      <c r="O268">
        <f t="shared" si="24"/>
        <v>7</v>
      </c>
      <c r="P268">
        <f t="shared" si="20"/>
        <v>-1</v>
      </c>
      <c r="Q268" t="s">
        <v>7</v>
      </c>
    </row>
    <row r="269" spans="1:17" x14ac:dyDescent="0.35">
      <c r="A269" t="s">
        <v>12</v>
      </c>
      <c r="B269">
        <v>19</v>
      </c>
      <c r="C269">
        <v>246</v>
      </c>
      <c r="D269">
        <v>211</v>
      </c>
      <c r="E269">
        <v>35</v>
      </c>
      <c r="F269">
        <v>3</v>
      </c>
      <c r="G269">
        <v>15</v>
      </c>
      <c r="H269">
        <v>350</v>
      </c>
      <c r="I269">
        <v>159</v>
      </c>
      <c r="J269">
        <v>191</v>
      </c>
      <c r="K269">
        <v>2</v>
      </c>
      <c r="L269">
        <f t="shared" si="21"/>
        <v>4</v>
      </c>
      <c r="M269">
        <f t="shared" si="22"/>
        <v>-104</v>
      </c>
      <c r="N269">
        <f t="shared" si="23"/>
        <v>52</v>
      </c>
      <c r="O269">
        <f t="shared" si="24"/>
        <v>-156</v>
      </c>
      <c r="P269">
        <f t="shared" si="20"/>
        <v>1</v>
      </c>
      <c r="Q269" t="s">
        <v>5</v>
      </c>
    </row>
    <row r="270" spans="1:17" x14ac:dyDescent="0.35">
      <c r="A270" t="s">
        <v>12</v>
      </c>
      <c r="B270">
        <v>23</v>
      </c>
      <c r="C270">
        <v>348</v>
      </c>
      <c r="D270">
        <v>316</v>
      </c>
      <c r="E270">
        <v>32</v>
      </c>
      <c r="F270">
        <v>3</v>
      </c>
      <c r="G270">
        <v>18</v>
      </c>
      <c r="H270">
        <v>256</v>
      </c>
      <c r="I270">
        <v>132</v>
      </c>
      <c r="J270">
        <v>124</v>
      </c>
      <c r="K270">
        <v>1</v>
      </c>
      <c r="L270">
        <f t="shared" si="21"/>
        <v>5</v>
      </c>
      <c r="M270">
        <f t="shared" si="22"/>
        <v>92</v>
      </c>
      <c r="N270">
        <f t="shared" si="23"/>
        <v>184</v>
      </c>
      <c r="O270">
        <f t="shared" si="24"/>
        <v>-92</v>
      </c>
      <c r="P270">
        <f t="shared" si="20"/>
        <v>2</v>
      </c>
      <c r="Q270" t="s">
        <v>5</v>
      </c>
    </row>
    <row r="271" spans="1:17" x14ac:dyDescent="0.35">
      <c r="A271" t="s">
        <v>11</v>
      </c>
      <c r="B271">
        <v>24</v>
      </c>
      <c r="C271">
        <v>365</v>
      </c>
      <c r="D271">
        <v>326</v>
      </c>
      <c r="E271">
        <v>39</v>
      </c>
      <c r="F271">
        <v>1</v>
      </c>
      <c r="G271">
        <v>22</v>
      </c>
      <c r="H271">
        <v>403</v>
      </c>
      <c r="I271">
        <v>306</v>
      </c>
      <c r="J271">
        <v>97</v>
      </c>
      <c r="K271">
        <v>1</v>
      </c>
      <c r="L271">
        <f t="shared" si="21"/>
        <v>2</v>
      </c>
      <c r="M271">
        <f t="shared" si="22"/>
        <v>-38</v>
      </c>
      <c r="N271">
        <f t="shared" si="23"/>
        <v>20</v>
      </c>
      <c r="O271">
        <f t="shared" si="24"/>
        <v>-58</v>
      </c>
      <c r="P271">
        <f t="shared" si="20"/>
        <v>0</v>
      </c>
      <c r="Q271" t="s">
        <v>5</v>
      </c>
    </row>
    <row r="272" spans="1:17" x14ac:dyDescent="0.35">
      <c r="A272" t="s">
        <v>11</v>
      </c>
      <c r="B272">
        <v>11</v>
      </c>
      <c r="C272">
        <v>231</v>
      </c>
      <c r="D272">
        <v>195</v>
      </c>
      <c r="E272">
        <v>36</v>
      </c>
      <c r="F272">
        <v>1</v>
      </c>
      <c r="G272">
        <v>26</v>
      </c>
      <c r="H272">
        <v>388</v>
      </c>
      <c r="I272">
        <v>226</v>
      </c>
      <c r="J272">
        <v>162</v>
      </c>
      <c r="K272">
        <v>2</v>
      </c>
      <c r="L272">
        <f t="shared" si="21"/>
        <v>-15</v>
      </c>
      <c r="M272">
        <f t="shared" si="22"/>
        <v>-157</v>
      </c>
      <c r="N272">
        <f t="shared" si="23"/>
        <v>-31</v>
      </c>
      <c r="O272">
        <f t="shared" si="24"/>
        <v>-126</v>
      </c>
      <c r="P272">
        <f t="shared" si="20"/>
        <v>-1</v>
      </c>
      <c r="Q272" t="s">
        <v>7</v>
      </c>
    </row>
    <row r="273" spans="1:17" x14ac:dyDescent="0.35">
      <c r="A273" t="s">
        <v>12</v>
      </c>
      <c r="B273">
        <v>24</v>
      </c>
      <c r="C273">
        <v>442</v>
      </c>
      <c r="D273">
        <v>283</v>
      </c>
      <c r="E273">
        <v>159</v>
      </c>
      <c r="F273">
        <v>0</v>
      </c>
      <c r="G273">
        <v>13</v>
      </c>
      <c r="H273">
        <v>184</v>
      </c>
      <c r="I273">
        <v>139</v>
      </c>
      <c r="J273">
        <v>45</v>
      </c>
      <c r="K273">
        <v>0</v>
      </c>
      <c r="L273">
        <f t="shared" si="21"/>
        <v>11</v>
      </c>
      <c r="M273">
        <f t="shared" si="22"/>
        <v>258</v>
      </c>
      <c r="N273">
        <f t="shared" si="23"/>
        <v>144</v>
      </c>
      <c r="O273">
        <f t="shared" si="24"/>
        <v>114</v>
      </c>
      <c r="P273">
        <f t="shared" si="20"/>
        <v>0</v>
      </c>
      <c r="Q273" t="s">
        <v>7</v>
      </c>
    </row>
    <row r="274" spans="1:17" x14ac:dyDescent="0.35">
      <c r="A274" t="s">
        <v>11</v>
      </c>
      <c r="B274">
        <v>26</v>
      </c>
      <c r="C274">
        <v>315</v>
      </c>
      <c r="D274">
        <v>169</v>
      </c>
      <c r="E274">
        <v>146</v>
      </c>
      <c r="F274">
        <v>3</v>
      </c>
      <c r="G274">
        <v>18</v>
      </c>
      <c r="H274">
        <v>278</v>
      </c>
      <c r="I274">
        <v>200</v>
      </c>
      <c r="J274">
        <v>78</v>
      </c>
      <c r="K274">
        <v>0</v>
      </c>
      <c r="L274">
        <f t="shared" si="21"/>
        <v>8</v>
      </c>
      <c r="M274">
        <f t="shared" si="22"/>
        <v>37</v>
      </c>
      <c r="N274">
        <f t="shared" si="23"/>
        <v>-31</v>
      </c>
      <c r="O274">
        <f t="shared" si="24"/>
        <v>68</v>
      </c>
      <c r="P274">
        <f t="shared" si="20"/>
        <v>3</v>
      </c>
      <c r="Q274" t="s">
        <v>5</v>
      </c>
    </row>
    <row r="275" spans="1:17" x14ac:dyDescent="0.35">
      <c r="A275" t="s">
        <v>12</v>
      </c>
      <c r="B275">
        <v>23</v>
      </c>
      <c r="C275">
        <v>438</v>
      </c>
      <c r="D275">
        <v>345</v>
      </c>
      <c r="E275">
        <v>93</v>
      </c>
      <c r="F275">
        <v>4</v>
      </c>
      <c r="G275">
        <v>18</v>
      </c>
      <c r="H275">
        <v>310</v>
      </c>
      <c r="I275">
        <v>180</v>
      </c>
      <c r="J275">
        <v>130</v>
      </c>
      <c r="K275">
        <v>1</v>
      </c>
      <c r="L275">
        <f t="shared" si="21"/>
        <v>5</v>
      </c>
      <c r="M275">
        <f t="shared" si="22"/>
        <v>128</v>
      </c>
      <c r="N275">
        <f t="shared" si="23"/>
        <v>165</v>
      </c>
      <c r="O275">
        <f t="shared" si="24"/>
        <v>-37</v>
      </c>
      <c r="P275">
        <f t="shared" si="20"/>
        <v>3</v>
      </c>
      <c r="Q275" t="s">
        <v>5</v>
      </c>
    </row>
    <row r="276" spans="1:17" x14ac:dyDescent="0.35">
      <c r="A276" t="s">
        <v>11</v>
      </c>
      <c r="B276">
        <v>17</v>
      </c>
      <c r="C276">
        <v>359</v>
      </c>
      <c r="D276">
        <v>244</v>
      </c>
      <c r="E276">
        <v>115</v>
      </c>
      <c r="F276">
        <v>2</v>
      </c>
      <c r="G276">
        <v>13</v>
      </c>
      <c r="H276">
        <v>218</v>
      </c>
      <c r="I276">
        <v>134</v>
      </c>
      <c r="J276">
        <v>84</v>
      </c>
      <c r="K276">
        <v>1</v>
      </c>
      <c r="L276">
        <f t="shared" si="21"/>
        <v>4</v>
      </c>
      <c r="M276">
        <f t="shared" si="22"/>
        <v>141</v>
      </c>
      <c r="N276">
        <f t="shared" si="23"/>
        <v>110</v>
      </c>
      <c r="O276">
        <f t="shared" si="24"/>
        <v>31</v>
      </c>
      <c r="P276">
        <f t="shared" si="20"/>
        <v>1</v>
      </c>
      <c r="Q276" t="s">
        <v>5</v>
      </c>
    </row>
    <row r="277" spans="1:17" x14ac:dyDescent="0.35">
      <c r="A277" t="s">
        <v>11</v>
      </c>
      <c r="B277">
        <v>27</v>
      </c>
      <c r="C277">
        <v>525</v>
      </c>
      <c r="D277">
        <v>330</v>
      </c>
      <c r="E277">
        <v>195</v>
      </c>
      <c r="F277">
        <v>0</v>
      </c>
      <c r="G277">
        <v>15</v>
      </c>
      <c r="H277">
        <v>252</v>
      </c>
      <c r="I277">
        <v>164</v>
      </c>
      <c r="J277">
        <v>88</v>
      </c>
      <c r="K277">
        <v>0</v>
      </c>
      <c r="L277">
        <f t="shared" si="21"/>
        <v>12</v>
      </c>
      <c r="M277">
        <f t="shared" si="22"/>
        <v>273</v>
      </c>
      <c r="N277">
        <f t="shared" si="23"/>
        <v>166</v>
      </c>
      <c r="O277">
        <f t="shared" si="24"/>
        <v>107</v>
      </c>
      <c r="P277">
        <f t="shared" si="20"/>
        <v>0</v>
      </c>
      <c r="Q277" t="s">
        <v>7</v>
      </c>
    </row>
    <row r="278" spans="1:17" x14ac:dyDescent="0.35">
      <c r="A278" t="s">
        <v>12</v>
      </c>
      <c r="B278">
        <v>17</v>
      </c>
      <c r="C278">
        <v>345</v>
      </c>
      <c r="D278">
        <v>283</v>
      </c>
      <c r="E278">
        <v>62</v>
      </c>
      <c r="F278">
        <v>7</v>
      </c>
      <c r="G278">
        <v>18</v>
      </c>
      <c r="H278">
        <v>344</v>
      </c>
      <c r="I278">
        <v>207</v>
      </c>
      <c r="J278">
        <v>137</v>
      </c>
      <c r="K278">
        <v>1</v>
      </c>
      <c r="L278">
        <f t="shared" si="21"/>
        <v>-1</v>
      </c>
      <c r="M278">
        <f t="shared" si="22"/>
        <v>1</v>
      </c>
      <c r="N278">
        <f t="shared" si="23"/>
        <v>76</v>
      </c>
      <c r="O278">
        <f t="shared" si="24"/>
        <v>-75</v>
      </c>
      <c r="P278">
        <f t="shared" si="20"/>
        <v>6</v>
      </c>
      <c r="Q278" t="s">
        <v>5</v>
      </c>
    </row>
    <row r="279" spans="1:17" x14ac:dyDescent="0.35">
      <c r="A279" t="s">
        <v>12</v>
      </c>
      <c r="B279">
        <v>21</v>
      </c>
      <c r="C279">
        <v>284</v>
      </c>
      <c r="D279">
        <v>265</v>
      </c>
      <c r="E279">
        <v>19</v>
      </c>
      <c r="F279">
        <v>0</v>
      </c>
      <c r="G279">
        <v>19</v>
      </c>
      <c r="H279">
        <v>366</v>
      </c>
      <c r="I279">
        <v>267</v>
      </c>
      <c r="J279">
        <v>99</v>
      </c>
      <c r="K279">
        <v>0</v>
      </c>
      <c r="L279">
        <f t="shared" si="21"/>
        <v>2</v>
      </c>
      <c r="M279">
        <f t="shared" si="22"/>
        <v>-82</v>
      </c>
      <c r="N279">
        <f t="shared" si="23"/>
        <v>-2</v>
      </c>
      <c r="O279">
        <f t="shared" si="24"/>
        <v>-80</v>
      </c>
      <c r="P279">
        <f t="shared" si="20"/>
        <v>0</v>
      </c>
      <c r="Q279" t="s">
        <v>5</v>
      </c>
    </row>
    <row r="280" spans="1:17" x14ac:dyDescent="0.35">
      <c r="A280" t="s">
        <v>11</v>
      </c>
      <c r="B280">
        <v>25</v>
      </c>
      <c r="C280">
        <v>366</v>
      </c>
      <c r="D280">
        <v>258</v>
      </c>
      <c r="E280">
        <v>108</v>
      </c>
      <c r="F280">
        <v>2</v>
      </c>
      <c r="G280">
        <v>16</v>
      </c>
      <c r="H280">
        <v>336</v>
      </c>
      <c r="I280">
        <v>174</v>
      </c>
      <c r="J280">
        <v>162</v>
      </c>
      <c r="K280">
        <v>1</v>
      </c>
      <c r="L280">
        <f t="shared" si="21"/>
        <v>9</v>
      </c>
      <c r="M280">
        <f t="shared" si="22"/>
        <v>30</v>
      </c>
      <c r="N280">
        <f t="shared" si="23"/>
        <v>84</v>
      </c>
      <c r="O280">
        <f t="shared" si="24"/>
        <v>-54</v>
      </c>
      <c r="P280">
        <f t="shared" si="20"/>
        <v>1</v>
      </c>
      <c r="Q280" t="s">
        <v>5</v>
      </c>
    </row>
    <row r="281" spans="1:17" x14ac:dyDescent="0.35">
      <c r="A281" t="s">
        <v>11</v>
      </c>
      <c r="B281">
        <v>22</v>
      </c>
      <c r="C281">
        <v>349</v>
      </c>
      <c r="D281">
        <v>183</v>
      </c>
      <c r="E281">
        <v>166</v>
      </c>
      <c r="F281">
        <v>1</v>
      </c>
      <c r="G281">
        <v>21</v>
      </c>
      <c r="H281">
        <v>343</v>
      </c>
      <c r="I281">
        <v>216</v>
      </c>
      <c r="J281">
        <v>127</v>
      </c>
      <c r="K281">
        <v>3</v>
      </c>
      <c r="L281">
        <f t="shared" si="21"/>
        <v>1</v>
      </c>
      <c r="M281">
        <f t="shared" si="22"/>
        <v>6</v>
      </c>
      <c r="N281">
        <f t="shared" si="23"/>
        <v>-33</v>
      </c>
      <c r="O281">
        <f t="shared" si="24"/>
        <v>39</v>
      </c>
      <c r="P281">
        <f t="shared" si="20"/>
        <v>-2</v>
      </c>
      <c r="Q281" t="s">
        <v>7</v>
      </c>
    </row>
    <row r="282" spans="1:17" x14ac:dyDescent="0.35">
      <c r="A282" t="s">
        <v>12</v>
      </c>
      <c r="B282">
        <v>20</v>
      </c>
      <c r="C282">
        <v>380</v>
      </c>
      <c r="D282">
        <v>265</v>
      </c>
      <c r="E282">
        <v>115</v>
      </c>
      <c r="F282">
        <v>1</v>
      </c>
      <c r="G282">
        <v>15</v>
      </c>
      <c r="H282">
        <v>244</v>
      </c>
      <c r="I282">
        <v>187</v>
      </c>
      <c r="J282">
        <v>57</v>
      </c>
      <c r="K282">
        <v>1</v>
      </c>
      <c r="L282">
        <f t="shared" si="21"/>
        <v>5</v>
      </c>
      <c r="M282">
        <f t="shared" si="22"/>
        <v>136</v>
      </c>
      <c r="N282">
        <f t="shared" si="23"/>
        <v>78</v>
      </c>
      <c r="O282">
        <f t="shared" si="24"/>
        <v>58</v>
      </c>
      <c r="P282">
        <f t="shared" si="20"/>
        <v>0</v>
      </c>
      <c r="Q282" t="s">
        <v>7</v>
      </c>
    </row>
    <row r="283" spans="1:17" x14ac:dyDescent="0.35">
      <c r="A283" t="s">
        <v>11</v>
      </c>
      <c r="B283">
        <v>20</v>
      </c>
      <c r="C283">
        <v>344</v>
      </c>
      <c r="D283">
        <v>254</v>
      </c>
      <c r="E283">
        <v>90</v>
      </c>
      <c r="F283">
        <v>3</v>
      </c>
      <c r="G283">
        <v>18</v>
      </c>
      <c r="H283">
        <v>270</v>
      </c>
      <c r="I283">
        <v>175</v>
      </c>
      <c r="J283">
        <v>95</v>
      </c>
      <c r="K283">
        <v>1</v>
      </c>
      <c r="L283">
        <f t="shared" si="21"/>
        <v>2</v>
      </c>
      <c r="M283">
        <f t="shared" si="22"/>
        <v>74</v>
      </c>
      <c r="N283">
        <f t="shared" si="23"/>
        <v>79</v>
      </c>
      <c r="O283">
        <f t="shared" si="24"/>
        <v>-5</v>
      </c>
      <c r="P283">
        <f t="shared" si="20"/>
        <v>2</v>
      </c>
      <c r="Q283" t="s">
        <v>7</v>
      </c>
    </row>
    <row r="284" spans="1:17" x14ac:dyDescent="0.35">
      <c r="A284" t="s">
        <v>12</v>
      </c>
      <c r="B284">
        <v>36</v>
      </c>
      <c r="C284">
        <v>518</v>
      </c>
      <c r="D284">
        <v>490</v>
      </c>
      <c r="E284">
        <v>28</v>
      </c>
      <c r="F284">
        <v>4</v>
      </c>
      <c r="G284">
        <v>27</v>
      </c>
      <c r="H284">
        <v>464</v>
      </c>
      <c r="I284">
        <v>376</v>
      </c>
      <c r="J284">
        <v>88</v>
      </c>
      <c r="K284">
        <v>1</v>
      </c>
      <c r="L284">
        <f t="shared" si="21"/>
        <v>9</v>
      </c>
      <c r="M284">
        <f t="shared" si="22"/>
        <v>54</v>
      </c>
      <c r="N284">
        <f t="shared" si="23"/>
        <v>114</v>
      </c>
      <c r="O284">
        <f t="shared" si="24"/>
        <v>-60</v>
      </c>
      <c r="P284">
        <f t="shared" si="20"/>
        <v>3</v>
      </c>
      <c r="Q284" t="s">
        <v>5</v>
      </c>
    </row>
    <row r="285" spans="1:17" x14ac:dyDescent="0.35">
      <c r="A285" t="s">
        <v>11</v>
      </c>
      <c r="B285">
        <v>24</v>
      </c>
      <c r="C285">
        <v>477</v>
      </c>
      <c r="D285">
        <v>395</v>
      </c>
      <c r="E285">
        <v>82</v>
      </c>
      <c r="F285">
        <v>2</v>
      </c>
      <c r="G285">
        <v>25</v>
      </c>
      <c r="H285">
        <v>429</v>
      </c>
      <c r="I285">
        <v>262</v>
      </c>
      <c r="J285">
        <v>167</v>
      </c>
      <c r="K285">
        <v>1</v>
      </c>
      <c r="L285">
        <f t="shared" si="21"/>
        <v>-1</v>
      </c>
      <c r="M285">
        <f t="shared" si="22"/>
        <v>48</v>
      </c>
      <c r="N285">
        <f t="shared" si="23"/>
        <v>133</v>
      </c>
      <c r="O285">
        <f t="shared" si="24"/>
        <v>-85</v>
      </c>
      <c r="P285">
        <f t="shared" si="20"/>
        <v>1</v>
      </c>
      <c r="Q285" t="s">
        <v>5</v>
      </c>
    </row>
    <row r="286" spans="1:17" x14ac:dyDescent="0.35">
      <c r="A286" t="s">
        <v>12</v>
      </c>
      <c r="B286">
        <v>10</v>
      </c>
      <c r="C286">
        <v>157</v>
      </c>
      <c r="D286">
        <v>48</v>
      </c>
      <c r="E286">
        <v>109</v>
      </c>
      <c r="F286">
        <v>1</v>
      </c>
      <c r="G286">
        <v>22</v>
      </c>
      <c r="H286">
        <v>331</v>
      </c>
      <c r="I286">
        <v>232</v>
      </c>
      <c r="J286">
        <v>99</v>
      </c>
      <c r="K286">
        <v>2</v>
      </c>
      <c r="L286">
        <f t="shared" si="21"/>
        <v>-12</v>
      </c>
      <c r="M286">
        <f t="shared" si="22"/>
        <v>-174</v>
      </c>
      <c r="N286">
        <f t="shared" si="23"/>
        <v>-184</v>
      </c>
      <c r="O286">
        <f t="shared" si="24"/>
        <v>10</v>
      </c>
      <c r="P286">
        <f t="shared" si="20"/>
        <v>-1</v>
      </c>
      <c r="Q286" t="s">
        <v>5</v>
      </c>
    </row>
    <row r="287" spans="1:17" x14ac:dyDescent="0.35">
      <c r="A287" t="s">
        <v>11</v>
      </c>
      <c r="B287">
        <v>23</v>
      </c>
      <c r="C287">
        <v>381</v>
      </c>
      <c r="D287">
        <v>291</v>
      </c>
      <c r="E287">
        <v>90</v>
      </c>
      <c r="F287">
        <v>0</v>
      </c>
      <c r="G287">
        <v>14</v>
      </c>
      <c r="H287">
        <v>224</v>
      </c>
      <c r="I287">
        <v>186</v>
      </c>
      <c r="J287">
        <v>38</v>
      </c>
      <c r="K287">
        <v>3</v>
      </c>
      <c r="L287">
        <f t="shared" si="21"/>
        <v>9</v>
      </c>
      <c r="M287">
        <f t="shared" si="22"/>
        <v>157</v>
      </c>
      <c r="N287">
        <f t="shared" si="23"/>
        <v>105</v>
      </c>
      <c r="O287">
        <f t="shared" si="24"/>
        <v>52</v>
      </c>
      <c r="P287">
        <f t="shared" si="20"/>
        <v>-3</v>
      </c>
      <c r="Q287" t="s">
        <v>7</v>
      </c>
    </row>
    <row r="288" spans="1:17" x14ac:dyDescent="0.35">
      <c r="A288" t="s">
        <v>12</v>
      </c>
      <c r="B288">
        <v>19</v>
      </c>
      <c r="C288">
        <v>470</v>
      </c>
      <c r="D288">
        <v>372</v>
      </c>
      <c r="E288">
        <v>98</v>
      </c>
      <c r="F288">
        <v>0</v>
      </c>
      <c r="G288">
        <v>24</v>
      </c>
      <c r="H288">
        <v>401</v>
      </c>
      <c r="I288">
        <v>297</v>
      </c>
      <c r="J288">
        <v>104</v>
      </c>
      <c r="K288">
        <v>0</v>
      </c>
      <c r="L288">
        <f t="shared" si="21"/>
        <v>-5</v>
      </c>
      <c r="M288">
        <f t="shared" si="22"/>
        <v>69</v>
      </c>
      <c r="N288">
        <f t="shared" si="23"/>
        <v>75</v>
      </c>
      <c r="O288">
        <f t="shared" si="24"/>
        <v>-6</v>
      </c>
      <c r="P288">
        <f t="shared" si="20"/>
        <v>0</v>
      </c>
      <c r="Q288" t="s">
        <v>7</v>
      </c>
    </row>
    <row r="289" spans="1:17" x14ac:dyDescent="0.35">
      <c r="A289" t="s">
        <v>11</v>
      </c>
      <c r="B289">
        <v>16</v>
      </c>
      <c r="C289">
        <v>306</v>
      </c>
      <c r="D289">
        <v>218</v>
      </c>
      <c r="E289">
        <v>88</v>
      </c>
      <c r="F289">
        <v>4</v>
      </c>
      <c r="G289">
        <v>15</v>
      </c>
      <c r="H289">
        <v>273</v>
      </c>
      <c r="I289">
        <v>231</v>
      </c>
      <c r="J289">
        <v>42</v>
      </c>
      <c r="K289">
        <v>2</v>
      </c>
      <c r="L289">
        <f t="shared" si="21"/>
        <v>1</v>
      </c>
      <c r="M289">
        <f t="shared" si="22"/>
        <v>33</v>
      </c>
      <c r="N289">
        <f t="shared" si="23"/>
        <v>-13</v>
      </c>
      <c r="O289">
        <f t="shared" si="24"/>
        <v>46</v>
      </c>
      <c r="P289">
        <f t="shared" si="20"/>
        <v>2</v>
      </c>
      <c r="Q289" t="s">
        <v>5</v>
      </c>
    </row>
    <row r="290" spans="1:17" x14ac:dyDescent="0.35">
      <c r="A290" t="s">
        <v>12</v>
      </c>
      <c r="B290">
        <v>13</v>
      </c>
      <c r="C290">
        <v>283</v>
      </c>
      <c r="D290">
        <v>173</v>
      </c>
      <c r="E290">
        <v>110</v>
      </c>
      <c r="F290">
        <v>2</v>
      </c>
      <c r="G290">
        <v>17</v>
      </c>
      <c r="H290">
        <v>267</v>
      </c>
      <c r="I290">
        <v>193</v>
      </c>
      <c r="J290">
        <v>74</v>
      </c>
      <c r="K290">
        <v>1</v>
      </c>
      <c r="L290">
        <f t="shared" si="21"/>
        <v>-4</v>
      </c>
      <c r="M290">
        <f t="shared" si="22"/>
        <v>16</v>
      </c>
      <c r="N290">
        <f t="shared" si="23"/>
        <v>-20</v>
      </c>
      <c r="O290">
        <f t="shared" si="24"/>
        <v>36</v>
      </c>
      <c r="P290">
        <f t="shared" si="20"/>
        <v>1</v>
      </c>
      <c r="Q290" t="s">
        <v>7</v>
      </c>
    </row>
    <row r="291" spans="1:17" x14ac:dyDescent="0.35">
      <c r="A291" t="s">
        <v>12</v>
      </c>
      <c r="B291">
        <v>14</v>
      </c>
      <c r="C291">
        <v>221</v>
      </c>
      <c r="D291">
        <v>199</v>
      </c>
      <c r="E291">
        <v>22</v>
      </c>
      <c r="F291">
        <v>2</v>
      </c>
      <c r="G291">
        <v>31</v>
      </c>
      <c r="H291">
        <v>480</v>
      </c>
      <c r="I291">
        <v>195</v>
      </c>
      <c r="J291">
        <v>285</v>
      </c>
      <c r="K291">
        <v>0</v>
      </c>
      <c r="L291">
        <f t="shared" si="21"/>
        <v>-17</v>
      </c>
      <c r="M291">
        <f t="shared" si="22"/>
        <v>-259</v>
      </c>
      <c r="N291">
        <f t="shared" si="23"/>
        <v>4</v>
      </c>
      <c r="O291">
        <f t="shared" si="24"/>
        <v>-263</v>
      </c>
      <c r="P291">
        <f t="shared" si="20"/>
        <v>2</v>
      </c>
      <c r="Q291" t="s">
        <v>5</v>
      </c>
    </row>
    <row r="292" spans="1:17" x14ac:dyDescent="0.35">
      <c r="A292" t="s">
        <v>11</v>
      </c>
      <c r="B292">
        <v>27</v>
      </c>
      <c r="C292">
        <v>549</v>
      </c>
      <c r="D292">
        <v>417</v>
      </c>
      <c r="E292">
        <v>132</v>
      </c>
      <c r="F292">
        <v>0</v>
      </c>
      <c r="G292">
        <v>13</v>
      </c>
      <c r="H292">
        <v>198</v>
      </c>
      <c r="I292">
        <v>124</v>
      </c>
      <c r="J292">
        <v>74</v>
      </c>
      <c r="K292">
        <v>1</v>
      </c>
      <c r="L292">
        <f t="shared" si="21"/>
        <v>14</v>
      </c>
      <c r="M292">
        <f t="shared" si="22"/>
        <v>351</v>
      </c>
      <c r="N292">
        <f t="shared" si="23"/>
        <v>293</v>
      </c>
      <c r="O292">
        <f t="shared" si="24"/>
        <v>58</v>
      </c>
      <c r="P292">
        <f t="shared" si="20"/>
        <v>-1</v>
      </c>
      <c r="Q292" t="s">
        <v>7</v>
      </c>
    </row>
    <row r="293" spans="1:17" x14ac:dyDescent="0.35">
      <c r="A293" t="s">
        <v>12</v>
      </c>
      <c r="B293">
        <v>26</v>
      </c>
      <c r="C293">
        <v>455</v>
      </c>
      <c r="D293">
        <v>293</v>
      </c>
      <c r="E293">
        <v>162</v>
      </c>
      <c r="F293">
        <v>2</v>
      </c>
      <c r="G293">
        <v>16</v>
      </c>
      <c r="H293">
        <v>308</v>
      </c>
      <c r="I293">
        <v>202</v>
      </c>
      <c r="J293">
        <v>106</v>
      </c>
      <c r="K293">
        <v>1</v>
      </c>
      <c r="L293">
        <f t="shared" si="21"/>
        <v>10</v>
      </c>
      <c r="M293">
        <f t="shared" si="22"/>
        <v>147</v>
      </c>
      <c r="N293">
        <f t="shared" si="23"/>
        <v>91</v>
      </c>
      <c r="O293">
        <f t="shared" si="24"/>
        <v>56</v>
      </c>
      <c r="P293">
        <f t="shared" si="20"/>
        <v>1</v>
      </c>
      <c r="Q293" t="s">
        <v>7</v>
      </c>
    </row>
    <row r="294" spans="1:17" x14ac:dyDescent="0.35">
      <c r="A294" t="s">
        <v>11</v>
      </c>
      <c r="B294">
        <v>23</v>
      </c>
      <c r="C294">
        <v>289</v>
      </c>
      <c r="D294">
        <v>267</v>
      </c>
      <c r="E294">
        <v>22</v>
      </c>
      <c r="F294">
        <v>1</v>
      </c>
      <c r="G294">
        <v>25</v>
      </c>
      <c r="H294">
        <v>475</v>
      </c>
      <c r="I294">
        <v>212</v>
      </c>
      <c r="J294">
        <v>263</v>
      </c>
      <c r="K294">
        <v>0</v>
      </c>
      <c r="L294">
        <f t="shared" si="21"/>
        <v>-2</v>
      </c>
      <c r="M294">
        <f t="shared" si="22"/>
        <v>-186</v>
      </c>
      <c r="N294">
        <f t="shared" si="23"/>
        <v>55</v>
      </c>
      <c r="O294">
        <f t="shared" si="24"/>
        <v>-241</v>
      </c>
      <c r="P294">
        <f t="shared" si="20"/>
        <v>1</v>
      </c>
      <c r="Q294" t="s">
        <v>5</v>
      </c>
    </row>
    <row r="295" spans="1:17" x14ac:dyDescent="0.35">
      <c r="A295" t="s">
        <v>11</v>
      </c>
      <c r="B295">
        <v>24</v>
      </c>
      <c r="C295">
        <v>395</v>
      </c>
      <c r="D295">
        <v>323</v>
      </c>
      <c r="E295">
        <v>72</v>
      </c>
      <c r="F295">
        <v>1</v>
      </c>
      <c r="G295">
        <v>19</v>
      </c>
      <c r="H295">
        <v>334</v>
      </c>
      <c r="I295">
        <v>215</v>
      </c>
      <c r="J295">
        <v>119</v>
      </c>
      <c r="K295">
        <v>2</v>
      </c>
      <c r="L295">
        <f t="shared" si="21"/>
        <v>5</v>
      </c>
      <c r="M295">
        <f t="shared" si="22"/>
        <v>61</v>
      </c>
      <c r="N295">
        <f t="shared" si="23"/>
        <v>108</v>
      </c>
      <c r="O295">
        <f t="shared" si="24"/>
        <v>-47</v>
      </c>
      <c r="P295">
        <f t="shared" si="20"/>
        <v>-1</v>
      </c>
      <c r="Q295" t="s">
        <v>5</v>
      </c>
    </row>
    <row r="296" spans="1:17" x14ac:dyDescent="0.35">
      <c r="A296" t="s">
        <v>12</v>
      </c>
      <c r="B296">
        <v>25</v>
      </c>
      <c r="C296">
        <v>424</v>
      </c>
      <c r="D296">
        <v>311</v>
      </c>
      <c r="E296">
        <v>113</v>
      </c>
      <c r="F296">
        <v>0</v>
      </c>
      <c r="G296">
        <v>22</v>
      </c>
      <c r="H296">
        <v>393</v>
      </c>
      <c r="I296">
        <v>322</v>
      </c>
      <c r="J296">
        <v>71</v>
      </c>
      <c r="K296">
        <v>5</v>
      </c>
      <c r="L296">
        <f t="shared" si="21"/>
        <v>3</v>
      </c>
      <c r="M296">
        <f t="shared" si="22"/>
        <v>31</v>
      </c>
      <c r="N296">
        <f t="shared" si="23"/>
        <v>-11</v>
      </c>
      <c r="O296">
        <f t="shared" si="24"/>
        <v>42</v>
      </c>
      <c r="P296">
        <f t="shared" si="20"/>
        <v>-5</v>
      </c>
      <c r="Q296" t="s">
        <v>7</v>
      </c>
    </row>
    <row r="297" spans="1:17" x14ac:dyDescent="0.35">
      <c r="A297" t="s">
        <v>12</v>
      </c>
      <c r="B297">
        <v>12</v>
      </c>
      <c r="C297">
        <v>200</v>
      </c>
      <c r="D297">
        <v>179</v>
      </c>
      <c r="E297">
        <v>21</v>
      </c>
      <c r="F297">
        <v>3</v>
      </c>
      <c r="G297">
        <v>31</v>
      </c>
      <c r="H297">
        <v>643</v>
      </c>
      <c r="I297">
        <v>378</v>
      </c>
      <c r="J297">
        <v>265</v>
      </c>
      <c r="K297">
        <v>0</v>
      </c>
      <c r="L297">
        <f t="shared" si="21"/>
        <v>-19</v>
      </c>
      <c r="M297">
        <f t="shared" si="22"/>
        <v>-443</v>
      </c>
      <c r="N297">
        <f t="shared" si="23"/>
        <v>-199</v>
      </c>
      <c r="O297">
        <f t="shared" si="24"/>
        <v>-244</v>
      </c>
      <c r="P297">
        <f t="shared" si="20"/>
        <v>3</v>
      </c>
      <c r="Q297" t="s">
        <v>5</v>
      </c>
    </row>
    <row r="298" spans="1:17" x14ac:dyDescent="0.35">
      <c r="A298" t="s">
        <v>12</v>
      </c>
      <c r="B298">
        <v>11</v>
      </c>
      <c r="C298">
        <v>184</v>
      </c>
      <c r="D298">
        <v>142</v>
      </c>
      <c r="E298">
        <v>42</v>
      </c>
      <c r="F298">
        <v>4</v>
      </c>
      <c r="G298">
        <v>27</v>
      </c>
      <c r="H298">
        <v>379</v>
      </c>
      <c r="I298">
        <v>255</v>
      </c>
      <c r="J298">
        <v>124</v>
      </c>
      <c r="K298">
        <v>1</v>
      </c>
      <c r="L298">
        <f t="shared" si="21"/>
        <v>-16</v>
      </c>
      <c r="M298">
        <f t="shared" si="22"/>
        <v>-195</v>
      </c>
      <c r="N298">
        <f t="shared" si="23"/>
        <v>-113</v>
      </c>
      <c r="O298">
        <f t="shared" si="24"/>
        <v>-82</v>
      </c>
      <c r="P298">
        <f t="shared" si="20"/>
        <v>3</v>
      </c>
      <c r="Q298" t="s">
        <v>5</v>
      </c>
    </row>
    <row r="299" spans="1:17" x14ac:dyDescent="0.35">
      <c r="A299" t="s">
        <v>11</v>
      </c>
      <c r="B299">
        <v>17</v>
      </c>
      <c r="C299">
        <v>283</v>
      </c>
      <c r="D299">
        <v>211</v>
      </c>
      <c r="E299">
        <v>72</v>
      </c>
      <c r="F299">
        <v>1</v>
      </c>
      <c r="G299">
        <v>28</v>
      </c>
      <c r="H299">
        <v>476</v>
      </c>
      <c r="I299">
        <v>241</v>
      </c>
      <c r="J299">
        <v>235</v>
      </c>
      <c r="K299">
        <v>1</v>
      </c>
      <c r="L299">
        <f t="shared" si="21"/>
        <v>-11</v>
      </c>
      <c r="M299">
        <f t="shared" si="22"/>
        <v>-193</v>
      </c>
      <c r="N299">
        <f t="shared" si="23"/>
        <v>-30</v>
      </c>
      <c r="O299">
        <f t="shared" si="24"/>
        <v>-163</v>
      </c>
      <c r="P299">
        <f t="shared" si="20"/>
        <v>0</v>
      </c>
      <c r="Q299" t="s">
        <v>5</v>
      </c>
    </row>
    <row r="300" spans="1:17" x14ac:dyDescent="0.35">
      <c r="A300" t="s">
        <v>12</v>
      </c>
      <c r="B300">
        <v>13</v>
      </c>
      <c r="C300">
        <v>233</v>
      </c>
      <c r="D300">
        <v>161</v>
      </c>
      <c r="E300">
        <v>72</v>
      </c>
      <c r="F300">
        <v>1</v>
      </c>
      <c r="G300">
        <v>24</v>
      </c>
      <c r="H300">
        <v>390</v>
      </c>
      <c r="I300">
        <v>311</v>
      </c>
      <c r="J300">
        <v>79</v>
      </c>
      <c r="K300">
        <v>0</v>
      </c>
      <c r="L300">
        <f t="shared" si="21"/>
        <v>-11</v>
      </c>
      <c r="M300">
        <f t="shared" si="22"/>
        <v>-157</v>
      </c>
      <c r="N300">
        <f t="shared" si="23"/>
        <v>-150</v>
      </c>
      <c r="O300">
        <f t="shared" si="24"/>
        <v>-7</v>
      </c>
      <c r="P300">
        <f t="shared" si="20"/>
        <v>1</v>
      </c>
      <c r="Q300" t="s">
        <v>5</v>
      </c>
    </row>
    <row r="301" spans="1:17" x14ac:dyDescent="0.35">
      <c r="A301" t="s">
        <v>12</v>
      </c>
      <c r="B301">
        <v>21</v>
      </c>
      <c r="C301">
        <v>271</v>
      </c>
      <c r="D301">
        <v>187</v>
      </c>
      <c r="E301">
        <v>84</v>
      </c>
      <c r="F301">
        <v>2</v>
      </c>
      <c r="G301">
        <v>13</v>
      </c>
      <c r="H301">
        <v>311</v>
      </c>
      <c r="I301">
        <v>166</v>
      </c>
      <c r="J301">
        <v>145</v>
      </c>
      <c r="K301">
        <v>0</v>
      </c>
      <c r="L301">
        <f t="shared" si="21"/>
        <v>8</v>
      </c>
      <c r="M301">
        <f t="shared" si="22"/>
        <v>-40</v>
      </c>
      <c r="N301">
        <f t="shared" si="23"/>
        <v>21</v>
      </c>
      <c r="O301">
        <f t="shared" si="24"/>
        <v>-61</v>
      </c>
      <c r="P301">
        <f t="shared" si="20"/>
        <v>2</v>
      </c>
      <c r="Q301" t="s">
        <v>5</v>
      </c>
    </row>
    <row r="302" spans="1:17" x14ac:dyDescent="0.35">
      <c r="A302" t="s">
        <v>11</v>
      </c>
      <c r="B302">
        <v>24</v>
      </c>
      <c r="C302">
        <v>381</v>
      </c>
      <c r="D302">
        <v>272</v>
      </c>
      <c r="E302">
        <v>109</v>
      </c>
      <c r="F302">
        <v>2</v>
      </c>
      <c r="G302">
        <v>17</v>
      </c>
      <c r="H302">
        <v>305</v>
      </c>
      <c r="I302">
        <v>188</v>
      </c>
      <c r="J302">
        <v>117</v>
      </c>
      <c r="K302">
        <v>0</v>
      </c>
      <c r="L302">
        <f t="shared" si="21"/>
        <v>7</v>
      </c>
      <c r="M302">
        <f t="shared" si="22"/>
        <v>76</v>
      </c>
      <c r="N302">
        <f t="shared" si="23"/>
        <v>84</v>
      </c>
      <c r="O302">
        <f t="shared" si="24"/>
        <v>-8</v>
      </c>
      <c r="P302">
        <f t="shared" si="20"/>
        <v>2</v>
      </c>
      <c r="Q302" t="s">
        <v>5</v>
      </c>
    </row>
    <row r="303" spans="1:17" x14ac:dyDescent="0.35">
      <c r="A303" t="s">
        <v>11</v>
      </c>
      <c r="B303">
        <v>16</v>
      </c>
      <c r="C303">
        <v>230</v>
      </c>
      <c r="D303">
        <v>170</v>
      </c>
      <c r="E303">
        <v>60</v>
      </c>
      <c r="F303">
        <v>4</v>
      </c>
      <c r="G303">
        <v>21</v>
      </c>
      <c r="H303">
        <v>394</v>
      </c>
      <c r="I303">
        <v>236</v>
      </c>
      <c r="J303">
        <v>158</v>
      </c>
      <c r="K303">
        <v>1</v>
      </c>
      <c r="L303">
        <f t="shared" si="21"/>
        <v>-5</v>
      </c>
      <c r="M303">
        <f t="shared" si="22"/>
        <v>-164</v>
      </c>
      <c r="N303">
        <f t="shared" si="23"/>
        <v>-66</v>
      </c>
      <c r="O303">
        <f t="shared" si="24"/>
        <v>-98</v>
      </c>
      <c r="P303">
        <f t="shared" si="20"/>
        <v>3</v>
      </c>
      <c r="Q303" t="s">
        <v>5</v>
      </c>
    </row>
    <row r="304" spans="1:17" x14ac:dyDescent="0.35">
      <c r="A304" t="s">
        <v>12</v>
      </c>
      <c r="B304">
        <v>22</v>
      </c>
      <c r="C304">
        <v>316</v>
      </c>
      <c r="D304">
        <v>266</v>
      </c>
      <c r="E304">
        <v>50</v>
      </c>
      <c r="F304">
        <v>0</v>
      </c>
      <c r="G304">
        <v>17</v>
      </c>
      <c r="H304">
        <v>321</v>
      </c>
      <c r="I304">
        <v>238</v>
      </c>
      <c r="J304">
        <v>83</v>
      </c>
      <c r="K304">
        <v>1</v>
      </c>
      <c r="L304">
        <f t="shared" si="21"/>
        <v>5</v>
      </c>
      <c r="M304">
        <f t="shared" si="22"/>
        <v>-5</v>
      </c>
      <c r="N304">
        <f t="shared" si="23"/>
        <v>28</v>
      </c>
      <c r="O304">
        <f t="shared" si="24"/>
        <v>-33</v>
      </c>
      <c r="P304">
        <f t="shared" si="20"/>
        <v>-1</v>
      </c>
      <c r="Q304" t="s">
        <v>7</v>
      </c>
    </row>
    <row r="305" spans="1:17" x14ac:dyDescent="0.35">
      <c r="A305" t="s">
        <v>11</v>
      </c>
      <c r="B305">
        <v>13</v>
      </c>
      <c r="C305">
        <v>229</v>
      </c>
      <c r="D305">
        <v>159</v>
      </c>
      <c r="E305">
        <v>70</v>
      </c>
      <c r="F305">
        <v>2</v>
      </c>
      <c r="G305">
        <v>19</v>
      </c>
      <c r="H305">
        <v>300</v>
      </c>
      <c r="I305">
        <v>191</v>
      </c>
      <c r="J305">
        <v>109</v>
      </c>
      <c r="K305">
        <v>3</v>
      </c>
      <c r="L305">
        <f t="shared" si="21"/>
        <v>-6</v>
      </c>
      <c r="M305">
        <f t="shared" si="22"/>
        <v>-71</v>
      </c>
      <c r="N305">
        <f t="shared" si="23"/>
        <v>-32</v>
      </c>
      <c r="O305">
        <f t="shared" si="24"/>
        <v>-39</v>
      </c>
      <c r="P305">
        <f t="shared" si="20"/>
        <v>-1</v>
      </c>
      <c r="Q305" t="s">
        <v>7</v>
      </c>
    </row>
    <row r="306" spans="1:17" x14ac:dyDescent="0.35">
      <c r="A306" t="s">
        <v>12</v>
      </c>
      <c r="B306">
        <v>19</v>
      </c>
      <c r="C306">
        <v>303</v>
      </c>
      <c r="D306">
        <v>280</v>
      </c>
      <c r="E306">
        <v>23</v>
      </c>
      <c r="F306">
        <v>1</v>
      </c>
      <c r="G306">
        <v>22</v>
      </c>
      <c r="H306">
        <v>424</v>
      </c>
      <c r="I306">
        <v>256</v>
      </c>
      <c r="J306">
        <v>168</v>
      </c>
      <c r="K306">
        <v>0</v>
      </c>
      <c r="L306">
        <f t="shared" si="21"/>
        <v>-3</v>
      </c>
      <c r="M306">
        <f t="shared" si="22"/>
        <v>-121</v>
      </c>
      <c r="N306">
        <f t="shared" si="23"/>
        <v>24</v>
      </c>
      <c r="O306">
        <f t="shared" si="24"/>
        <v>-145</v>
      </c>
      <c r="P306">
        <f t="shared" si="20"/>
        <v>1</v>
      </c>
      <c r="Q306" t="s">
        <v>5</v>
      </c>
    </row>
    <row r="307" spans="1:17" x14ac:dyDescent="0.35">
      <c r="A307" t="s">
        <v>11</v>
      </c>
      <c r="B307">
        <v>22</v>
      </c>
      <c r="C307">
        <v>284</v>
      </c>
      <c r="D307">
        <v>192</v>
      </c>
      <c r="E307">
        <v>92</v>
      </c>
      <c r="F307">
        <v>2</v>
      </c>
      <c r="G307">
        <v>30</v>
      </c>
      <c r="H307">
        <v>467</v>
      </c>
      <c r="I307">
        <v>320</v>
      </c>
      <c r="J307">
        <v>147</v>
      </c>
      <c r="K307">
        <v>1</v>
      </c>
      <c r="L307">
        <f t="shared" si="21"/>
        <v>-8</v>
      </c>
      <c r="M307">
        <f t="shared" si="22"/>
        <v>-183</v>
      </c>
      <c r="N307">
        <f t="shared" si="23"/>
        <v>-128</v>
      </c>
      <c r="O307">
        <f t="shared" si="24"/>
        <v>-55</v>
      </c>
      <c r="P307">
        <f t="shared" si="20"/>
        <v>1</v>
      </c>
      <c r="Q307" t="s">
        <v>5</v>
      </c>
    </row>
    <row r="308" spans="1:17" x14ac:dyDescent="0.35">
      <c r="A308" t="s">
        <v>12</v>
      </c>
      <c r="B308">
        <v>26</v>
      </c>
      <c r="C308">
        <v>409</v>
      </c>
      <c r="D308">
        <v>351</v>
      </c>
      <c r="E308">
        <v>58</v>
      </c>
      <c r="F308">
        <v>1</v>
      </c>
      <c r="G308">
        <v>23</v>
      </c>
      <c r="H308">
        <v>386</v>
      </c>
      <c r="I308">
        <v>294</v>
      </c>
      <c r="J308">
        <v>92</v>
      </c>
      <c r="K308">
        <v>1</v>
      </c>
      <c r="L308">
        <f t="shared" si="21"/>
        <v>3</v>
      </c>
      <c r="M308">
        <f t="shared" si="22"/>
        <v>23</v>
      </c>
      <c r="N308">
        <f t="shared" si="23"/>
        <v>57</v>
      </c>
      <c r="O308">
        <f t="shared" si="24"/>
        <v>-34</v>
      </c>
      <c r="P308">
        <f t="shared" si="20"/>
        <v>0</v>
      </c>
      <c r="Q308" t="s">
        <v>7</v>
      </c>
    </row>
    <row r="309" spans="1:17" x14ac:dyDescent="0.35">
      <c r="A309" t="s">
        <v>11</v>
      </c>
      <c r="B309">
        <v>22</v>
      </c>
      <c r="C309">
        <v>362</v>
      </c>
      <c r="D309">
        <v>240</v>
      </c>
      <c r="E309">
        <v>122</v>
      </c>
      <c r="F309">
        <v>1</v>
      </c>
      <c r="G309">
        <v>22</v>
      </c>
      <c r="H309">
        <v>374</v>
      </c>
      <c r="I309">
        <v>262</v>
      </c>
      <c r="J309">
        <v>112</v>
      </c>
      <c r="K309">
        <v>1</v>
      </c>
      <c r="L309">
        <f t="shared" si="21"/>
        <v>0</v>
      </c>
      <c r="M309">
        <f t="shared" si="22"/>
        <v>-12</v>
      </c>
      <c r="N309">
        <f t="shared" si="23"/>
        <v>-22</v>
      </c>
      <c r="O309">
        <f t="shared" si="24"/>
        <v>10</v>
      </c>
      <c r="P309">
        <f t="shared" si="20"/>
        <v>0</v>
      </c>
      <c r="Q309" t="s">
        <v>5</v>
      </c>
    </row>
    <row r="310" spans="1:17" x14ac:dyDescent="0.35">
      <c r="A310" t="s">
        <v>11</v>
      </c>
      <c r="B310">
        <v>22</v>
      </c>
      <c r="C310">
        <v>384</v>
      </c>
      <c r="D310">
        <v>262</v>
      </c>
      <c r="E310">
        <v>122</v>
      </c>
      <c r="F310">
        <v>1</v>
      </c>
      <c r="G310">
        <v>24</v>
      </c>
      <c r="H310">
        <v>412</v>
      </c>
      <c r="I310">
        <v>274</v>
      </c>
      <c r="J310">
        <v>138</v>
      </c>
      <c r="K310">
        <v>3</v>
      </c>
      <c r="L310">
        <f t="shared" si="21"/>
        <v>-2</v>
      </c>
      <c r="M310">
        <f t="shared" si="22"/>
        <v>-28</v>
      </c>
      <c r="N310">
        <f t="shared" si="23"/>
        <v>-12</v>
      </c>
      <c r="O310">
        <f t="shared" si="24"/>
        <v>-16</v>
      </c>
      <c r="P310">
        <f t="shared" si="20"/>
        <v>-2</v>
      </c>
      <c r="Q310" t="s">
        <v>5</v>
      </c>
    </row>
    <row r="311" spans="1:17" x14ac:dyDescent="0.35">
      <c r="A311" t="s">
        <v>12</v>
      </c>
      <c r="B311">
        <v>29</v>
      </c>
      <c r="C311">
        <v>502</v>
      </c>
      <c r="D311">
        <v>406</v>
      </c>
      <c r="E311">
        <v>96</v>
      </c>
      <c r="F311">
        <v>1</v>
      </c>
      <c r="G311">
        <v>25</v>
      </c>
      <c r="H311">
        <v>430</v>
      </c>
      <c r="I311">
        <v>371</v>
      </c>
      <c r="J311">
        <v>59</v>
      </c>
      <c r="K311">
        <v>1</v>
      </c>
      <c r="L311">
        <f t="shared" si="21"/>
        <v>4</v>
      </c>
      <c r="M311">
        <f t="shared" si="22"/>
        <v>72</v>
      </c>
      <c r="N311">
        <f t="shared" si="23"/>
        <v>35</v>
      </c>
      <c r="O311">
        <f t="shared" si="24"/>
        <v>37</v>
      </c>
      <c r="P311">
        <f t="shared" si="20"/>
        <v>0</v>
      </c>
      <c r="Q311" t="s">
        <v>7</v>
      </c>
    </row>
    <row r="312" spans="1:17" x14ac:dyDescent="0.35">
      <c r="A312" t="s">
        <v>11</v>
      </c>
      <c r="B312">
        <v>26</v>
      </c>
      <c r="C312">
        <v>389</v>
      </c>
      <c r="D312">
        <v>326</v>
      </c>
      <c r="E312">
        <v>63</v>
      </c>
      <c r="F312">
        <v>0</v>
      </c>
      <c r="G312">
        <v>18</v>
      </c>
      <c r="H312">
        <v>352</v>
      </c>
      <c r="I312">
        <v>217</v>
      </c>
      <c r="J312">
        <v>135</v>
      </c>
      <c r="K312">
        <v>2</v>
      </c>
      <c r="L312">
        <f t="shared" si="21"/>
        <v>8</v>
      </c>
      <c r="M312">
        <f t="shared" si="22"/>
        <v>37</v>
      </c>
      <c r="N312">
        <f t="shared" si="23"/>
        <v>109</v>
      </c>
      <c r="O312">
        <f t="shared" si="24"/>
        <v>-72</v>
      </c>
      <c r="P312">
        <f t="shared" si="20"/>
        <v>-2</v>
      </c>
      <c r="Q312" t="s">
        <v>7</v>
      </c>
    </row>
    <row r="313" spans="1:17" x14ac:dyDescent="0.35">
      <c r="A313" t="s">
        <v>12</v>
      </c>
      <c r="B313">
        <v>18</v>
      </c>
      <c r="C313">
        <v>269</v>
      </c>
      <c r="D313">
        <v>97</v>
      </c>
      <c r="E313">
        <v>172</v>
      </c>
      <c r="F313">
        <v>0</v>
      </c>
      <c r="G313">
        <v>27</v>
      </c>
      <c r="H313">
        <v>345</v>
      </c>
      <c r="I313">
        <v>272</v>
      </c>
      <c r="J313">
        <v>73</v>
      </c>
      <c r="K313">
        <v>3</v>
      </c>
      <c r="L313">
        <f t="shared" si="21"/>
        <v>-9</v>
      </c>
      <c r="M313">
        <f t="shared" si="22"/>
        <v>-76</v>
      </c>
      <c r="N313">
        <f t="shared" si="23"/>
        <v>-175</v>
      </c>
      <c r="O313">
        <f t="shared" si="24"/>
        <v>99</v>
      </c>
      <c r="P313">
        <f t="shared" si="20"/>
        <v>-3</v>
      </c>
      <c r="Q313" t="s">
        <v>7</v>
      </c>
    </row>
    <row r="314" spans="1:17" x14ac:dyDescent="0.35">
      <c r="A314" t="s">
        <v>11</v>
      </c>
      <c r="B314">
        <v>15</v>
      </c>
      <c r="C314">
        <v>421</v>
      </c>
      <c r="D314">
        <v>223</v>
      </c>
      <c r="E314">
        <v>198</v>
      </c>
      <c r="F314">
        <v>4</v>
      </c>
      <c r="G314">
        <v>20</v>
      </c>
      <c r="H314">
        <v>335</v>
      </c>
      <c r="I314">
        <v>191</v>
      </c>
      <c r="J314">
        <v>144</v>
      </c>
      <c r="K314">
        <v>2</v>
      </c>
      <c r="L314">
        <f t="shared" si="21"/>
        <v>-5</v>
      </c>
      <c r="M314">
        <f t="shared" si="22"/>
        <v>86</v>
      </c>
      <c r="N314">
        <f t="shared" si="23"/>
        <v>32</v>
      </c>
      <c r="O314">
        <f t="shared" si="24"/>
        <v>54</v>
      </c>
      <c r="P314">
        <f t="shared" si="20"/>
        <v>2</v>
      </c>
      <c r="Q314" t="s">
        <v>5</v>
      </c>
    </row>
    <row r="315" spans="1:17" x14ac:dyDescent="0.35">
      <c r="A315" t="s">
        <v>12</v>
      </c>
      <c r="B315">
        <v>23</v>
      </c>
      <c r="C315">
        <v>385</v>
      </c>
      <c r="D315">
        <v>174</v>
      </c>
      <c r="E315">
        <v>211</v>
      </c>
      <c r="F315">
        <v>0</v>
      </c>
      <c r="G315">
        <v>17</v>
      </c>
      <c r="H315">
        <v>302</v>
      </c>
      <c r="I315">
        <v>214</v>
      </c>
      <c r="J315">
        <v>88</v>
      </c>
      <c r="K315">
        <v>1</v>
      </c>
      <c r="L315">
        <f t="shared" si="21"/>
        <v>6</v>
      </c>
      <c r="M315">
        <f t="shared" si="22"/>
        <v>83</v>
      </c>
      <c r="N315">
        <f t="shared" si="23"/>
        <v>-40</v>
      </c>
      <c r="O315">
        <f t="shared" si="24"/>
        <v>123</v>
      </c>
      <c r="P315">
        <f t="shared" si="20"/>
        <v>-1</v>
      </c>
      <c r="Q315" t="s">
        <v>7</v>
      </c>
    </row>
    <row r="316" spans="1:17" x14ac:dyDescent="0.35">
      <c r="A316" t="s">
        <v>11</v>
      </c>
      <c r="B316">
        <v>15</v>
      </c>
      <c r="C316">
        <v>222</v>
      </c>
      <c r="D316">
        <v>182</v>
      </c>
      <c r="E316">
        <v>40</v>
      </c>
      <c r="F316">
        <v>2</v>
      </c>
      <c r="G316">
        <v>17</v>
      </c>
      <c r="H316">
        <v>269</v>
      </c>
      <c r="I316">
        <v>197</v>
      </c>
      <c r="J316">
        <v>72</v>
      </c>
      <c r="K316">
        <v>0</v>
      </c>
      <c r="L316">
        <f t="shared" si="21"/>
        <v>-2</v>
      </c>
      <c r="M316">
        <f t="shared" si="22"/>
        <v>-47</v>
      </c>
      <c r="N316">
        <f t="shared" si="23"/>
        <v>-15</v>
      </c>
      <c r="O316">
        <f t="shared" si="24"/>
        <v>-32</v>
      </c>
      <c r="P316">
        <f t="shared" si="20"/>
        <v>2</v>
      </c>
      <c r="Q316" t="s">
        <v>5</v>
      </c>
    </row>
    <row r="317" spans="1:17" x14ac:dyDescent="0.35">
      <c r="A317" t="s">
        <v>11</v>
      </c>
      <c r="B317">
        <v>22</v>
      </c>
      <c r="C317">
        <v>490</v>
      </c>
      <c r="D317">
        <v>279</v>
      </c>
      <c r="E317">
        <v>211</v>
      </c>
      <c r="F317">
        <v>1</v>
      </c>
      <c r="G317">
        <v>18</v>
      </c>
      <c r="H317">
        <v>211</v>
      </c>
      <c r="I317">
        <v>147</v>
      </c>
      <c r="J317">
        <v>64</v>
      </c>
      <c r="K317">
        <v>1</v>
      </c>
      <c r="L317">
        <f t="shared" si="21"/>
        <v>4</v>
      </c>
      <c r="M317">
        <f t="shared" si="22"/>
        <v>279</v>
      </c>
      <c r="N317">
        <f t="shared" si="23"/>
        <v>132</v>
      </c>
      <c r="O317">
        <f t="shared" si="24"/>
        <v>147</v>
      </c>
      <c r="P317">
        <f t="shared" si="20"/>
        <v>0</v>
      </c>
      <c r="Q317" t="s">
        <v>7</v>
      </c>
    </row>
    <row r="318" spans="1:17" x14ac:dyDescent="0.35">
      <c r="A318" t="s">
        <v>12</v>
      </c>
      <c r="B318">
        <v>26</v>
      </c>
      <c r="C318">
        <v>447</v>
      </c>
      <c r="D318">
        <v>325</v>
      </c>
      <c r="E318">
        <v>122</v>
      </c>
      <c r="F318">
        <v>2</v>
      </c>
      <c r="G318">
        <v>19</v>
      </c>
      <c r="H318">
        <v>400</v>
      </c>
      <c r="I318">
        <v>292</v>
      </c>
      <c r="J318">
        <v>108</v>
      </c>
      <c r="K318">
        <v>3</v>
      </c>
      <c r="L318">
        <f t="shared" si="21"/>
        <v>7</v>
      </c>
      <c r="M318">
        <f t="shared" si="22"/>
        <v>47</v>
      </c>
      <c r="N318">
        <f t="shared" si="23"/>
        <v>33</v>
      </c>
      <c r="O318">
        <f t="shared" si="24"/>
        <v>14</v>
      </c>
      <c r="P318">
        <f t="shared" si="20"/>
        <v>-1</v>
      </c>
      <c r="Q318" t="s">
        <v>7</v>
      </c>
    </row>
    <row r="319" spans="1:17" x14ac:dyDescent="0.35">
      <c r="A319" t="s">
        <v>11</v>
      </c>
      <c r="B319">
        <v>32</v>
      </c>
      <c r="C319">
        <v>504</v>
      </c>
      <c r="D319">
        <v>338</v>
      </c>
      <c r="E319">
        <v>166</v>
      </c>
      <c r="F319">
        <v>0</v>
      </c>
      <c r="G319">
        <v>26</v>
      </c>
      <c r="H319">
        <v>433</v>
      </c>
      <c r="I319">
        <v>352</v>
      </c>
      <c r="J319">
        <v>81</v>
      </c>
      <c r="K319">
        <v>1</v>
      </c>
      <c r="L319">
        <f t="shared" si="21"/>
        <v>6</v>
      </c>
      <c r="M319">
        <f t="shared" si="22"/>
        <v>71</v>
      </c>
      <c r="N319">
        <f t="shared" si="23"/>
        <v>-14</v>
      </c>
      <c r="O319">
        <f t="shared" si="24"/>
        <v>85</v>
      </c>
      <c r="P319">
        <f t="shared" si="20"/>
        <v>-1</v>
      </c>
      <c r="Q319" t="s">
        <v>7</v>
      </c>
    </row>
    <row r="320" spans="1:17" x14ac:dyDescent="0.35">
      <c r="A320" t="s">
        <v>12</v>
      </c>
      <c r="B320">
        <v>22</v>
      </c>
      <c r="C320">
        <v>434</v>
      </c>
      <c r="D320">
        <v>273</v>
      </c>
      <c r="E320">
        <v>161</v>
      </c>
      <c r="F320">
        <v>1</v>
      </c>
      <c r="G320">
        <v>14</v>
      </c>
      <c r="H320">
        <v>216</v>
      </c>
      <c r="I320">
        <v>131</v>
      </c>
      <c r="J320">
        <v>85</v>
      </c>
      <c r="K320">
        <v>2</v>
      </c>
      <c r="L320">
        <f t="shared" si="21"/>
        <v>8</v>
      </c>
      <c r="M320">
        <f t="shared" si="22"/>
        <v>218</v>
      </c>
      <c r="N320">
        <f t="shared" si="23"/>
        <v>142</v>
      </c>
      <c r="O320">
        <f t="shared" si="24"/>
        <v>76</v>
      </c>
      <c r="P320">
        <f t="shared" si="20"/>
        <v>-1</v>
      </c>
      <c r="Q320" t="s">
        <v>7</v>
      </c>
    </row>
    <row r="321" spans="1:17" x14ac:dyDescent="0.35">
      <c r="A321" t="s">
        <v>11</v>
      </c>
      <c r="B321">
        <v>17</v>
      </c>
      <c r="C321">
        <v>308</v>
      </c>
      <c r="D321">
        <v>212</v>
      </c>
      <c r="E321">
        <v>96</v>
      </c>
      <c r="F321">
        <v>0</v>
      </c>
      <c r="G321">
        <v>17</v>
      </c>
      <c r="H321">
        <v>377</v>
      </c>
      <c r="I321">
        <v>230</v>
      </c>
      <c r="J321">
        <v>147</v>
      </c>
      <c r="K321">
        <v>1</v>
      </c>
      <c r="L321">
        <f t="shared" si="21"/>
        <v>0</v>
      </c>
      <c r="M321">
        <f t="shared" si="22"/>
        <v>-69</v>
      </c>
      <c r="N321">
        <f t="shared" si="23"/>
        <v>-18</v>
      </c>
      <c r="O321">
        <f t="shared" si="24"/>
        <v>-51</v>
      </c>
      <c r="P321">
        <f t="shared" si="20"/>
        <v>-1</v>
      </c>
      <c r="Q321" t="s">
        <v>5</v>
      </c>
    </row>
    <row r="322" spans="1:17" x14ac:dyDescent="0.35">
      <c r="A322" t="s">
        <v>11</v>
      </c>
      <c r="B322">
        <v>27</v>
      </c>
      <c r="C322">
        <v>364</v>
      </c>
      <c r="D322">
        <v>211</v>
      </c>
      <c r="E322">
        <v>153</v>
      </c>
      <c r="F322">
        <v>0</v>
      </c>
      <c r="G322">
        <v>24</v>
      </c>
      <c r="H322">
        <v>443</v>
      </c>
      <c r="I322">
        <v>393</v>
      </c>
      <c r="J322">
        <v>50</v>
      </c>
      <c r="K322">
        <v>1</v>
      </c>
      <c r="L322">
        <f t="shared" si="21"/>
        <v>3</v>
      </c>
      <c r="M322">
        <f t="shared" si="22"/>
        <v>-79</v>
      </c>
      <c r="N322">
        <f t="shared" si="23"/>
        <v>-182</v>
      </c>
      <c r="O322">
        <f t="shared" si="24"/>
        <v>103</v>
      </c>
      <c r="P322">
        <f t="shared" ref="P322:P385" si="25">F322-K322</f>
        <v>-1</v>
      </c>
      <c r="Q322" t="s">
        <v>7</v>
      </c>
    </row>
    <row r="323" spans="1:17" x14ac:dyDescent="0.35">
      <c r="A323" t="s">
        <v>12</v>
      </c>
      <c r="B323">
        <v>19</v>
      </c>
      <c r="C323">
        <v>321</v>
      </c>
      <c r="D323">
        <v>284</v>
      </c>
      <c r="E323">
        <v>37</v>
      </c>
      <c r="F323">
        <v>2</v>
      </c>
      <c r="G323">
        <v>20</v>
      </c>
      <c r="H323">
        <v>394</v>
      </c>
      <c r="I323">
        <v>270</v>
      </c>
      <c r="J323">
        <v>124</v>
      </c>
      <c r="K323">
        <v>1</v>
      </c>
      <c r="L323">
        <f t="shared" ref="L323:L386" si="26">B323-G323</f>
        <v>-1</v>
      </c>
      <c r="M323">
        <f t="shared" ref="M323:M386" si="27">C323-H323</f>
        <v>-73</v>
      </c>
      <c r="N323">
        <f t="shared" ref="N323:N386" si="28">D323-I323</f>
        <v>14</v>
      </c>
      <c r="O323">
        <f t="shared" ref="O323:O386" si="29">E323-J323</f>
        <v>-87</v>
      </c>
      <c r="P323">
        <f t="shared" si="25"/>
        <v>1</v>
      </c>
      <c r="Q323" t="s">
        <v>7</v>
      </c>
    </row>
    <row r="324" spans="1:17" x14ac:dyDescent="0.35">
      <c r="A324" t="s">
        <v>11</v>
      </c>
      <c r="B324">
        <v>17</v>
      </c>
      <c r="C324">
        <v>354</v>
      </c>
      <c r="D324">
        <v>276</v>
      </c>
      <c r="E324">
        <v>78</v>
      </c>
      <c r="F324">
        <v>3</v>
      </c>
      <c r="G324">
        <v>24</v>
      </c>
      <c r="H324">
        <v>444</v>
      </c>
      <c r="I324">
        <v>226</v>
      </c>
      <c r="J324">
        <v>218</v>
      </c>
      <c r="K324">
        <v>2</v>
      </c>
      <c r="L324">
        <f t="shared" si="26"/>
        <v>-7</v>
      </c>
      <c r="M324">
        <f t="shared" si="27"/>
        <v>-90</v>
      </c>
      <c r="N324">
        <f t="shared" si="28"/>
        <v>50</v>
      </c>
      <c r="O324">
        <f t="shared" si="29"/>
        <v>-140</v>
      </c>
      <c r="P324">
        <f t="shared" si="25"/>
        <v>1</v>
      </c>
      <c r="Q324" t="s">
        <v>5</v>
      </c>
    </row>
    <row r="325" spans="1:17" x14ac:dyDescent="0.35">
      <c r="A325" t="s">
        <v>12</v>
      </c>
      <c r="B325">
        <v>22</v>
      </c>
      <c r="C325">
        <v>354</v>
      </c>
      <c r="D325">
        <v>234</v>
      </c>
      <c r="E325">
        <v>120</v>
      </c>
      <c r="F325">
        <v>0</v>
      </c>
      <c r="G325">
        <v>18</v>
      </c>
      <c r="H325">
        <v>231</v>
      </c>
      <c r="I325">
        <v>161</v>
      </c>
      <c r="J325">
        <v>70</v>
      </c>
      <c r="K325">
        <v>2</v>
      </c>
      <c r="L325">
        <f t="shared" si="26"/>
        <v>4</v>
      </c>
      <c r="M325">
        <f t="shared" si="27"/>
        <v>123</v>
      </c>
      <c r="N325">
        <f t="shared" si="28"/>
        <v>73</v>
      </c>
      <c r="O325">
        <f t="shared" si="29"/>
        <v>50</v>
      </c>
      <c r="P325">
        <f t="shared" si="25"/>
        <v>-2</v>
      </c>
      <c r="Q325" t="s">
        <v>7</v>
      </c>
    </row>
    <row r="326" spans="1:17" x14ac:dyDescent="0.35">
      <c r="A326" t="s">
        <v>11</v>
      </c>
      <c r="B326">
        <v>18</v>
      </c>
      <c r="C326">
        <v>344</v>
      </c>
      <c r="D326">
        <v>207</v>
      </c>
      <c r="E326">
        <v>137</v>
      </c>
      <c r="F326">
        <v>1</v>
      </c>
      <c r="G326">
        <v>17</v>
      </c>
      <c r="H326">
        <v>345</v>
      </c>
      <c r="I326">
        <v>283</v>
      </c>
      <c r="J326">
        <v>62</v>
      </c>
      <c r="K326">
        <v>7</v>
      </c>
      <c r="L326">
        <f t="shared" si="26"/>
        <v>1</v>
      </c>
      <c r="M326">
        <f t="shared" si="27"/>
        <v>-1</v>
      </c>
      <c r="N326">
        <f t="shared" si="28"/>
        <v>-76</v>
      </c>
      <c r="O326">
        <f t="shared" si="29"/>
        <v>75</v>
      </c>
      <c r="P326">
        <f t="shared" si="25"/>
        <v>-6</v>
      </c>
      <c r="Q326" t="s">
        <v>7</v>
      </c>
    </row>
    <row r="327" spans="1:17" x14ac:dyDescent="0.35">
      <c r="A327" t="s">
        <v>12</v>
      </c>
      <c r="B327">
        <v>7</v>
      </c>
      <c r="C327">
        <v>139</v>
      </c>
      <c r="D327">
        <v>82</v>
      </c>
      <c r="E327">
        <v>57</v>
      </c>
      <c r="F327">
        <v>1</v>
      </c>
      <c r="G327">
        <v>22</v>
      </c>
      <c r="H327">
        <v>383</v>
      </c>
      <c r="I327">
        <v>199</v>
      </c>
      <c r="J327">
        <v>184</v>
      </c>
      <c r="K327">
        <v>3</v>
      </c>
      <c r="L327">
        <f t="shared" si="26"/>
        <v>-15</v>
      </c>
      <c r="M327">
        <f t="shared" si="27"/>
        <v>-244</v>
      </c>
      <c r="N327">
        <f t="shared" si="28"/>
        <v>-117</v>
      </c>
      <c r="O327">
        <f t="shared" si="29"/>
        <v>-127</v>
      </c>
      <c r="P327">
        <f t="shared" si="25"/>
        <v>-2</v>
      </c>
      <c r="Q327" t="s">
        <v>5</v>
      </c>
    </row>
    <row r="328" spans="1:17" x14ac:dyDescent="0.35">
      <c r="A328" t="s">
        <v>12</v>
      </c>
      <c r="B328">
        <v>14</v>
      </c>
      <c r="C328">
        <v>300</v>
      </c>
      <c r="D328">
        <v>126</v>
      </c>
      <c r="E328">
        <v>174</v>
      </c>
      <c r="F328">
        <v>3</v>
      </c>
      <c r="G328">
        <v>24</v>
      </c>
      <c r="H328">
        <v>337</v>
      </c>
      <c r="I328">
        <v>179</v>
      </c>
      <c r="J328">
        <v>158</v>
      </c>
      <c r="K328">
        <v>1</v>
      </c>
      <c r="L328">
        <f t="shared" si="26"/>
        <v>-10</v>
      </c>
      <c r="M328">
        <f t="shared" si="27"/>
        <v>-37</v>
      </c>
      <c r="N328">
        <f t="shared" si="28"/>
        <v>-53</v>
      </c>
      <c r="O328">
        <f t="shared" si="29"/>
        <v>16</v>
      </c>
      <c r="P328">
        <f t="shared" si="25"/>
        <v>2</v>
      </c>
      <c r="Q328" t="s">
        <v>5</v>
      </c>
    </row>
    <row r="329" spans="1:17" x14ac:dyDescent="0.35">
      <c r="A329" t="s">
        <v>11</v>
      </c>
      <c r="B329">
        <v>22</v>
      </c>
      <c r="C329">
        <v>362</v>
      </c>
      <c r="D329">
        <v>226</v>
      </c>
      <c r="E329">
        <v>136</v>
      </c>
      <c r="F329">
        <v>1</v>
      </c>
      <c r="G329">
        <v>19</v>
      </c>
      <c r="H329">
        <v>324</v>
      </c>
      <c r="I329">
        <v>227</v>
      </c>
      <c r="J329">
        <v>97</v>
      </c>
      <c r="K329">
        <v>2</v>
      </c>
      <c r="L329">
        <f t="shared" si="26"/>
        <v>3</v>
      </c>
      <c r="M329">
        <f t="shared" si="27"/>
        <v>38</v>
      </c>
      <c r="N329">
        <f t="shared" si="28"/>
        <v>-1</v>
      </c>
      <c r="O329">
        <f t="shared" si="29"/>
        <v>39</v>
      </c>
      <c r="P329">
        <f t="shared" si="25"/>
        <v>-1</v>
      </c>
      <c r="Q329" t="s">
        <v>7</v>
      </c>
    </row>
    <row r="330" spans="1:17" x14ac:dyDescent="0.35">
      <c r="A330" t="s">
        <v>11</v>
      </c>
      <c r="B330">
        <v>7</v>
      </c>
      <c r="C330">
        <v>147</v>
      </c>
      <c r="D330">
        <v>126</v>
      </c>
      <c r="E330">
        <v>21</v>
      </c>
      <c r="F330">
        <v>2</v>
      </c>
      <c r="G330">
        <v>21</v>
      </c>
      <c r="H330">
        <v>308</v>
      </c>
      <c r="I330">
        <v>122</v>
      </c>
      <c r="J330">
        <v>186</v>
      </c>
      <c r="K330">
        <v>2</v>
      </c>
      <c r="L330">
        <f t="shared" si="26"/>
        <v>-14</v>
      </c>
      <c r="M330">
        <f t="shared" si="27"/>
        <v>-161</v>
      </c>
      <c r="N330">
        <f t="shared" si="28"/>
        <v>4</v>
      </c>
      <c r="O330">
        <f t="shared" si="29"/>
        <v>-165</v>
      </c>
      <c r="P330">
        <f t="shared" si="25"/>
        <v>0</v>
      </c>
      <c r="Q330" t="s">
        <v>5</v>
      </c>
    </row>
    <row r="331" spans="1:17" x14ac:dyDescent="0.35">
      <c r="A331" t="s">
        <v>12</v>
      </c>
      <c r="B331">
        <v>24</v>
      </c>
      <c r="C331">
        <v>465</v>
      </c>
      <c r="D331">
        <v>366</v>
      </c>
      <c r="E331">
        <v>99</v>
      </c>
      <c r="F331">
        <v>0</v>
      </c>
      <c r="G331">
        <v>15</v>
      </c>
      <c r="H331">
        <v>308</v>
      </c>
      <c r="I331">
        <v>276</v>
      </c>
      <c r="J331">
        <v>32</v>
      </c>
      <c r="K331">
        <v>1</v>
      </c>
      <c r="L331">
        <f t="shared" si="26"/>
        <v>9</v>
      </c>
      <c r="M331">
        <f t="shared" si="27"/>
        <v>157</v>
      </c>
      <c r="N331">
        <f t="shared" si="28"/>
        <v>90</v>
      </c>
      <c r="O331">
        <f t="shared" si="29"/>
        <v>67</v>
      </c>
      <c r="P331">
        <f t="shared" si="25"/>
        <v>-1</v>
      </c>
      <c r="Q331" t="s">
        <v>7</v>
      </c>
    </row>
    <row r="332" spans="1:17" x14ac:dyDescent="0.35">
      <c r="A332" t="s">
        <v>11</v>
      </c>
      <c r="B332">
        <v>27</v>
      </c>
      <c r="C332">
        <v>379</v>
      </c>
      <c r="D332">
        <v>255</v>
      </c>
      <c r="E332">
        <v>124</v>
      </c>
      <c r="F332">
        <v>1</v>
      </c>
      <c r="G332">
        <v>11</v>
      </c>
      <c r="H332">
        <v>184</v>
      </c>
      <c r="I332">
        <v>142</v>
      </c>
      <c r="J332">
        <v>42</v>
      </c>
      <c r="K332">
        <v>4</v>
      </c>
      <c r="L332">
        <f t="shared" si="26"/>
        <v>16</v>
      </c>
      <c r="M332">
        <f t="shared" si="27"/>
        <v>195</v>
      </c>
      <c r="N332">
        <f t="shared" si="28"/>
        <v>113</v>
      </c>
      <c r="O332">
        <f t="shared" si="29"/>
        <v>82</v>
      </c>
      <c r="P332">
        <f t="shared" si="25"/>
        <v>-3</v>
      </c>
      <c r="Q332" t="s">
        <v>7</v>
      </c>
    </row>
    <row r="333" spans="1:17" x14ac:dyDescent="0.35">
      <c r="A333" t="s">
        <v>12</v>
      </c>
      <c r="B333">
        <v>21</v>
      </c>
      <c r="C333">
        <v>381</v>
      </c>
      <c r="D333">
        <v>313</v>
      </c>
      <c r="E333">
        <v>68</v>
      </c>
      <c r="F333">
        <v>2</v>
      </c>
      <c r="G333">
        <v>6</v>
      </c>
      <c r="H333">
        <v>105</v>
      </c>
      <c r="I333">
        <v>69</v>
      </c>
      <c r="J333">
        <v>36</v>
      </c>
      <c r="K333">
        <v>1</v>
      </c>
      <c r="L333">
        <f t="shared" si="26"/>
        <v>15</v>
      </c>
      <c r="M333">
        <f t="shared" si="27"/>
        <v>276</v>
      </c>
      <c r="N333">
        <f t="shared" si="28"/>
        <v>244</v>
      </c>
      <c r="O333">
        <f t="shared" si="29"/>
        <v>32</v>
      </c>
      <c r="P333">
        <f t="shared" si="25"/>
        <v>1</v>
      </c>
      <c r="Q333" t="s">
        <v>7</v>
      </c>
    </row>
    <row r="334" spans="1:17" x14ac:dyDescent="0.35">
      <c r="A334" t="s">
        <v>11</v>
      </c>
      <c r="B334">
        <v>11</v>
      </c>
      <c r="C334">
        <v>224</v>
      </c>
      <c r="D334">
        <v>150</v>
      </c>
      <c r="E334">
        <v>74</v>
      </c>
      <c r="F334">
        <v>1</v>
      </c>
      <c r="G334">
        <v>23</v>
      </c>
      <c r="H334">
        <v>375</v>
      </c>
      <c r="I334">
        <v>240</v>
      </c>
      <c r="J334">
        <v>135</v>
      </c>
      <c r="K334">
        <v>4</v>
      </c>
      <c r="L334">
        <f t="shared" si="26"/>
        <v>-12</v>
      </c>
      <c r="M334">
        <f t="shared" si="27"/>
        <v>-151</v>
      </c>
      <c r="N334">
        <f t="shared" si="28"/>
        <v>-90</v>
      </c>
      <c r="O334">
        <f t="shared" si="29"/>
        <v>-61</v>
      </c>
      <c r="P334">
        <f t="shared" si="25"/>
        <v>-3</v>
      </c>
      <c r="Q334" t="s">
        <v>7</v>
      </c>
    </row>
    <row r="335" spans="1:17" x14ac:dyDescent="0.35">
      <c r="A335" t="s">
        <v>11</v>
      </c>
      <c r="B335">
        <v>23</v>
      </c>
      <c r="C335">
        <v>442</v>
      </c>
      <c r="D335">
        <v>312</v>
      </c>
      <c r="E335">
        <v>130</v>
      </c>
      <c r="F335">
        <v>1</v>
      </c>
      <c r="G335">
        <v>11</v>
      </c>
      <c r="H335">
        <v>223</v>
      </c>
      <c r="I335">
        <v>78</v>
      </c>
      <c r="J335">
        <v>145</v>
      </c>
      <c r="K335">
        <v>2</v>
      </c>
      <c r="L335">
        <f t="shared" si="26"/>
        <v>12</v>
      </c>
      <c r="M335">
        <f t="shared" si="27"/>
        <v>219</v>
      </c>
      <c r="N335">
        <f t="shared" si="28"/>
        <v>234</v>
      </c>
      <c r="O335">
        <f t="shared" si="29"/>
        <v>-15</v>
      </c>
      <c r="P335">
        <f t="shared" si="25"/>
        <v>-1</v>
      </c>
      <c r="Q335" t="s">
        <v>7</v>
      </c>
    </row>
    <row r="336" spans="1:17" x14ac:dyDescent="0.35">
      <c r="A336" t="s">
        <v>12</v>
      </c>
      <c r="B336">
        <v>27</v>
      </c>
      <c r="C336">
        <v>427</v>
      </c>
      <c r="D336">
        <v>313</v>
      </c>
      <c r="E336">
        <v>114</v>
      </c>
      <c r="F336">
        <v>2</v>
      </c>
      <c r="G336">
        <v>10</v>
      </c>
      <c r="H336">
        <v>213</v>
      </c>
      <c r="I336">
        <v>161</v>
      </c>
      <c r="J336">
        <v>52</v>
      </c>
      <c r="K336">
        <v>4</v>
      </c>
      <c r="L336">
        <f t="shared" si="26"/>
        <v>17</v>
      </c>
      <c r="M336">
        <f t="shared" si="27"/>
        <v>214</v>
      </c>
      <c r="N336">
        <f t="shared" si="28"/>
        <v>152</v>
      </c>
      <c r="O336">
        <f t="shared" si="29"/>
        <v>62</v>
      </c>
      <c r="P336">
        <f t="shared" si="25"/>
        <v>-2</v>
      </c>
      <c r="Q336" t="s">
        <v>7</v>
      </c>
    </row>
    <row r="337" spans="1:17" x14ac:dyDescent="0.35">
      <c r="A337" t="s">
        <v>11</v>
      </c>
      <c r="B337">
        <v>22</v>
      </c>
      <c r="C337">
        <v>323</v>
      </c>
      <c r="D337">
        <v>249</v>
      </c>
      <c r="E337">
        <v>74</v>
      </c>
      <c r="F337">
        <v>1</v>
      </c>
      <c r="G337">
        <v>12</v>
      </c>
      <c r="H337">
        <v>154</v>
      </c>
      <c r="I337">
        <v>73</v>
      </c>
      <c r="J337">
        <v>81</v>
      </c>
      <c r="K337">
        <v>6</v>
      </c>
      <c r="L337">
        <f t="shared" si="26"/>
        <v>10</v>
      </c>
      <c r="M337">
        <f t="shared" si="27"/>
        <v>169</v>
      </c>
      <c r="N337">
        <f t="shared" si="28"/>
        <v>176</v>
      </c>
      <c r="O337">
        <f t="shared" si="29"/>
        <v>-7</v>
      </c>
      <c r="P337">
        <f t="shared" si="25"/>
        <v>-5</v>
      </c>
      <c r="Q337" t="s">
        <v>7</v>
      </c>
    </row>
    <row r="338" spans="1:17" x14ac:dyDescent="0.35">
      <c r="A338" t="s">
        <v>12</v>
      </c>
      <c r="B338">
        <v>19</v>
      </c>
      <c r="C338">
        <v>318</v>
      </c>
      <c r="D338">
        <v>239</v>
      </c>
      <c r="E338">
        <v>79</v>
      </c>
      <c r="F338">
        <v>0</v>
      </c>
      <c r="G338">
        <v>15</v>
      </c>
      <c r="H338">
        <v>310</v>
      </c>
      <c r="I338">
        <v>151</v>
      </c>
      <c r="J338">
        <v>159</v>
      </c>
      <c r="K338">
        <v>3</v>
      </c>
      <c r="L338">
        <f t="shared" si="26"/>
        <v>4</v>
      </c>
      <c r="M338">
        <f t="shared" si="27"/>
        <v>8</v>
      </c>
      <c r="N338">
        <f t="shared" si="28"/>
        <v>88</v>
      </c>
      <c r="O338">
        <f t="shared" si="29"/>
        <v>-80</v>
      </c>
      <c r="P338">
        <f t="shared" si="25"/>
        <v>-3</v>
      </c>
      <c r="Q338" t="s">
        <v>7</v>
      </c>
    </row>
    <row r="339" spans="1:17" x14ac:dyDescent="0.35">
      <c r="A339" t="s">
        <v>11</v>
      </c>
      <c r="B339">
        <v>22</v>
      </c>
      <c r="C339">
        <v>342</v>
      </c>
      <c r="D339">
        <v>268</v>
      </c>
      <c r="E339">
        <v>74</v>
      </c>
      <c r="F339">
        <v>2</v>
      </c>
      <c r="G339">
        <v>26</v>
      </c>
      <c r="H339">
        <v>372</v>
      </c>
      <c r="I339">
        <v>162</v>
      </c>
      <c r="J339">
        <v>210</v>
      </c>
      <c r="K339">
        <v>2</v>
      </c>
      <c r="L339">
        <f t="shared" si="26"/>
        <v>-4</v>
      </c>
      <c r="M339">
        <f t="shared" si="27"/>
        <v>-30</v>
      </c>
      <c r="N339">
        <f t="shared" si="28"/>
        <v>106</v>
      </c>
      <c r="O339">
        <f t="shared" si="29"/>
        <v>-136</v>
      </c>
      <c r="P339">
        <f t="shared" si="25"/>
        <v>0</v>
      </c>
      <c r="Q339" t="s">
        <v>5</v>
      </c>
    </row>
    <row r="340" spans="1:17" x14ac:dyDescent="0.35">
      <c r="A340" t="s">
        <v>11</v>
      </c>
      <c r="B340">
        <v>19</v>
      </c>
      <c r="C340">
        <v>298</v>
      </c>
      <c r="D340">
        <v>224</v>
      </c>
      <c r="E340">
        <v>74</v>
      </c>
      <c r="F340">
        <v>0</v>
      </c>
      <c r="G340">
        <v>21</v>
      </c>
      <c r="H340">
        <v>255</v>
      </c>
      <c r="I340">
        <v>174</v>
      </c>
      <c r="J340">
        <v>81</v>
      </c>
      <c r="K340">
        <v>1</v>
      </c>
      <c r="L340">
        <f t="shared" si="26"/>
        <v>-2</v>
      </c>
      <c r="M340">
        <f t="shared" si="27"/>
        <v>43</v>
      </c>
      <c r="N340">
        <f t="shared" si="28"/>
        <v>50</v>
      </c>
      <c r="O340">
        <f t="shared" si="29"/>
        <v>-7</v>
      </c>
      <c r="P340">
        <f t="shared" si="25"/>
        <v>-1</v>
      </c>
      <c r="Q340" t="s">
        <v>7</v>
      </c>
    </row>
    <row r="341" spans="1:17" x14ac:dyDescent="0.35">
      <c r="A341" t="s">
        <v>12</v>
      </c>
      <c r="B341">
        <v>17</v>
      </c>
      <c r="C341">
        <v>282</v>
      </c>
      <c r="D341">
        <v>181</v>
      </c>
      <c r="E341">
        <v>101</v>
      </c>
      <c r="F341">
        <v>0</v>
      </c>
      <c r="G341">
        <v>16</v>
      </c>
      <c r="H341">
        <v>321</v>
      </c>
      <c r="I341">
        <v>212</v>
      </c>
      <c r="J341">
        <v>109</v>
      </c>
      <c r="K341">
        <v>1</v>
      </c>
      <c r="L341">
        <f t="shared" si="26"/>
        <v>1</v>
      </c>
      <c r="M341">
        <f t="shared" si="27"/>
        <v>-39</v>
      </c>
      <c r="N341">
        <f t="shared" si="28"/>
        <v>-31</v>
      </c>
      <c r="O341">
        <f t="shared" si="29"/>
        <v>-8</v>
      </c>
      <c r="P341">
        <f t="shared" si="25"/>
        <v>-1</v>
      </c>
      <c r="Q341" t="s">
        <v>7</v>
      </c>
    </row>
    <row r="342" spans="1:17" x14ac:dyDescent="0.35">
      <c r="A342" t="s">
        <v>11</v>
      </c>
      <c r="B342">
        <v>29</v>
      </c>
      <c r="C342">
        <v>448</v>
      </c>
      <c r="D342">
        <v>303</v>
      </c>
      <c r="E342">
        <v>145</v>
      </c>
      <c r="F342">
        <v>1</v>
      </c>
      <c r="G342">
        <v>16</v>
      </c>
      <c r="H342">
        <v>276</v>
      </c>
      <c r="I342">
        <v>224</v>
      </c>
      <c r="J342">
        <v>52</v>
      </c>
      <c r="K342">
        <v>0</v>
      </c>
      <c r="L342">
        <f t="shared" si="26"/>
        <v>13</v>
      </c>
      <c r="M342">
        <f t="shared" si="27"/>
        <v>172</v>
      </c>
      <c r="N342">
        <f t="shared" si="28"/>
        <v>79</v>
      </c>
      <c r="O342">
        <f t="shared" si="29"/>
        <v>93</v>
      </c>
      <c r="P342">
        <f t="shared" si="25"/>
        <v>1</v>
      </c>
      <c r="Q342" t="s">
        <v>5</v>
      </c>
    </row>
    <row r="343" spans="1:17" x14ac:dyDescent="0.35">
      <c r="A343" t="s">
        <v>12</v>
      </c>
      <c r="B343">
        <v>17</v>
      </c>
      <c r="C343">
        <v>278</v>
      </c>
      <c r="D343">
        <v>184</v>
      </c>
      <c r="E343">
        <v>94</v>
      </c>
      <c r="F343">
        <v>1</v>
      </c>
      <c r="G343">
        <v>20</v>
      </c>
      <c r="H343">
        <v>346</v>
      </c>
      <c r="I343">
        <v>271</v>
      </c>
      <c r="J343">
        <v>75</v>
      </c>
      <c r="K343">
        <v>2</v>
      </c>
      <c r="L343">
        <f t="shared" si="26"/>
        <v>-3</v>
      </c>
      <c r="M343">
        <f t="shared" si="27"/>
        <v>-68</v>
      </c>
      <c r="N343">
        <f t="shared" si="28"/>
        <v>-87</v>
      </c>
      <c r="O343">
        <f t="shared" si="29"/>
        <v>19</v>
      </c>
      <c r="P343">
        <f t="shared" si="25"/>
        <v>-1</v>
      </c>
      <c r="Q343" t="s">
        <v>5</v>
      </c>
    </row>
    <row r="344" spans="1:17" x14ac:dyDescent="0.35">
      <c r="A344" t="s">
        <v>11</v>
      </c>
      <c r="B344">
        <v>19</v>
      </c>
      <c r="C344">
        <v>291</v>
      </c>
      <c r="D344">
        <v>116</v>
      </c>
      <c r="E344">
        <v>175</v>
      </c>
      <c r="F344">
        <v>0</v>
      </c>
      <c r="G344">
        <v>19</v>
      </c>
      <c r="H344">
        <v>315</v>
      </c>
      <c r="I344">
        <v>151</v>
      </c>
      <c r="J344">
        <v>164</v>
      </c>
      <c r="K344">
        <v>5</v>
      </c>
      <c r="L344">
        <f t="shared" si="26"/>
        <v>0</v>
      </c>
      <c r="M344">
        <f t="shared" si="27"/>
        <v>-24</v>
      </c>
      <c r="N344">
        <f t="shared" si="28"/>
        <v>-35</v>
      </c>
      <c r="O344">
        <f t="shared" si="29"/>
        <v>11</v>
      </c>
      <c r="P344">
        <f t="shared" si="25"/>
        <v>-5</v>
      </c>
      <c r="Q344" t="s">
        <v>7</v>
      </c>
    </row>
    <row r="345" spans="1:17" x14ac:dyDescent="0.35">
      <c r="A345" t="s">
        <v>12</v>
      </c>
      <c r="B345">
        <v>23</v>
      </c>
      <c r="C345">
        <v>414</v>
      </c>
      <c r="D345">
        <v>271</v>
      </c>
      <c r="E345">
        <v>143</v>
      </c>
      <c r="F345">
        <v>1</v>
      </c>
      <c r="G345">
        <v>14</v>
      </c>
      <c r="H345">
        <v>268</v>
      </c>
      <c r="I345">
        <v>176</v>
      </c>
      <c r="J345">
        <v>92</v>
      </c>
      <c r="K345">
        <v>0</v>
      </c>
      <c r="L345">
        <f t="shared" si="26"/>
        <v>9</v>
      </c>
      <c r="M345">
        <f t="shared" si="27"/>
        <v>146</v>
      </c>
      <c r="N345">
        <f t="shared" si="28"/>
        <v>95</v>
      </c>
      <c r="O345">
        <f t="shared" si="29"/>
        <v>51</v>
      </c>
      <c r="P345">
        <f t="shared" si="25"/>
        <v>1</v>
      </c>
      <c r="Q345" t="s">
        <v>7</v>
      </c>
    </row>
    <row r="346" spans="1:17" x14ac:dyDescent="0.35">
      <c r="A346" t="s">
        <v>12</v>
      </c>
      <c r="B346">
        <v>18</v>
      </c>
      <c r="C346">
        <v>352</v>
      </c>
      <c r="D346">
        <v>217</v>
      </c>
      <c r="E346">
        <v>135</v>
      </c>
      <c r="F346">
        <v>2</v>
      </c>
      <c r="G346">
        <v>26</v>
      </c>
      <c r="H346">
        <v>389</v>
      </c>
      <c r="I346">
        <v>326</v>
      </c>
      <c r="J346">
        <v>63</v>
      </c>
      <c r="K346">
        <v>0</v>
      </c>
      <c r="L346">
        <f t="shared" si="26"/>
        <v>-8</v>
      </c>
      <c r="M346">
        <f t="shared" si="27"/>
        <v>-37</v>
      </c>
      <c r="N346">
        <f t="shared" si="28"/>
        <v>-109</v>
      </c>
      <c r="O346">
        <f t="shared" si="29"/>
        <v>72</v>
      </c>
      <c r="P346">
        <f t="shared" si="25"/>
        <v>2</v>
      </c>
      <c r="Q346" t="s">
        <v>5</v>
      </c>
    </row>
    <row r="347" spans="1:17" x14ac:dyDescent="0.35">
      <c r="A347" t="s">
        <v>12</v>
      </c>
      <c r="B347">
        <v>18</v>
      </c>
      <c r="C347">
        <v>307</v>
      </c>
      <c r="D347">
        <v>209</v>
      </c>
      <c r="E347">
        <v>98</v>
      </c>
      <c r="F347">
        <v>2</v>
      </c>
      <c r="G347">
        <v>19</v>
      </c>
      <c r="H347">
        <v>272</v>
      </c>
      <c r="I347">
        <v>71</v>
      </c>
      <c r="J347">
        <v>201</v>
      </c>
      <c r="K347">
        <v>1</v>
      </c>
      <c r="L347">
        <f t="shared" si="26"/>
        <v>-1</v>
      </c>
      <c r="M347">
        <f t="shared" si="27"/>
        <v>35</v>
      </c>
      <c r="N347">
        <f t="shared" si="28"/>
        <v>138</v>
      </c>
      <c r="O347">
        <f t="shared" si="29"/>
        <v>-103</v>
      </c>
      <c r="P347">
        <f t="shared" si="25"/>
        <v>1</v>
      </c>
      <c r="Q347" t="s">
        <v>5</v>
      </c>
    </row>
    <row r="348" spans="1:17" x14ac:dyDescent="0.35">
      <c r="A348" t="s">
        <v>12</v>
      </c>
      <c r="B348">
        <v>25</v>
      </c>
      <c r="C348">
        <v>510</v>
      </c>
      <c r="D348">
        <v>362</v>
      </c>
      <c r="E348">
        <v>148</v>
      </c>
      <c r="F348">
        <v>1</v>
      </c>
      <c r="G348">
        <v>22</v>
      </c>
      <c r="H348">
        <v>414</v>
      </c>
      <c r="I348">
        <v>234</v>
      </c>
      <c r="J348">
        <v>180</v>
      </c>
      <c r="K348">
        <v>1</v>
      </c>
      <c r="L348">
        <f t="shared" si="26"/>
        <v>3</v>
      </c>
      <c r="M348">
        <f t="shared" si="27"/>
        <v>96</v>
      </c>
      <c r="N348">
        <f t="shared" si="28"/>
        <v>128</v>
      </c>
      <c r="O348">
        <f t="shared" si="29"/>
        <v>-32</v>
      </c>
      <c r="P348">
        <f t="shared" si="25"/>
        <v>0</v>
      </c>
      <c r="Q348" t="s">
        <v>7</v>
      </c>
    </row>
    <row r="349" spans="1:17" x14ac:dyDescent="0.35">
      <c r="A349" t="s">
        <v>11</v>
      </c>
      <c r="B349">
        <v>15</v>
      </c>
      <c r="C349">
        <v>244</v>
      </c>
      <c r="D349">
        <v>187</v>
      </c>
      <c r="E349">
        <v>57</v>
      </c>
      <c r="F349">
        <v>1</v>
      </c>
      <c r="G349">
        <v>20</v>
      </c>
      <c r="H349">
        <v>380</v>
      </c>
      <c r="I349">
        <v>265</v>
      </c>
      <c r="J349">
        <v>115</v>
      </c>
      <c r="K349">
        <v>1</v>
      </c>
      <c r="L349">
        <f t="shared" si="26"/>
        <v>-5</v>
      </c>
      <c r="M349">
        <f t="shared" si="27"/>
        <v>-136</v>
      </c>
      <c r="N349">
        <f t="shared" si="28"/>
        <v>-78</v>
      </c>
      <c r="O349">
        <f t="shared" si="29"/>
        <v>-58</v>
      </c>
      <c r="P349">
        <f t="shared" si="25"/>
        <v>0</v>
      </c>
      <c r="Q349" t="s">
        <v>5</v>
      </c>
    </row>
    <row r="350" spans="1:17" x14ac:dyDescent="0.35">
      <c r="A350" t="s">
        <v>11</v>
      </c>
      <c r="B350">
        <v>15</v>
      </c>
      <c r="C350">
        <v>265</v>
      </c>
      <c r="D350">
        <v>177</v>
      </c>
      <c r="E350">
        <v>88</v>
      </c>
      <c r="F350">
        <v>1</v>
      </c>
      <c r="G350">
        <v>26</v>
      </c>
      <c r="H350">
        <v>514</v>
      </c>
      <c r="I350">
        <v>406</v>
      </c>
      <c r="J350">
        <v>108</v>
      </c>
      <c r="K350">
        <v>1</v>
      </c>
      <c r="L350">
        <f t="shared" si="26"/>
        <v>-11</v>
      </c>
      <c r="M350">
        <f t="shared" si="27"/>
        <v>-249</v>
      </c>
      <c r="N350">
        <f t="shared" si="28"/>
        <v>-229</v>
      </c>
      <c r="O350">
        <f t="shared" si="29"/>
        <v>-20</v>
      </c>
      <c r="P350">
        <f t="shared" si="25"/>
        <v>0</v>
      </c>
      <c r="Q350" t="s">
        <v>7</v>
      </c>
    </row>
    <row r="351" spans="1:17" x14ac:dyDescent="0.35">
      <c r="A351" t="s">
        <v>12</v>
      </c>
      <c r="B351">
        <v>18</v>
      </c>
      <c r="C351">
        <v>266</v>
      </c>
      <c r="D351">
        <v>149</v>
      </c>
      <c r="E351">
        <v>117</v>
      </c>
      <c r="F351">
        <v>1</v>
      </c>
      <c r="G351">
        <v>15</v>
      </c>
      <c r="H351">
        <v>257</v>
      </c>
      <c r="I351">
        <v>212</v>
      </c>
      <c r="J351">
        <v>45</v>
      </c>
      <c r="K351">
        <v>3</v>
      </c>
      <c r="L351">
        <f t="shared" si="26"/>
        <v>3</v>
      </c>
      <c r="M351">
        <f t="shared" si="27"/>
        <v>9</v>
      </c>
      <c r="N351">
        <f t="shared" si="28"/>
        <v>-63</v>
      </c>
      <c r="O351">
        <f t="shared" si="29"/>
        <v>72</v>
      </c>
      <c r="P351">
        <f t="shared" si="25"/>
        <v>-2</v>
      </c>
      <c r="Q351" t="s">
        <v>7</v>
      </c>
    </row>
    <row r="352" spans="1:17" x14ac:dyDescent="0.35">
      <c r="A352" t="s">
        <v>12</v>
      </c>
      <c r="B352">
        <v>25</v>
      </c>
      <c r="C352">
        <v>457</v>
      </c>
      <c r="D352">
        <v>345</v>
      </c>
      <c r="E352">
        <v>112</v>
      </c>
      <c r="F352">
        <v>1</v>
      </c>
      <c r="G352">
        <v>19</v>
      </c>
      <c r="H352">
        <v>252</v>
      </c>
      <c r="I352">
        <v>158</v>
      </c>
      <c r="J352">
        <v>94</v>
      </c>
      <c r="K352">
        <v>0</v>
      </c>
      <c r="L352">
        <f t="shared" si="26"/>
        <v>6</v>
      </c>
      <c r="M352">
        <f t="shared" si="27"/>
        <v>205</v>
      </c>
      <c r="N352">
        <f t="shared" si="28"/>
        <v>187</v>
      </c>
      <c r="O352">
        <f t="shared" si="29"/>
        <v>18</v>
      </c>
      <c r="P352">
        <f t="shared" si="25"/>
        <v>1</v>
      </c>
      <c r="Q352" t="s">
        <v>7</v>
      </c>
    </row>
    <row r="353" spans="1:17" x14ac:dyDescent="0.35">
      <c r="A353" t="s">
        <v>11</v>
      </c>
      <c r="B353">
        <v>18</v>
      </c>
      <c r="C353">
        <v>326</v>
      </c>
      <c r="D353">
        <v>222</v>
      </c>
      <c r="E353">
        <v>104</v>
      </c>
      <c r="F353">
        <v>0</v>
      </c>
      <c r="G353">
        <v>11</v>
      </c>
      <c r="H353">
        <v>226</v>
      </c>
      <c r="I353">
        <v>151</v>
      </c>
      <c r="J353">
        <v>75</v>
      </c>
      <c r="K353">
        <v>1</v>
      </c>
      <c r="L353">
        <f t="shared" si="26"/>
        <v>7</v>
      </c>
      <c r="M353">
        <f t="shared" si="27"/>
        <v>100</v>
      </c>
      <c r="N353">
        <f t="shared" si="28"/>
        <v>71</v>
      </c>
      <c r="O353">
        <f t="shared" si="29"/>
        <v>29</v>
      </c>
      <c r="P353">
        <f t="shared" si="25"/>
        <v>-1</v>
      </c>
      <c r="Q353" t="s">
        <v>7</v>
      </c>
    </row>
    <row r="354" spans="1:17" x14ac:dyDescent="0.35">
      <c r="A354" t="s">
        <v>11</v>
      </c>
      <c r="B354">
        <v>24</v>
      </c>
      <c r="C354">
        <v>424</v>
      </c>
      <c r="D354">
        <v>273</v>
      </c>
      <c r="E354">
        <v>151</v>
      </c>
      <c r="F354">
        <v>0</v>
      </c>
      <c r="G354">
        <v>16</v>
      </c>
      <c r="H354">
        <v>252</v>
      </c>
      <c r="I354">
        <v>235</v>
      </c>
      <c r="J354">
        <v>17</v>
      </c>
      <c r="K354">
        <v>2</v>
      </c>
      <c r="L354">
        <f t="shared" si="26"/>
        <v>8</v>
      </c>
      <c r="M354">
        <f t="shared" si="27"/>
        <v>172</v>
      </c>
      <c r="N354">
        <f t="shared" si="28"/>
        <v>38</v>
      </c>
      <c r="O354">
        <f t="shared" si="29"/>
        <v>134</v>
      </c>
      <c r="P354">
        <f t="shared" si="25"/>
        <v>-2</v>
      </c>
      <c r="Q354" t="s">
        <v>7</v>
      </c>
    </row>
    <row r="355" spans="1:17" x14ac:dyDescent="0.35">
      <c r="A355" t="s">
        <v>12</v>
      </c>
      <c r="B355">
        <v>28</v>
      </c>
      <c r="C355">
        <v>510</v>
      </c>
      <c r="D355">
        <v>373</v>
      </c>
      <c r="E355">
        <v>137</v>
      </c>
      <c r="F355">
        <v>1</v>
      </c>
      <c r="G355">
        <v>10</v>
      </c>
      <c r="H355">
        <v>237</v>
      </c>
      <c r="I355">
        <v>197</v>
      </c>
      <c r="J355">
        <v>40</v>
      </c>
      <c r="K355">
        <v>0</v>
      </c>
      <c r="L355">
        <f t="shared" si="26"/>
        <v>18</v>
      </c>
      <c r="M355">
        <f t="shared" si="27"/>
        <v>273</v>
      </c>
      <c r="N355">
        <f t="shared" si="28"/>
        <v>176</v>
      </c>
      <c r="O355">
        <f t="shared" si="29"/>
        <v>97</v>
      </c>
      <c r="P355">
        <f t="shared" si="25"/>
        <v>1</v>
      </c>
      <c r="Q355" t="s">
        <v>7</v>
      </c>
    </row>
    <row r="356" spans="1:17" x14ac:dyDescent="0.35">
      <c r="A356" t="s">
        <v>12</v>
      </c>
      <c r="B356">
        <v>18</v>
      </c>
      <c r="C356">
        <v>310</v>
      </c>
      <c r="D356">
        <v>258</v>
      </c>
      <c r="E356">
        <v>52</v>
      </c>
      <c r="F356">
        <v>0</v>
      </c>
      <c r="G356">
        <v>24</v>
      </c>
      <c r="H356">
        <v>317</v>
      </c>
      <c r="I356">
        <v>174</v>
      </c>
      <c r="J356">
        <v>143</v>
      </c>
      <c r="K356">
        <v>1</v>
      </c>
      <c r="L356">
        <f t="shared" si="26"/>
        <v>-6</v>
      </c>
      <c r="M356">
        <f t="shared" si="27"/>
        <v>-7</v>
      </c>
      <c r="N356">
        <f t="shared" si="28"/>
        <v>84</v>
      </c>
      <c r="O356">
        <f t="shared" si="29"/>
        <v>-91</v>
      </c>
      <c r="P356">
        <f t="shared" si="25"/>
        <v>-1</v>
      </c>
      <c r="Q356" t="s">
        <v>5</v>
      </c>
    </row>
    <row r="357" spans="1:17" x14ac:dyDescent="0.35">
      <c r="A357" t="s">
        <v>11</v>
      </c>
      <c r="B357">
        <v>21</v>
      </c>
      <c r="C357">
        <v>328</v>
      </c>
      <c r="D357">
        <v>219</v>
      </c>
      <c r="E357">
        <v>109</v>
      </c>
      <c r="F357">
        <v>0</v>
      </c>
      <c r="G357">
        <v>21</v>
      </c>
      <c r="H357">
        <v>334</v>
      </c>
      <c r="I357">
        <v>298</v>
      </c>
      <c r="J357">
        <v>36</v>
      </c>
      <c r="K357">
        <v>4</v>
      </c>
      <c r="L357">
        <f t="shared" si="26"/>
        <v>0</v>
      </c>
      <c r="M357">
        <f t="shared" si="27"/>
        <v>-6</v>
      </c>
      <c r="N357">
        <f t="shared" si="28"/>
        <v>-79</v>
      </c>
      <c r="O357">
        <f t="shared" si="29"/>
        <v>73</v>
      </c>
      <c r="P357">
        <f t="shared" si="25"/>
        <v>-4</v>
      </c>
      <c r="Q357" t="s">
        <v>7</v>
      </c>
    </row>
    <row r="358" spans="1:17" x14ac:dyDescent="0.35">
      <c r="A358" t="s">
        <v>12</v>
      </c>
      <c r="B358">
        <v>23</v>
      </c>
      <c r="C358">
        <v>418</v>
      </c>
      <c r="D358">
        <v>300</v>
      </c>
      <c r="E358">
        <v>118</v>
      </c>
      <c r="F358">
        <v>1</v>
      </c>
      <c r="G358">
        <v>26</v>
      </c>
      <c r="H358">
        <v>351</v>
      </c>
      <c r="I358">
        <v>230</v>
      </c>
      <c r="J358">
        <v>121</v>
      </c>
      <c r="K358">
        <v>1</v>
      </c>
      <c r="L358">
        <f t="shared" si="26"/>
        <v>-3</v>
      </c>
      <c r="M358">
        <f t="shared" si="27"/>
        <v>67</v>
      </c>
      <c r="N358">
        <f t="shared" si="28"/>
        <v>70</v>
      </c>
      <c r="O358">
        <f t="shared" si="29"/>
        <v>-3</v>
      </c>
      <c r="P358">
        <f t="shared" si="25"/>
        <v>0</v>
      </c>
      <c r="Q358" t="s">
        <v>7</v>
      </c>
    </row>
    <row r="359" spans="1:17" x14ac:dyDescent="0.35">
      <c r="A359" t="s">
        <v>11</v>
      </c>
      <c r="B359">
        <v>14</v>
      </c>
      <c r="C359">
        <v>279</v>
      </c>
      <c r="D359">
        <v>184</v>
      </c>
      <c r="E359">
        <v>95</v>
      </c>
      <c r="F359">
        <v>0</v>
      </c>
      <c r="G359">
        <v>27</v>
      </c>
      <c r="H359">
        <v>348</v>
      </c>
      <c r="I359">
        <v>259</v>
      </c>
      <c r="J359">
        <v>89</v>
      </c>
      <c r="K359">
        <v>3</v>
      </c>
      <c r="L359">
        <f t="shared" si="26"/>
        <v>-13</v>
      </c>
      <c r="M359">
        <f t="shared" si="27"/>
        <v>-69</v>
      </c>
      <c r="N359">
        <f t="shared" si="28"/>
        <v>-75</v>
      </c>
      <c r="O359">
        <f t="shared" si="29"/>
        <v>6</v>
      </c>
      <c r="P359">
        <f t="shared" si="25"/>
        <v>-3</v>
      </c>
      <c r="Q359" t="s">
        <v>7</v>
      </c>
    </row>
    <row r="360" spans="1:17" x14ac:dyDescent="0.35">
      <c r="A360" t="s">
        <v>12</v>
      </c>
      <c r="B360">
        <v>28</v>
      </c>
      <c r="C360">
        <v>465</v>
      </c>
      <c r="D360">
        <v>349</v>
      </c>
      <c r="E360">
        <v>116</v>
      </c>
      <c r="F360">
        <v>1</v>
      </c>
      <c r="G360">
        <v>25</v>
      </c>
      <c r="H360">
        <v>516</v>
      </c>
      <c r="I360">
        <v>354</v>
      </c>
      <c r="J360">
        <v>162</v>
      </c>
      <c r="K360">
        <v>1</v>
      </c>
      <c r="L360">
        <f t="shared" si="26"/>
        <v>3</v>
      </c>
      <c r="M360">
        <f t="shared" si="27"/>
        <v>-51</v>
      </c>
      <c r="N360">
        <f t="shared" si="28"/>
        <v>-5</v>
      </c>
      <c r="O360">
        <f t="shared" si="29"/>
        <v>-46</v>
      </c>
      <c r="P360">
        <f t="shared" si="25"/>
        <v>0</v>
      </c>
      <c r="Q360" t="s">
        <v>5</v>
      </c>
    </row>
    <row r="361" spans="1:17" x14ac:dyDescent="0.35">
      <c r="A361" t="s">
        <v>12</v>
      </c>
      <c r="B361">
        <v>27</v>
      </c>
      <c r="C361">
        <v>424</v>
      </c>
      <c r="D361">
        <v>307</v>
      </c>
      <c r="E361">
        <v>117</v>
      </c>
      <c r="F361">
        <v>0</v>
      </c>
      <c r="G361">
        <v>16</v>
      </c>
      <c r="H361">
        <v>205</v>
      </c>
      <c r="I361">
        <v>159</v>
      </c>
      <c r="J361">
        <v>46</v>
      </c>
      <c r="K361">
        <v>0</v>
      </c>
      <c r="L361">
        <f t="shared" si="26"/>
        <v>11</v>
      </c>
      <c r="M361">
        <f t="shared" si="27"/>
        <v>219</v>
      </c>
      <c r="N361">
        <f t="shared" si="28"/>
        <v>148</v>
      </c>
      <c r="O361">
        <f t="shared" si="29"/>
        <v>71</v>
      </c>
      <c r="P361">
        <f t="shared" si="25"/>
        <v>0</v>
      </c>
      <c r="Q361" t="s">
        <v>7</v>
      </c>
    </row>
    <row r="362" spans="1:17" x14ac:dyDescent="0.35">
      <c r="A362" t="s">
        <v>11</v>
      </c>
      <c r="B362">
        <v>23</v>
      </c>
      <c r="C362">
        <v>377</v>
      </c>
      <c r="D362">
        <v>275</v>
      </c>
      <c r="E362">
        <v>102</v>
      </c>
      <c r="F362">
        <v>0</v>
      </c>
      <c r="G362">
        <v>17</v>
      </c>
      <c r="H362">
        <v>397</v>
      </c>
      <c r="I362">
        <v>248</v>
      </c>
      <c r="J362">
        <v>149</v>
      </c>
      <c r="K362">
        <v>1</v>
      </c>
      <c r="L362">
        <f t="shared" si="26"/>
        <v>6</v>
      </c>
      <c r="M362">
        <f t="shared" si="27"/>
        <v>-20</v>
      </c>
      <c r="N362">
        <f t="shared" si="28"/>
        <v>27</v>
      </c>
      <c r="O362">
        <f t="shared" si="29"/>
        <v>-47</v>
      </c>
      <c r="P362">
        <f t="shared" si="25"/>
        <v>-1</v>
      </c>
      <c r="Q362" t="s">
        <v>7</v>
      </c>
    </row>
    <row r="363" spans="1:17" x14ac:dyDescent="0.35">
      <c r="A363" t="s">
        <v>11</v>
      </c>
      <c r="B363">
        <v>25</v>
      </c>
      <c r="C363">
        <v>379</v>
      </c>
      <c r="D363">
        <v>264</v>
      </c>
      <c r="E363">
        <v>115</v>
      </c>
      <c r="F363">
        <v>0</v>
      </c>
      <c r="G363">
        <v>16</v>
      </c>
      <c r="H363">
        <v>329</v>
      </c>
      <c r="I363">
        <v>288</v>
      </c>
      <c r="J363">
        <v>41</v>
      </c>
      <c r="K363">
        <v>3</v>
      </c>
      <c r="L363">
        <f t="shared" si="26"/>
        <v>9</v>
      </c>
      <c r="M363">
        <f t="shared" si="27"/>
        <v>50</v>
      </c>
      <c r="N363">
        <f t="shared" si="28"/>
        <v>-24</v>
      </c>
      <c r="O363">
        <f t="shared" si="29"/>
        <v>74</v>
      </c>
      <c r="P363">
        <f t="shared" si="25"/>
        <v>-3</v>
      </c>
      <c r="Q363" t="s">
        <v>7</v>
      </c>
    </row>
    <row r="364" spans="1:17" x14ac:dyDescent="0.35">
      <c r="A364" t="s">
        <v>12</v>
      </c>
      <c r="B364">
        <v>19</v>
      </c>
      <c r="C364">
        <v>324</v>
      </c>
      <c r="D364">
        <v>227</v>
      </c>
      <c r="E364">
        <v>97</v>
      </c>
      <c r="F364">
        <v>2</v>
      </c>
      <c r="G364">
        <v>22</v>
      </c>
      <c r="H364">
        <v>362</v>
      </c>
      <c r="I364">
        <v>226</v>
      </c>
      <c r="J364">
        <v>136</v>
      </c>
      <c r="K364">
        <v>1</v>
      </c>
      <c r="L364">
        <f t="shared" si="26"/>
        <v>-3</v>
      </c>
      <c r="M364">
        <f t="shared" si="27"/>
        <v>-38</v>
      </c>
      <c r="N364">
        <f t="shared" si="28"/>
        <v>1</v>
      </c>
      <c r="O364">
        <f t="shared" si="29"/>
        <v>-39</v>
      </c>
      <c r="P364">
        <f t="shared" si="25"/>
        <v>1</v>
      </c>
      <c r="Q364" t="s">
        <v>5</v>
      </c>
    </row>
    <row r="365" spans="1:17" x14ac:dyDescent="0.35">
      <c r="A365" t="s">
        <v>11</v>
      </c>
      <c r="B365">
        <v>25</v>
      </c>
      <c r="C365">
        <v>470</v>
      </c>
      <c r="D365">
        <v>319</v>
      </c>
      <c r="E365">
        <v>151</v>
      </c>
      <c r="F365">
        <v>2</v>
      </c>
      <c r="G365">
        <v>23</v>
      </c>
      <c r="H365">
        <v>494</v>
      </c>
      <c r="I365">
        <v>405</v>
      </c>
      <c r="J365">
        <v>89</v>
      </c>
      <c r="K365">
        <v>0</v>
      </c>
      <c r="L365">
        <f t="shared" si="26"/>
        <v>2</v>
      </c>
      <c r="M365">
        <f t="shared" si="27"/>
        <v>-24</v>
      </c>
      <c r="N365">
        <f t="shared" si="28"/>
        <v>-86</v>
      </c>
      <c r="O365">
        <f t="shared" si="29"/>
        <v>62</v>
      </c>
      <c r="P365">
        <f t="shared" si="25"/>
        <v>2</v>
      </c>
      <c r="Q365" t="s">
        <v>5</v>
      </c>
    </row>
    <row r="366" spans="1:17" x14ac:dyDescent="0.35">
      <c r="A366" t="s">
        <v>12</v>
      </c>
      <c r="B366">
        <v>21</v>
      </c>
      <c r="C366">
        <v>370</v>
      </c>
      <c r="D366">
        <v>241</v>
      </c>
      <c r="E366">
        <v>129</v>
      </c>
      <c r="F366">
        <v>2</v>
      </c>
      <c r="G366">
        <v>24</v>
      </c>
      <c r="H366">
        <v>388</v>
      </c>
      <c r="I366">
        <v>237</v>
      </c>
      <c r="J366">
        <v>151</v>
      </c>
      <c r="K366">
        <v>0</v>
      </c>
      <c r="L366">
        <f t="shared" si="26"/>
        <v>-3</v>
      </c>
      <c r="M366">
        <f t="shared" si="27"/>
        <v>-18</v>
      </c>
      <c r="N366">
        <f t="shared" si="28"/>
        <v>4</v>
      </c>
      <c r="O366">
        <f t="shared" si="29"/>
        <v>-22</v>
      </c>
      <c r="P366">
        <f t="shared" si="25"/>
        <v>2</v>
      </c>
      <c r="Q366" t="s">
        <v>5</v>
      </c>
    </row>
    <row r="367" spans="1:17" x14ac:dyDescent="0.35">
      <c r="A367" t="s">
        <v>11</v>
      </c>
      <c r="B367">
        <v>17</v>
      </c>
      <c r="C367">
        <v>384</v>
      </c>
      <c r="D367">
        <v>312</v>
      </c>
      <c r="E367">
        <v>72</v>
      </c>
      <c r="F367">
        <v>2</v>
      </c>
      <c r="G367">
        <v>24</v>
      </c>
      <c r="H367">
        <v>499</v>
      </c>
      <c r="I367">
        <v>355</v>
      </c>
      <c r="J367">
        <v>144</v>
      </c>
      <c r="K367">
        <v>1</v>
      </c>
      <c r="L367">
        <f t="shared" si="26"/>
        <v>-7</v>
      </c>
      <c r="M367">
        <f t="shared" si="27"/>
        <v>-115</v>
      </c>
      <c r="N367">
        <f t="shared" si="28"/>
        <v>-43</v>
      </c>
      <c r="O367">
        <f t="shared" si="29"/>
        <v>-72</v>
      </c>
      <c r="P367">
        <f t="shared" si="25"/>
        <v>1</v>
      </c>
      <c r="Q367" t="s">
        <v>7</v>
      </c>
    </row>
    <row r="368" spans="1:17" x14ac:dyDescent="0.35">
      <c r="A368" t="s">
        <v>12</v>
      </c>
      <c r="B368">
        <v>24</v>
      </c>
      <c r="C368">
        <v>389</v>
      </c>
      <c r="D368">
        <v>225</v>
      </c>
      <c r="E368">
        <v>164</v>
      </c>
      <c r="F368">
        <v>4</v>
      </c>
      <c r="G368">
        <v>8</v>
      </c>
      <c r="H368">
        <v>176</v>
      </c>
      <c r="I368">
        <v>121</v>
      </c>
      <c r="J368">
        <v>55</v>
      </c>
      <c r="K368">
        <v>4</v>
      </c>
      <c r="L368">
        <f t="shared" si="26"/>
        <v>16</v>
      </c>
      <c r="M368">
        <f t="shared" si="27"/>
        <v>213</v>
      </c>
      <c r="N368">
        <f t="shared" si="28"/>
        <v>104</v>
      </c>
      <c r="O368">
        <f t="shared" si="29"/>
        <v>109</v>
      </c>
      <c r="P368">
        <f t="shared" si="25"/>
        <v>0</v>
      </c>
      <c r="Q368" t="s">
        <v>7</v>
      </c>
    </row>
    <row r="369" spans="1:17" x14ac:dyDescent="0.35">
      <c r="A369" t="s">
        <v>12</v>
      </c>
      <c r="B369">
        <v>18</v>
      </c>
      <c r="C369">
        <v>211</v>
      </c>
      <c r="D369">
        <v>147</v>
      </c>
      <c r="E369">
        <v>64</v>
      </c>
      <c r="F369">
        <v>1</v>
      </c>
      <c r="G369">
        <v>22</v>
      </c>
      <c r="H369">
        <v>490</v>
      </c>
      <c r="I369">
        <v>279</v>
      </c>
      <c r="J369">
        <v>211</v>
      </c>
      <c r="K369">
        <v>1</v>
      </c>
      <c r="L369">
        <f t="shared" si="26"/>
        <v>-4</v>
      </c>
      <c r="M369">
        <f t="shared" si="27"/>
        <v>-279</v>
      </c>
      <c r="N369">
        <f t="shared" si="28"/>
        <v>-132</v>
      </c>
      <c r="O369">
        <f t="shared" si="29"/>
        <v>-147</v>
      </c>
      <c r="P369">
        <f t="shared" si="25"/>
        <v>0</v>
      </c>
      <c r="Q369" t="s">
        <v>5</v>
      </c>
    </row>
    <row r="370" spans="1:17" x14ac:dyDescent="0.35">
      <c r="A370" t="s">
        <v>11</v>
      </c>
      <c r="B370">
        <v>10</v>
      </c>
      <c r="C370">
        <v>213</v>
      </c>
      <c r="D370">
        <v>161</v>
      </c>
      <c r="E370">
        <v>52</v>
      </c>
      <c r="F370">
        <v>4</v>
      </c>
      <c r="G370">
        <v>27</v>
      </c>
      <c r="H370">
        <v>427</v>
      </c>
      <c r="I370">
        <v>313</v>
      </c>
      <c r="J370">
        <v>114</v>
      </c>
      <c r="K370">
        <v>2</v>
      </c>
      <c r="L370">
        <f t="shared" si="26"/>
        <v>-17</v>
      </c>
      <c r="M370">
        <f t="shared" si="27"/>
        <v>-214</v>
      </c>
      <c r="N370">
        <f t="shared" si="28"/>
        <v>-152</v>
      </c>
      <c r="O370">
        <f t="shared" si="29"/>
        <v>-62</v>
      </c>
      <c r="P370">
        <f t="shared" si="25"/>
        <v>2</v>
      </c>
      <c r="Q370" t="s">
        <v>5</v>
      </c>
    </row>
    <row r="371" spans="1:17" x14ac:dyDescent="0.35">
      <c r="A371" t="s">
        <v>12</v>
      </c>
      <c r="B371">
        <v>21</v>
      </c>
      <c r="C371">
        <v>263</v>
      </c>
      <c r="D371">
        <v>156</v>
      </c>
      <c r="E371">
        <v>107</v>
      </c>
      <c r="F371">
        <v>3</v>
      </c>
      <c r="G371">
        <v>18</v>
      </c>
      <c r="H371">
        <v>245</v>
      </c>
      <c r="I371">
        <v>89</v>
      </c>
      <c r="J371">
        <v>156</v>
      </c>
      <c r="K371">
        <v>0</v>
      </c>
      <c r="L371">
        <f t="shared" si="26"/>
        <v>3</v>
      </c>
      <c r="M371">
        <f t="shared" si="27"/>
        <v>18</v>
      </c>
      <c r="N371">
        <f t="shared" si="28"/>
        <v>67</v>
      </c>
      <c r="O371">
        <f t="shared" si="29"/>
        <v>-49</v>
      </c>
      <c r="P371">
        <f t="shared" si="25"/>
        <v>3</v>
      </c>
      <c r="Q371" t="s">
        <v>5</v>
      </c>
    </row>
    <row r="372" spans="1:17" x14ac:dyDescent="0.35">
      <c r="A372" t="s">
        <v>11</v>
      </c>
      <c r="B372">
        <v>24</v>
      </c>
      <c r="C372">
        <v>370</v>
      </c>
      <c r="D372">
        <v>290</v>
      </c>
      <c r="E372">
        <v>80</v>
      </c>
      <c r="F372">
        <v>1</v>
      </c>
      <c r="G372">
        <v>17</v>
      </c>
      <c r="H372">
        <v>375</v>
      </c>
      <c r="I372">
        <v>316</v>
      </c>
      <c r="J372">
        <v>59</v>
      </c>
      <c r="K372">
        <v>2</v>
      </c>
      <c r="L372">
        <f t="shared" si="26"/>
        <v>7</v>
      </c>
      <c r="M372">
        <f t="shared" si="27"/>
        <v>-5</v>
      </c>
      <c r="N372">
        <f t="shared" si="28"/>
        <v>-26</v>
      </c>
      <c r="O372">
        <f t="shared" si="29"/>
        <v>21</v>
      </c>
      <c r="P372">
        <f t="shared" si="25"/>
        <v>-1</v>
      </c>
      <c r="Q372" t="s">
        <v>5</v>
      </c>
    </row>
    <row r="373" spans="1:17" x14ac:dyDescent="0.35">
      <c r="A373" t="s">
        <v>12</v>
      </c>
      <c r="B373">
        <v>20</v>
      </c>
      <c r="C373">
        <v>271</v>
      </c>
      <c r="D373">
        <v>171</v>
      </c>
      <c r="E373">
        <v>100</v>
      </c>
      <c r="F373">
        <v>3</v>
      </c>
      <c r="G373">
        <v>24</v>
      </c>
      <c r="H373">
        <v>429</v>
      </c>
      <c r="I373">
        <v>257</v>
      </c>
      <c r="J373">
        <v>172</v>
      </c>
      <c r="K373">
        <v>2</v>
      </c>
      <c r="L373">
        <f t="shared" si="26"/>
        <v>-4</v>
      </c>
      <c r="M373">
        <f t="shared" si="27"/>
        <v>-158</v>
      </c>
      <c r="N373">
        <f t="shared" si="28"/>
        <v>-86</v>
      </c>
      <c r="O373">
        <f t="shared" si="29"/>
        <v>-72</v>
      </c>
      <c r="P373">
        <f t="shared" si="25"/>
        <v>1</v>
      </c>
      <c r="Q373" t="s">
        <v>5</v>
      </c>
    </row>
    <row r="374" spans="1:17" x14ac:dyDescent="0.35">
      <c r="A374" t="s">
        <v>11</v>
      </c>
      <c r="B374">
        <v>15</v>
      </c>
      <c r="C374">
        <v>281</v>
      </c>
      <c r="D374">
        <v>258</v>
      </c>
      <c r="E374">
        <v>23</v>
      </c>
      <c r="F374">
        <v>2</v>
      </c>
      <c r="G374">
        <v>18</v>
      </c>
      <c r="H374">
        <v>294</v>
      </c>
      <c r="I374">
        <v>218</v>
      </c>
      <c r="J374">
        <v>76</v>
      </c>
      <c r="K374">
        <v>0</v>
      </c>
      <c r="L374">
        <f t="shared" si="26"/>
        <v>-3</v>
      </c>
      <c r="M374">
        <f t="shared" si="27"/>
        <v>-13</v>
      </c>
      <c r="N374">
        <f t="shared" si="28"/>
        <v>40</v>
      </c>
      <c r="O374">
        <f t="shared" si="29"/>
        <v>-53</v>
      </c>
      <c r="P374">
        <f t="shared" si="25"/>
        <v>2</v>
      </c>
      <c r="Q374" t="s">
        <v>5</v>
      </c>
    </row>
    <row r="375" spans="1:17" x14ac:dyDescent="0.35">
      <c r="A375" t="s">
        <v>11</v>
      </c>
      <c r="B375">
        <v>14</v>
      </c>
      <c r="C375">
        <v>243</v>
      </c>
      <c r="D375">
        <v>134</v>
      </c>
      <c r="E375">
        <v>109</v>
      </c>
      <c r="F375">
        <v>1</v>
      </c>
      <c r="G375">
        <v>20</v>
      </c>
      <c r="H375">
        <v>335</v>
      </c>
      <c r="I375">
        <v>270</v>
      </c>
      <c r="J375">
        <v>65</v>
      </c>
      <c r="K375">
        <v>2</v>
      </c>
      <c r="L375">
        <f t="shared" si="26"/>
        <v>-6</v>
      </c>
      <c r="M375">
        <f t="shared" si="27"/>
        <v>-92</v>
      </c>
      <c r="N375">
        <f t="shared" si="28"/>
        <v>-136</v>
      </c>
      <c r="O375">
        <f t="shared" si="29"/>
        <v>44</v>
      </c>
      <c r="P375">
        <f t="shared" si="25"/>
        <v>-1</v>
      </c>
      <c r="Q375" t="s">
        <v>5</v>
      </c>
    </row>
    <row r="376" spans="1:17" x14ac:dyDescent="0.35">
      <c r="A376" t="s">
        <v>12</v>
      </c>
      <c r="B376">
        <v>20</v>
      </c>
      <c r="C376">
        <v>335</v>
      </c>
      <c r="D376">
        <v>240</v>
      </c>
      <c r="E376">
        <v>95</v>
      </c>
      <c r="F376">
        <v>3</v>
      </c>
      <c r="G376">
        <v>19</v>
      </c>
      <c r="H376">
        <v>322</v>
      </c>
      <c r="I376">
        <v>243</v>
      </c>
      <c r="J376">
        <v>79</v>
      </c>
      <c r="K376">
        <v>0</v>
      </c>
      <c r="L376">
        <f t="shared" si="26"/>
        <v>1</v>
      </c>
      <c r="M376">
        <f t="shared" si="27"/>
        <v>13</v>
      </c>
      <c r="N376">
        <f t="shared" si="28"/>
        <v>-3</v>
      </c>
      <c r="O376">
        <f t="shared" si="29"/>
        <v>16</v>
      </c>
      <c r="P376">
        <f t="shared" si="25"/>
        <v>3</v>
      </c>
      <c r="Q376" t="s">
        <v>5</v>
      </c>
    </row>
    <row r="377" spans="1:17" x14ac:dyDescent="0.35">
      <c r="A377" t="s">
        <v>11</v>
      </c>
      <c r="B377">
        <v>11</v>
      </c>
      <c r="C377">
        <v>255</v>
      </c>
      <c r="D377">
        <v>182</v>
      </c>
      <c r="E377">
        <v>73</v>
      </c>
      <c r="F377">
        <v>0</v>
      </c>
      <c r="G377">
        <v>27</v>
      </c>
      <c r="H377">
        <v>418</v>
      </c>
      <c r="I377">
        <v>300</v>
      </c>
      <c r="J377">
        <v>118</v>
      </c>
      <c r="K377">
        <v>1</v>
      </c>
      <c r="L377">
        <f t="shared" si="26"/>
        <v>-16</v>
      </c>
      <c r="M377">
        <f t="shared" si="27"/>
        <v>-163</v>
      </c>
      <c r="N377">
        <f t="shared" si="28"/>
        <v>-118</v>
      </c>
      <c r="O377">
        <f t="shared" si="29"/>
        <v>-45</v>
      </c>
      <c r="P377">
        <f t="shared" si="25"/>
        <v>-1</v>
      </c>
      <c r="Q377" t="s">
        <v>5</v>
      </c>
    </row>
    <row r="378" spans="1:17" x14ac:dyDescent="0.35">
      <c r="A378" t="s">
        <v>12</v>
      </c>
      <c r="B378">
        <v>24</v>
      </c>
      <c r="C378">
        <v>412</v>
      </c>
      <c r="D378">
        <v>274</v>
      </c>
      <c r="E378">
        <v>138</v>
      </c>
      <c r="F378">
        <v>3</v>
      </c>
      <c r="G378">
        <v>22</v>
      </c>
      <c r="H378">
        <v>384</v>
      </c>
      <c r="I378">
        <v>262</v>
      </c>
      <c r="J378">
        <v>122</v>
      </c>
      <c r="K378">
        <v>1</v>
      </c>
      <c r="L378">
        <f t="shared" si="26"/>
        <v>2</v>
      </c>
      <c r="M378">
        <f t="shared" si="27"/>
        <v>28</v>
      </c>
      <c r="N378">
        <f t="shared" si="28"/>
        <v>12</v>
      </c>
      <c r="O378">
        <f t="shared" si="29"/>
        <v>16</v>
      </c>
      <c r="P378">
        <f t="shared" si="25"/>
        <v>2</v>
      </c>
      <c r="Q378" t="s">
        <v>7</v>
      </c>
    </row>
    <row r="379" spans="1:17" x14ac:dyDescent="0.35">
      <c r="A379" t="s">
        <v>11</v>
      </c>
      <c r="B379">
        <v>28</v>
      </c>
      <c r="C379">
        <v>552</v>
      </c>
      <c r="D379">
        <v>346</v>
      </c>
      <c r="E379">
        <v>206</v>
      </c>
      <c r="F379">
        <v>0</v>
      </c>
      <c r="G379">
        <v>25</v>
      </c>
      <c r="H379">
        <v>361</v>
      </c>
      <c r="I379">
        <v>281</v>
      </c>
      <c r="J379">
        <v>80</v>
      </c>
      <c r="K379">
        <v>0</v>
      </c>
      <c r="L379">
        <f t="shared" si="26"/>
        <v>3</v>
      </c>
      <c r="M379">
        <f t="shared" si="27"/>
        <v>191</v>
      </c>
      <c r="N379">
        <f t="shared" si="28"/>
        <v>65</v>
      </c>
      <c r="O379">
        <f t="shared" si="29"/>
        <v>126</v>
      </c>
      <c r="P379">
        <f t="shared" si="25"/>
        <v>0</v>
      </c>
      <c r="Q379" t="s">
        <v>7</v>
      </c>
    </row>
    <row r="380" spans="1:17" x14ac:dyDescent="0.35">
      <c r="A380" t="s">
        <v>12</v>
      </c>
      <c r="B380">
        <v>19</v>
      </c>
      <c r="C380">
        <v>397</v>
      </c>
      <c r="D380">
        <v>275</v>
      </c>
      <c r="E380">
        <v>122</v>
      </c>
      <c r="F380">
        <v>2</v>
      </c>
      <c r="G380">
        <v>25</v>
      </c>
      <c r="H380">
        <v>400</v>
      </c>
      <c r="I380">
        <v>279</v>
      </c>
      <c r="J380">
        <v>121</v>
      </c>
      <c r="K380">
        <v>0</v>
      </c>
      <c r="L380">
        <f t="shared" si="26"/>
        <v>-6</v>
      </c>
      <c r="M380">
        <f t="shared" si="27"/>
        <v>-3</v>
      </c>
      <c r="N380">
        <f t="shared" si="28"/>
        <v>-4</v>
      </c>
      <c r="O380">
        <f t="shared" si="29"/>
        <v>1</v>
      </c>
      <c r="P380">
        <f t="shared" si="25"/>
        <v>2</v>
      </c>
      <c r="Q380" t="s">
        <v>5</v>
      </c>
    </row>
    <row r="381" spans="1:17" x14ac:dyDescent="0.35">
      <c r="A381" t="s">
        <v>12</v>
      </c>
      <c r="B381">
        <v>17</v>
      </c>
      <c r="C381">
        <v>223</v>
      </c>
      <c r="D381">
        <v>155</v>
      </c>
      <c r="E381">
        <v>68</v>
      </c>
      <c r="F381">
        <v>1</v>
      </c>
      <c r="G381">
        <v>23</v>
      </c>
      <c r="H381">
        <v>370</v>
      </c>
      <c r="I381">
        <v>242</v>
      </c>
      <c r="J381">
        <v>128</v>
      </c>
      <c r="K381">
        <v>4</v>
      </c>
      <c r="L381">
        <f t="shared" si="26"/>
        <v>-6</v>
      </c>
      <c r="M381">
        <f t="shared" si="27"/>
        <v>-147</v>
      </c>
      <c r="N381">
        <f t="shared" si="28"/>
        <v>-87</v>
      </c>
      <c r="O381">
        <f t="shared" si="29"/>
        <v>-60</v>
      </c>
      <c r="P381">
        <f t="shared" si="25"/>
        <v>-3</v>
      </c>
      <c r="Q381" t="s">
        <v>5</v>
      </c>
    </row>
    <row r="382" spans="1:17" x14ac:dyDescent="0.35">
      <c r="A382" t="s">
        <v>12</v>
      </c>
      <c r="B382">
        <v>13</v>
      </c>
      <c r="C382">
        <v>262</v>
      </c>
      <c r="D382">
        <v>169</v>
      </c>
      <c r="E382">
        <v>93</v>
      </c>
      <c r="F382">
        <v>1</v>
      </c>
      <c r="G382">
        <v>16</v>
      </c>
      <c r="H382">
        <v>375</v>
      </c>
      <c r="I382">
        <v>305</v>
      </c>
      <c r="J382">
        <v>70</v>
      </c>
      <c r="K382">
        <v>1</v>
      </c>
      <c r="L382">
        <f t="shared" si="26"/>
        <v>-3</v>
      </c>
      <c r="M382">
        <f t="shared" si="27"/>
        <v>-113</v>
      </c>
      <c r="N382">
        <f t="shared" si="28"/>
        <v>-136</v>
      </c>
      <c r="O382">
        <f t="shared" si="29"/>
        <v>23</v>
      </c>
      <c r="P382">
        <f t="shared" si="25"/>
        <v>0</v>
      </c>
      <c r="Q382" t="s">
        <v>5</v>
      </c>
    </row>
    <row r="383" spans="1:17" x14ac:dyDescent="0.35">
      <c r="A383" t="s">
        <v>11</v>
      </c>
      <c r="B383">
        <v>6</v>
      </c>
      <c r="C383">
        <v>105</v>
      </c>
      <c r="D383">
        <v>69</v>
      </c>
      <c r="E383">
        <v>36</v>
      </c>
      <c r="F383">
        <v>1</v>
      </c>
      <c r="G383">
        <v>21</v>
      </c>
      <c r="H383">
        <v>381</v>
      </c>
      <c r="I383">
        <v>313</v>
      </c>
      <c r="J383">
        <v>68</v>
      </c>
      <c r="K383">
        <v>2</v>
      </c>
      <c r="L383">
        <f t="shared" si="26"/>
        <v>-15</v>
      </c>
      <c r="M383">
        <f t="shared" si="27"/>
        <v>-276</v>
      </c>
      <c r="N383">
        <f t="shared" si="28"/>
        <v>-244</v>
      </c>
      <c r="O383">
        <f t="shared" si="29"/>
        <v>-32</v>
      </c>
      <c r="P383">
        <f t="shared" si="25"/>
        <v>-1</v>
      </c>
      <c r="Q383" t="s">
        <v>5</v>
      </c>
    </row>
    <row r="384" spans="1:17" x14ac:dyDescent="0.35">
      <c r="A384" t="s">
        <v>11</v>
      </c>
      <c r="B384">
        <v>9</v>
      </c>
      <c r="C384">
        <v>128</v>
      </c>
      <c r="D384">
        <v>61</v>
      </c>
      <c r="E384">
        <v>67</v>
      </c>
      <c r="F384">
        <v>3</v>
      </c>
      <c r="G384">
        <v>17</v>
      </c>
      <c r="H384">
        <v>265</v>
      </c>
      <c r="I384">
        <v>181</v>
      </c>
      <c r="J384">
        <v>84</v>
      </c>
      <c r="K384">
        <v>1</v>
      </c>
      <c r="L384">
        <f t="shared" si="26"/>
        <v>-8</v>
      </c>
      <c r="M384">
        <f t="shared" si="27"/>
        <v>-137</v>
      </c>
      <c r="N384">
        <f t="shared" si="28"/>
        <v>-120</v>
      </c>
      <c r="O384">
        <f t="shared" si="29"/>
        <v>-17</v>
      </c>
      <c r="P384">
        <f t="shared" si="25"/>
        <v>2</v>
      </c>
      <c r="Q384" t="s">
        <v>5</v>
      </c>
    </row>
    <row r="385" spans="1:17" x14ac:dyDescent="0.35">
      <c r="A385" t="s">
        <v>12</v>
      </c>
      <c r="B385">
        <v>20</v>
      </c>
      <c r="C385">
        <v>382</v>
      </c>
      <c r="D385">
        <v>326</v>
      </c>
      <c r="E385">
        <v>56</v>
      </c>
      <c r="F385">
        <v>1</v>
      </c>
      <c r="G385">
        <v>26</v>
      </c>
      <c r="H385">
        <v>399</v>
      </c>
      <c r="I385">
        <v>270</v>
      </c>
      <c r="J385">
        <v>129</v>
      </c>
      <c r="K385">
        <v>0</v>
      </c>
      <c r="L385">
        <f t="shared" si="26"/>
        <v>-6</v>
      </c>
      <c r="M385">
        <f t="shared" si="27"/>
        <v>-17</v>
      </c>
      <c r="N385">
        <f t="shared" si="28"/>
        <v>56</v>
      </c>
      <c r="O385">
        <f t="shared" si="29"/>
        <v>-73</v>
      </c>
      <c r="P385">
        <f t="shared" si="25"/>
        <v>1</v>
      </c>
      <c r="Q385" t="s">
        <v>7</v>
      </c>
    </row>
    <row r="386" spans="1:17" x14ac:dyDescent="0.35">
      <c r="A386" t="s">
        <v>12</v>
      </c>
      <c r="B386">
        <v>12</v>
      </c>
      <c r="C386">
        <v>154</v>
      </c>
      <c r="D386">
        <v>73</v>
      </c>
      <c r="E386">
        <v>81</v>
      </c>
      <c r="F386">
        <v>6</v>
      </c>
      <c r="G386">
        <v>22</v>
      </c>
      <c r="H386">
        <v>323</v>
      </c>
      <c r="I386">
        <v>249</v>
      </c>
      <c r="J386">
        <v>74</v>
      </c>
      <c r="K386">
        <v>1</v>
      </c>
      <c r="L386">
        <f t="shared" si="26"/>
        <v>-10</v>
      </c>
      <c r="M386">
        <f t="shared" si="27"/>
        <v>-169</v>
      </c>
      <c r="N386">
        <f t="shared" si="28"/>
        <v>-176</v>
      </c>
      <c r="O386">
        <f t="shared" si="29"/>
        <v>7</v>
      </c>
      <c r="P386">
        <f t="shared" ref="P386:P449" si="30">F386-K386</f>
        <v>5</v>
      </c>
      <c r="Q386" t="s">
        <v>5</v>
      </c>
    </row>
    <row r="387" spans="1:17" x14ac:dyDescent="0.35">
      <c r="A387" t="s">
        <v>11</v>
      </c>
      <c r="B387">
        <v>15</v>
      </c>
      <c r="C387">
        <v>213</v>
      </c>
      <c r="D387">
        <v>167</v>
      </c>
      <c r="E387">
        <v>46</v>
      </c>
      <c r="F387">
        <v>3</v>
      </c>
      <c r="G387">
        <v>21</v>
      </c>
      <c r="H387">
        <v>389</v>
      </c>
      <c r="I387">
        <v>278</v>
      </c>
      <c r="J387">
        <v>111</v>
      </c>
      <c r="K387">
        <v>1</v>
      </c>
      <c r="L387">
        <f t="shared" ref="L387:L450" si="31">B387-G387</f>
        <v>-6</v>
      </c>
      <c r="M387">
        <f t="shared" ref="M387:M450" si="32">C387-H387</f>
        <v>-176</v>
      </c>
      <c r="N387">
        <f t="shared" ref="N387:N450" si="33">D387-I387</f>
        <v>-111</v>
      </c>
      <c r="O387">
        <f t="shared" ref="O387:O450" si="34">E387-J387</f>
        <v>-65</v>
      </c>
      <c r="P387">
        <f t="shared" si="30"/>
        <v>2</v>
      </c>
      <c r="Q387" t="s">
        <v>5</v>
      </c>
    </row>
    <row r="388" spans="1:17" x14ac:dyDescent="0.35">
      <c r="A388" t="s">
        <v>11</v>
      </c>
      <c r="B388">
        <v>17</v>
      </c>
      <c r="C388">
        <v>321</v>
      </c>
      <c r="D388">
        <v>238</v>
      </c>
      <c r="E388">
        <v>83</v>
      </c>
      <c r="F388">
        <v>1</v>
      </c>
      <c r="G388">
        <v>22</v>
      </c>
      <c r="H388">
        <v>316</v>
      </c>
      <c r="I388">
        <v>266</v>
      </c>
      <c r="J388">
        <v>50</v>
      </c>
      <c r="K388">
        <v>0</v>
      </c>
      <c r="L388">
        <f t="shared" si="31"/>
        <v>-5</v>
      </c>
      <c r="M388">
        <f t="shared" si="32"/>
        <v>5</v>
      </c>
      <c r="N388">
        <f t="shared" si="33"/>
        <v>-28</v>
      </c>
      <c r="O388">
        <f t="shared" si="34"/>
        <v>33</v>
      </c>
      <c r="P388">
        <f t="shared" si="30"/>
        <v>1</v>
      </c>
      <c r="Q388" t="s">
        <v>5</v>
      </c>
    </row>
    <row r="389" spans="1:17" x14ac:dyDescent="0.35">
      <c r="A389" t="s">
        <v>12</v>
      </c>
      <c r="B389">
        <v>18</v>
      </c>
      <c r="C389">
        <v>294</v>
      </c>
      <c r="D389">
        <v>218</v>
      </c>
      <c r="E389">
        <v>76</v>
      </c>
      <c r="F389">
        <v>0</v>
      </c>
      <c r="G389">
        <v>15</v>
      </c>
      <c r="H389">
        <v>281</v>
      </c>
      <c r="I389">
        <v>258</v>
      </c>
      <c r="J389">
        <v>23</v>
      </c>
      <c r="K389">
        <v>2</v>
      </c>
      <c r="L389">
        <f t="shared" si="31"/>
        <v>3</v>
      </c>
      <c r="M389">
        <f t="shared" si="32"/>
        <v>13</v>
      </c>
      <c r="N389">
        <f t="shared" si="33"/>
        <v>-40</v>
      </c>
      <c r="O389">
        <f t="shared" si="34"/>
        <v>53</v>
      </c>
      <c r="P389">
        <f t="shared" si="30"/>
        <v>-2</v>
      </c>
      <c r="Q389" t="s">
        <v>7</v>
      </c>
    </row>
    <row r="390" spans="1:17" x14ac:dyDescent="0.35">
      <c r="A390" t="s">
        <v>11</v>
      </c>
      <c r="B390">
        <v>23</v>
      </c>
      <c r="C390">
        <v>400</v>
      </c>
      <c r="D390">
        <v>285</v>
      </c>
      <c r="E390">
        <v>115</v>
      </c>
      <c r="F390">
        <v>2</v>
      </c>
      <c r="G390">
        <v>13</v>
      </c>
      <c r="H390">
        <v>225</v>
      </c>
      <c r="I390">
        <v>171</v>
      </c>
      <c r="J390">
        <v>54</v>
      </c>
      <c r="K390">
        <v>1</v>
      </c>
      <c r="L390">
        <f t="shared" si="31"/>
        <v>10</v>
      </c>
      <c r="M390">
        <f t="shared" si="32"/>
        <v>175</v>
      </c>
      <c r="N390">
        <f t="shared" si="33"/>
        <v>114</v>
      </c>
      <c r="O390">
        <f t="shared" si="34"/>
        <v>61</v>
      </c>
      <c r="P390">
        <f t="shared" si="30"/>
        <v>1</v>
      </c>
      <c r="Q390" t="s">
        <v>7</v>
      </c>
    </row>
    <row r="391" spans="1:17" x14ac:dyDescent="0.35">
      <c r="A391" t="s">
        <v>12</v>
      </c>
      <c r="B391">
        <v>21</v>
      </c>
      <c r="C391">
        <v>401</v>
      </c>
      <c r="D391">
        <v>313</v>
      </c>
      <c r="E391">
        <v>88</v>
      </c>
      <c r="F391">
        <v>1</v>
      </c>
      <c r="G391">
        <v>10</v>
      </c>
      <c r="H391">
        <v>208</v>
      </c>
      <c r="I391">
        <v>140</v>
      </c>
      <c r="J391">
        <v>68</v>
      </c>
      <c r="K391">
        <v>2</v>
      </c>
      <c r="L391">
        <f t="shared" si="31"/>
        <v>11</v>
      </c>
      <c r="M391">
        <f t="shared" si="32"/>
        <v>193</v>
      </c>
      <c r="N391">
        <f t="shared" si="33"/>
        <v>173</v>
      </c>
      <c r="O391">
        <f t="shared" si="34"/>
        <v>20</v>
      </c>
      <c r="P391">
        <f t="shared" si="30"/>
        <v>-1</v>
      </c>
      <c r="Q391" t="s">
        <v>7</v>
      </c>
    </row>
    <row r="392" spans="1:17" x14ac:dyDescent="0.35">
      <c r="A392" t="s">
        <v>11</v>
      </c>
      <c r="B392">
        <v>15</v>
      </c>
      <c r="C392">
        <v>271</v>
      </c>
      <c r="D392">
        <v>209</v>
      </c>
      <c r="E392">
        <v>62</v>
      </c>
      <c r="F392">
        <v>0</v>
      </c>
      <c r="G392">
        <v>18</v>
      </c>
      <c r="H392">
        <v>277</v>
      </c>
      <c r="I392">
        <v>233</v>
      </c>
      <c r="J392">
        <v>44</v>
      </c>
      <c r="K392">
        <v>0</v>
      </c>
      <c r="L392">
        <f t="shared" si="31"/>
        <v>-3</v>
      </c>
      <c r="M392">
        <f t="shared" si="32"/>
        <v>-6</v>
      </c>
      <c r="N392">
        <f t="shared" si="33"/>
        <v>-24</v>
      </c>
      <c r="O392">
        <f t="shared" si="34"/>
        <v>18</v>
      </c>
      <c r="P392">
        <f t="shared" si="30"/>
        <v>0</v>
      </c>
      <c r="Q392" t="s">
        <v>5</v>
      </c>
    </row>
    <row r="393" spans="1:17" x14ac:dyDescent="0.35">
      <c r="A393" t="s">
        <v>12</v>
      </c>
      <c r="B393">
        <v>22</v>
      </c>
      <c r="C393">
        <v>374</v>
      </c>
      <c r="D393">
        <v>262</v>
      </c>
      <c r="E393">
        <v>112</v>
      </c>
      <c r="F393">
        <v>1</v>
      </c>
      <c r="G393">
        <v>22</v>
      </c>
      <c r="H393">
        <v>362</v>
      </c>
      <c r="I393">
        <v>240</v>
      </c>
      <c r="J393">
        <v>122</v>
      </c>
      <c r="K393">
        <v>1</v>
      </c>
      <c r="L393">
        <f t="shared" si="31"/>
        <v>0</v>
      </c>
      <c r="M393">
        <f t="shared" si="32"/>
        <v>12</v>
      </c>
      <c r="N393">
        <f t="shared" si="33"/>
        <v>22</v>
      </c>
      <c r="O393">
        <f t="shared" si="34"/>
        <v>-10</v>
      </c>
      <c r="P393">
        <f t="shared" si="30"/>
        <v>0</v>
      </c>
      <c r="Q393" t="s">
        <v>7</v>
      </c>
    </row>
    <row r="394" spans="1:17" x14ac:dyDescent="0.35">
      <c r="A394" t="s">
        <v>11</v>
      </c>
      <c r="B394">
        <v>13</v>
      </c>
      <c r="C394">
        <v>310</v>
      </c>
      <c r="D394">
        <v>207</v>
      </c>
      <c r="E394">
        <v>103</v>
      </c>
      <c r="F394">
        <v>2</v>
      </c>
      <c r="G394">
        <v>23</v>
      </c>
      <c r="H394">
        <v>430</v>
      </c>
      <c r="I394">
        <v>212</v>
      </c>
      <c r="J394">
        <v>218</v>
      </c>
      <c r="K394">
        <v>0</v>
      </c>
      <c r="L394">
        <f t="shared" si="31"/>
        <v>-10</v>
      </c>
      <c r="M394">
        <f t="shared" si="32"/>
        <v>-120</v>
      </c>
      <c r="N394">
        <f t="shared" si="33"/>
        <v>-5</v>
      </c>
      <c r="O394">
        <f t="shared" si="34"/>
        <v>-115</v>
      </c>
      <c r="P394">
        <f t="shared" si="30"/>
        <v>2</v>
      </c>
      <c r="Q394" t="s">
        <v>5</v>
      </c>
    </row>
    <row r="395" spans="1:17" x14ac:dyDescent="0.35">
      <c r="A395" t="s">
        <v>12</v>
      </c>
      <c r="B395">
        <v>14</v>
      </c>
      <c r="C395">
        <v>259</v>
      </c>
      <c r="D395">
        <v>174</v>
      </c>
      <c r="E395">
        <v>85</v>
      </c>
      <c r="F395">
        <v>1</v>
      </c>
      <c r="G395">
        <v>16</v>
      </c>
      <c r="H395">
        <v>260</v>
      </c>
      <c r="I395">
        <v>185</v>
      </c>
      <c r="J395">
        <v>75</v>
      </c>
      <c r="K395">
        <v>2</v>
      </c>
      <c r="L395">
        <f t="shared" si="31"/>
        <v>-2</v>
      </c>
      <c r="M395">
        <f t="shared" si="32"/>
        <v>-1</v>
      </c>
      <c r="N395">
        <f t="shared" si="33"/>
        <v>-11</v>
      </c>
      <c r="O395">
        <f t="shared" si="34"/>
        <v>10</v>
      </c>
      <c r="P395">
        <f t="shared" si="30"/>
        <v>-1</v>
      </c>
      <c r="Q395" t="s">
        <v>7</v>
      </c>
    </row>
    <row r="396" spans="1:17" x14ac:dyDescent="0.35">
      <c r="A396" t="s">
        <v>11</v>
      </c>
      <c r="B396">
        <v>18</v>
      </c>
      <c r="C396">
        <v>271</v>
      </c>
      <c r="D396">
        <v>185</v>
      </c>
      <c r="E396">
        <v>86</v>
      </c>
      <c r="F396">
        <v>1</v>
      </c>
      <c r="G396">
        <v>17</v>
      </c>
      <c r="H396">
        <v>309</v>
      </c>
      <c r="I396">
        <v>236</v>
      </c>
      <c r="J396">
        <v>73</v>
      </c>
      <c r="K396">
        <v>3</v>
      </c>
      <c r="L396">
        <f t="shared" si="31"/>
        <v>1</v>
      </c>
      <c r="M396">
        <f t="shared" si="32"/>
        <v>-38</v>
      </c>
      <c r="N396">
        <f t="shared" si="33"/>
        <v>-51</v>
      </c>
      <c r="O396">
        <f t="shared" si="34"/>
        <v>13</v>
      </c>
      <c r="P396">
        <f t="shared" si="30"/>
        <v>-2</v>
      </c>
      <c r="Q396" t="s">
        <v>7</v>
      </c>
    </row>
    <row r="397" spans="1:17" x14ac:dyDescent="0.35">
      <c r="A397" t="s">
        <v>12</v>
      </c>
      <c r="B397">
        <v>19</v>
      </c>
      <c r="C397">
        <v>357</v>
      </c>
      <c r="D397">
        <v>259</v>
      </c>
      <c r="E397">
        <v>98</v>
      </c>
      <c r="F397">
        <v>0</v>
      </c>
      <c r="G397">
        <v>18</v>
      </c>
      <c r="H397">
        <v>344</v>
      </c>
      <c r="I397">
        <v>249</v>
      </c>
      <c r="J397">
        <v>95</v>
      </c>
      <c r="K397">
        <v>0</v>
      </c>
      <c r="L397">
        <f t="shared" si="31"/>
        <v>1</v>
      </c>
      <c r="M397">
        <f t="shared" si="32"/>
        <v>13</v>
      </c>
      <c r="N397">
        <f t="shared" si="33"/>
        <v>10</v>
      </c>
      <c r="O397">
        <f t="shared" si="34"/>
        <v>3</v>
      </c>
      <c r="P397">
        <f t="shared" si="30"/>
        <v>0</v>
      </c>
      <c r="Q397" t="s">
        <v>7</v>
      </c>
    </row>
    <row r="398" spans="1:17" x14ac:dyDescent="0.35">
      <c r="A398" t="s">
        <v>12</v>
      </c>
      <c r="B398">
        <v>19</v>
      </c>
      <c r="C398">
        <v>307</v>
      </c>
      <c r="D398">
        <v>178</v>
      </c>
      <c r="E398">
        <v>129</v>
      </c>
      <c r="F398">
        <v>2</v>
      </c>
      <c r="G398">
        <v>24</v>
      </c>
      <c r="H398">
        <v>467</v>
      </c>
      <c r="I398">
        <v>436</v>
      </c>
      <c r="J398">
        <v>31</v>
      </c>
      <c r="K398">
        <v>1</v>
      </c>
      <c r="L398">
        <f t="shared" si="31"/>
        <v>-5</v>
      </c>
      <c r="M398">
        <f t="shared" si="32"/>
        <v>-160</v>
      </c>
      <c r="N398">
        <f t="shared" si="33"/>
        <v>-258</v>
      </c>
      <c r="O398">
        <f t="shared" si="34"/>
        <v>98</v>
      </c>
      <c r="P398">
        <f t="shared" si="30"/>
        <v>1</v>
      </c>
      <c r="Q398" t="s">
        <v>5</v>
      </c>
    </row>
    <row r="399" spans="1:17" x14ac:dyDescent="0.35">
      <c r="A399" t="s">
        <v>11</v>
      </c>
      <c r="B399">
        <v>17</v>
      </c>
      <c r="C399">
        <v>302</v>
      </c>
      <c r="D399">
        <v>214</v>
      </c>
      <c r="E399">
        <v>88</v>
      </c>
      <c r="F399">
        <v>1</v>
      </c>
      <c r="G399">
        <v>23</v>
      </c>
      <c r="H399">
        <v>385</v>
      </c>
      <c r="I399">
        <v>174</v>
      </c>
      <c r="J399">
        <v>211</v>
      </c>
      <c r="K399">
        <v>0</v>
      </c>
      <c r="L399">
        <f t="shared" si="31"/>
        <v>-6</v>
      </c>
      <c r="M399">
        <f t="shared" si="32"/>
        <v>-83</v>
      </c>
      <c r="N399">
        <f t="shared" si="33"/>
        <v>40</v>
      </c>
      <c r="O399">
        <f t="shared" si="34"/>
        <v>-123</v>
      </c>
      <c r="P399">
        <f t="shared" si="30"/>
        <v>1</v>
      </c>
      <c r="Q399" t="s">
        <v>5</v>
      </c>
    </row>
    <row r="400" spans="1:17" x14ac:dyDescent="0.35">
      <c r="A400" t="s">
        <v>11</v>
      </c>
      <c r="B400">
        <v>21</v>
      </c>
      <c r="C400">
        <v>377</v>
      </c>
      <c r="D400">
        <v>189</v>
      </c>
      <c r="E400">
        <v>188</v>
      </c>
      <c r="F400">
        <v>1</v>
      </c>
      <c r="G400">
        <v>22</v>
      </c>
      <c r="H400">
        <v>346</v>
      </c>
      <c r="I400">
        <v>265</v>
      </c>
      <c r="J400">
        <v>81</v>
      </c>
      <c r="K400">
        <v>2</v>
      </c>
      <c r="L400">
        <f t="shared" si="31"/>
        <v>-1</v>
      </c>
      <c r="M400">
        <f t="shared" si="32"/>
        <v>31</v>
      </c>
      <c r="N400">
        <f t="shared" si="33"/>
        <v>-76</v>
      </c>
      <c r="O400">
        <f t="shared" si="34"/>
        <v>107</v>
      </c>
      <c r="P400">
        <f t="shared" si="30"/>
        <v>-1</v>
      </c>
      <c r="Q400" t="s">
        <v>7</v>
      </c>
    </row>
    <row r="401" spans="1:17" x14ac:dyDescent="0.35">
      <c r="A401" t="s">
        <v>12</v>
      </c>
      <c r="B401">
        <v>25</v>
      </c>
      <c r="C401">
        <v>398</v>
      </c>
      <c r="D401">
        <v>229</v>
      </c>
      <c r="E401">
        <v>169</v>
      </c>
      <c r="F401">
        <v>2</v>
      </c>
      <c r="G401">
        <v>15</v>
      </c>
      <c r="H401">
        <v>236</v>
      </c>
      <c r="I401">
        <v>194</v>
      </c>
      <c r="J401">
        <v>42</v>
      </c>
      <c r="K401">
        <v>2</v>
      </c>
      <c r="L401">
        <f t="shared" si="31"/>
        <v>10</v>
      </c>
      <c r="M401">
        <f t="shared" si="32"/>
        <v>162</v>
      </c>
      <c r="N401">
        <f t="shared" si="33"/>
        <v>35</v>
      </c>
      <c r="O401">
        <f t="shared" si="34"/>
        <v>127</v>
      </c>
      <c r="P401">
        <f t="shared" si="30"/>
        <v>0</v>
      </c>
      <c r="Q401" t="s">
        <v>7</v>
      </c>
    </row>
    <row r="402" spans="1:17" x14ac:dyDescent="0.35">
      <c r="A402" t="s">
        <v>11</v>
      </c>
      <c r="B402">
        <v>21</v>
      </c>
      <c r="C402">
        <v>484</v>
      </c>
      <c r="D402">
        <v>329</v>
      </c>
      <c r="E402">
        <v>155</v>
      </c>
      <c r="F402">
        <v>2</v>
      </c>
      <c r="G402">
        <v>22</v>
      </c>
      <c r="H402">
        <v>481</v>
      </c>
      <c r="I402">
        <v>421</v>
      </c>
      <c r="J402">
        <v>60</v>
      </c>
      <c r="K402">
        <v>0</v>
      </c>
      <c r="L402">
        <f t="shared" si="31"/>
        <v>-1</v>
      </c>
      <c r="M402">
        <f t="shared" si="32"/>
        <v>3</v>
      </c>
      <c r="N402">
        <f t="shared" si="33"/>
        <v>-92</v>
      </c>
      <c r="O402">
        <f t="shared" si="34"/>
        <v>95</v>
      </c>
      <c r="P402">
        <f t="shared" si="30"/>
        <v>2</v>
      </c>
      <c r="Q402" t="s">
        <v>5</v>
      </c>
    </row>
    <row r="403" spans="1:17" x14ac:dyDescent="0.35">
      <c r="A403" t="s">
        <v>11</v>
      </c>
      <c r="B403">
        <v>15</v>
      </c>
      <c r="C403">
        <v>378</v>
      </c>
      <c r="D403">
        <v>285</v>
      </c>
      <c r="E403">
        <v>93</v>
      </c>
      <c r="F403">
        <v>0</v>
      </c>
      <c r="G403">
        <v>29</v>
      </c>
      <c r="H403">
        <v>388</v>
      </c>
      <c r="I403">
        <v>258</v>
      </c>
      <c r="J403">
        <v>130</v>
      </c>
      <c r="K403">
        <v>0</v>
      </c>
      <c r="L403">
        <f t="shared" si="31"/>
        <v>-14</v>
      </c>
      <c r="M403">
        <f t="shared" si="32"/>
        <v>-10</v>
      </c>
      <c r="N403">
        <f t="shared" si="33"/>
        <v>27</v>
      </c>
      <c r="O403">
        <f t="shared" si="34"/>
        <v>-37</v>
      </c>
      <c r="P403">
        <f t="shared" si="30"/>
        <v>0</v>
      </c>
      <c r="Q403" t="s">
        <v>5</v>
      </c>
    </row>
    <row r="404" spans="1:17" x14ac:dyDescent="0.35">
      <c r="A404" t="s">
        <v>12</v>
      </c>
      <c r="B404">
        <v>25</v>
      </c>
      <c r="C404">
        <v>450</v>
      </c>
      <c r="D404">
        <v>279</v>
      </c>
      <c r="E404">
        <v>171</v>
      </c>
      <c r="F404">
        <v>0</v>
      </c>
      <c r="G404">
        <v>26</v>
      </c>
      <c r="H404">
        <v>473</v>
      </c>
      <c r="I404">
        <v>383</v>
      </c>
      <c r="J404">
        <v>90</v>
      </c>
      <c r="K404">
        <v>2</v>
      </c>
      <c r="L404">
        <f t="shared" si="31"/>
        <v>-1</v>
      </c>
      <c r="M404">
        <f t="shared" si="32"/>
        <v>-23</v>
      </c>
      <c r="N404">
        <f t="shared" si="33"/>
        <v>-104</v>
      </c>
      <c r="O404">
        <f t="shared" si="34"/>
        <v>81</v>
      </c>
      <c r="P404">
        <f t="shared" si="30"/>
        <v>-2</v>
      </c>
      <c r="Q404" t="s">
        <v>7</v>
      </c>
    </row>
    <row r="405" spans="1:17" x14ac:dyDescent="0.35">
      <c r="A405" t="s">
        <v>12</v>
      </c>
      <c r="B405">
        <v>18</v>
      </c>
      <c r="C405">
        <v>278</v>
      </c>
      <c r="D405">
        <v>200</v>
      </c>
      <c r="E405">
        <v>78</v>
      </c>
      <c r="F405">
        <v>0</v>
      </c>
      <c r="G405">
        <v>26</v>
      </c>
      <c r="H405">
        <v>315</v>
      </c>
      <c r="I405">
        <v>169</v>
      </c>
      <c r="J405">
        <v>146</v>
      </c>
      <c r="K405">
        <v>3</v>
      </c>
      <c r="L405">
        <f t="shared" si="31"/>
        <v>-8</v>
      </c>
      <c r="M405">
        <f t="shared" si="32"/>
        <v>-37</v>
      </c>
      <c r="N405">
        <f t="shared" si="33"/>
        <v>31</v>
      </c>
      <c r="O405">
        <f t="shared" si="34"/>
        <v>-68</v>
      </c>
      <c r="P405">
        <f t="shared" si="30"/>
        <v>-3</v>
      </c>
      <c r="Q405" t="s">
        <v>7</v>
      </c>
    </row>
    <row r="406" spans="1:17" x14ac:dyDescent="0.35">
      <c r="A406" t="s">
        <v>12</v>
      </c>
      <c r="B406">
        <v>20</v>
      </c>
      <c r="C406">
        <v>386</v>
      </c>
      <c r="D406">
        <v>273</v>
      </c>
      <c r="E406">
        <v>113</v>
      </c>
      <c r="F406">
        <v>2</v>
      </c>
      <c r="G406">
        <v>16</v>
      </c>
      <c r="H406">
        <v>246</v>
      </c>
      <c r="I406">
        <v>73</v>
      </c>
      <c r="J406">
        <v>173</v>
      </c>
      <c r="K406">
        <v>2</v>
      </c>
      <c r="L406">
        <f t="shared" si="31"/>
        <v>4</v>
      </c>
      <c r="M406">
        <f t="shared" si="32"/>
        <v>140</v>
      </c>
      <c r="N406">
        <f t="shared" si="33"/>
        <v>200</v>
      </c>
      <c r="O406">
        <f t="shared" si="34"/>
        <v>-60</v>
      </c>
      <c r="P406">
        <f t="shared" si="30"/>
        <v>0</v>
      </c>
      <c r="Q406" t="s">
        <v>7</v>
      </c>
    </row>
    <row r="407" spans="1:17" x14ac:dyDescent="0.35">
      <c r="A407" t="s">
        <v>11</v>
      </c>
      <c r="B407">
        <v>10</v>
      </c>
      <c r="C407">
        <v>208</v>
      </c>
      <c r="D407">
        <v>140</v>
      </c>
      <c r="E407">
        <v>68</v>
      </c>
      <c r="F407">
        <v>2</v>
      </c>
      <c r="G407">
        <v>21</v>
      </c>
      <c r="H407">
        <v>401</v>
      </c>
      <c r="I407">
        <v>313</v>
      </c>
      <c r="J407">
        <v>88</v>
      </c>
      <c r="K407">
        <v>1</v>
      </c>
      <c r="L407">
        <f t="shared" si="31"/>
        <v>-11</v>
      </c>
      <c r="M407">
        <f t="shared" si="32"/>
        <v>-193</v>
      </c>
      <c r="N407">
        <f t="shared" si="33"/>
        <v>-173</v>
      </c>
      <c r="O407">
        <f t="shared" si="34"/>
        <v>-20</v>
      </c>
      <c r="P407">
        <f t="shared" si="30"/>
        <v>1</v>
      </c>
      <c r="Q407" t="s">
        <v>5</v>
      </c>
    </row>
    <row r="408" spans="1:17" x14ac:dyDescent="0.35">
      <c r="A408" t="s">
        <v>11</v>
      </c>
      <c r="B408">
        <v>19</v>
      </c>
      <c r="C408">
        <v>332</v>
      </c>
      <c r="D408">
        <v>210</v>
      </c>
      <c r="E408">
        <v>122</v>
      </c>
      <c r="F408">
        <v>3</v>
      </c>
      <c r="G408">
        <v>22</v>
      </c>
      <c r="H408">
        <v>259</v>
      </c>
      <c r="I408">
        <v>163</v>
      </c>
      <c r="J408">
        <v>96</v>
      </c>
      <c r="K408">
        <v>0</v>
      </c>
      <c r="L408">
        <f t="shared" si="31"/>
        <v>-3</v>
      </c>
      <c r="M408">
        <f t="shared" si="32"/>
        <v>73</v>
      </c>
      <c r="N408">
        <f t="shared" si="33"/>
        <v>47</v>
      </c>
      <c r="O408">
        <f t="shared" si="34"/>
        <v>26</v>
      </c>
      <c r="P408">
        <f t="shared" si="30"/>
        <v>3</v>
      </c>
      <c r="Q408" t="s">
        <v>5</v>
      </c>
    </row>
    <row r="409" spans="1:17" x14ac:dyDescent="0.35">
      <c r="A409" t="s">
        <v>12</v>
      </c>
      <c r="B409">
        <v>22</v>
      </c>
      <c r="C409">
        <v>355</v>
      </c>
      <c r="D409">
        <v>258</v>
      </c>
      <c r="E409">
        <v>97</v>
      </c>
      <c r="F409">
        <v>1</v>
      </c>
      <c r="G409">
        <v>26</v>
      </c>
      <c r="H409">
        <v>552</v>
      </c>
      <c r="I409">
        <v>391</v>
      </c>
      <c r="J409">
        <v>161</v>
      </c>
      <c r="K409">
        <v>1</v>
      </c>
      <c r="L409">
        <f t="shared" si="31"/>
        <v>-4</v>
      </c>
      <c r="M409">
        <f t="shared" si="32"/>
        <v>-197</v>
      </c>
      <c r="N409">
        <f t="shared" si="33"/>
        <v>-133</v>
      </c>
      <c r="O409">
        <f t="shared" si="34"/>
        <v>-64</v>
      </c>
      <c r="P409">
        <f t="shared" si="30"/>
        <v>0</v>
      </c>
      <c r="Q409" t="s">
        <v>5</v>
      </c>
    </row>
    <row r="410" spans="1:17" x14ac:dyDescent="0.35">
      <c r="A410" t="s">
        <v>12</v>
      </c>
      <c r="B410">
        <v>27</v>
      </c>
      <c r="C410">
        <v>364</v>
      </c>
      <c r="D410">
        <v>236</v>
      </c>
      <c r="E410">
        <v>128</v>
      </c>
      <c r="F410">
        <v>0</v>
      </c>
      <c r="G410">
        <v>17</v>
      </c>
      <c r="H410">
        <v>262</v>
      </c>
      <c r="I410">
        <v>185</v>
      </c>
      <c r="J410">
        <v>77</v>
      </c>
      <c r="K410">
        <v>0</v>
      </c>
      <c r="L410">
        <f t="shared" si="31"/>
        <v>10</v>
      </c>
      <c r="M410">
        <f t="shared" si="32"/>
        <v>102</v>
      </c>
      <c r="N410">
        <f t="shared" si="33"/>
        <v>51</v>
      </c>
      <c r="O410">
        <f t="shared" si="34"/>
        <v>51</v>
      </c>
      <c r="P410">
        <f t="shared" si="30"/>
        <v>0</v>
      </c>
      <c r="Q410" t="s">
        <v>5</v>
      </c>
    </row>
    <row r="411" spans="1:17" x14ac:dyDescent="0.35">
      <c r="A411" t="s">
        <v>11</v>
      </c>
      <c r="B411">
        <v>19</v>
      </c>
      <c r="C411">
        <v>366</v>
      </c>
      <c r="D411">
        <v>267</v>
      </c>
      <c r="E411">
        <v>99</v>
      </c>
      <c r="F411">
        <v>0</v>
      </c>
      <c r="G411">
        <v>21</v>
      </c>
      <c r="H411">
        <v>284</v>
      </c>
      <c r="I411">
        <v>265</v>
      </c>
      <c r="J411">
        <v>19</v>
      </c>
      <c r="K411">
        <v>0</v>
      </c>
      <c r="L411">
        <f t="shared" si="31"/>
        <v>-2</v>
      </c>
      <c r="M411">
        <f t="shared" si="32"/>
        <v>82</v>
      </c>
      <c r="N411">
        <f t="shared" si="33"/>
        <v>2</v>
      </c>
      <c r="O411">
        <f t="shared" si="34"/>
        <v>80</v>
      </c>
      <c r="P411">
        <f t="shared" si="30"/>
        <v>0</v>
      </c>
      <c r="Q411" t="s">
        <v>7</v>
      </c>
    </row>
    <row r="412" spans="1:17" x14ac:dyDescent="0.35">
      <c r="A412" t="s">
        <v>11</v>
      </c>
      <c r="B412">
        <v>18</v>
      </c>
      <c r="C412">
        <v>477</v>
      </c>
      <c r="D412">
        <v>380</v>
      </c>
      <c r="E412">
        <v>97</v>
      </c>
      <c r="F412">
        <v>1</v>
      </c>
      <c r="G412">
        <v>16</v>
      </c>
      <c r="H412">
        <v>238</v>
      </c>
      <c r="I412">
        <v>168</v>
      </c>
      <c r="J412">
        <v>70</v>
      </c>
      <c r="K412">
        <v>1</v>
      </c>
      <c r="L412">
        <f t="shared" si="31"/>
        <v>2</v>
      </c>
      <c r="M412">
        <f t="shared" si="32"/>
        <v>239</v>
      </c>
      <c r="N412">
        <f t="shared" si="33"/>
        <v>212</v>
      </c>
      <c r="O412">
        <f t="shared" si="34"/>
        <v>27</v>
      </c>
      <c r="P412">
        <f t="shared" si="30"/>
        <v>0</v>
      </c>
      <c r="Q412" t="s">
        <v>5</v>
      </c>
    </row>
    <row r="413" spans="1:17" x14ac:dyDescent="0.35">
      <c r="A413" t="s">
        <v>12</v>
      </c>
      <c r="B413">
        <v>22</v>
      </c>
      <c r="C413">
        <v>436</v>
      </c>
      <c r="D413">
        <v>313</v>
      </c>
      <c r="E413">
        <v>123</v>
      </c>
      <c r="F413">
        <v>0</v>
      </c>
      <c r="G413">
        <v>15</v>
      </c>
      <c r="H413">
        <v>398</v>
      </c>
      <c r="I413">
        <v>370</v>
      </c>
      <c r="J413">
        <v>28</v>
      </c>
      <c r="K413">
        <v>0</v>
      </c>
      <c r="L413">
        <f t="shared" si="31"/>
        <v>7</v>
      </c>
      <c r="M413">
        <f t="shared" si="32"/>
        <v>38</v>
      </c>
      <c r="N413">
        <f t="shared" si="33"/>
        <v>-57</v>
      </c>
      <c r="O413">
        <f t="shared" si="34"/>
        <v>95</v>
      </c>
      <c r="P413">
        <f t="shared" si="30"/>
        <v>0</v>
      </c>
      <c r="Q413" t="s">
        <v>7</v>
      </c>
    </row>
    <row r="414" spans="1:17" x14ac:dyDescent="0.35">
      <c r="A414" t="s">
        <v>11</v>
      </c>
      <c r="B414">
        <v>18</v>
      </c>
      <c r="C414">
        <v>286</v>
      </c>
      <c r="D414">
        <v>237</v>
      </c>
      <c r="E414">
        <v>49</v>
      </c>
      <c r="F414">
        <v>3</v>
      </c>
      <c r="G414">
        <v>19</v>
      </c>
      <c r="H414">
        <v>367</v>
      </c>
      <c r="I414">
        <v>310</v>
      </c>
      <c r="J414">
        <v>57</v>
      </c>
      <c r="K414">
        <v>3</v>
      </c>
      <c r="L414">
        <f t="shared" si="31"/>
        <v>-1</v>
      </c>
      <c r="M414">
        <f t="shared" si="32"/>
        <v>-81</v>
      </c>
      <c r="N414">
        <f t="shared" si="33"/>
        <v>-73</v>
      </c>
      <c r="O414">
        <f t="shared" si="34"/>
        <v>-8</v>
      </c>
      <c r="P414">
        <f t="shared" si="30"/>
        <v>0</v>
      </c>
      <c r="Q414" t="s">
        <v>5</v>
      </c>
    </row>
    <row r="415" spans="1:17" x14ac:dyDescent="0.35">
      <c r="A415" t="s">
        <v>12</v>
      </c>
      <c r="B415">
        <v>22</v>
      </c>
      <c r="C415">
        <v>373</v>
      </c>
      <c r="D415">
        <v>246</v>
      </c>
      <c r="E415">
        <v>127</v>
      </c>
      <c r="F415">
        <v>2</v>
      </c>
      <c r="G415">
        <v>16</v>
      </c>
      <c r="H415">
        <v>287</v>
      </c>
      <c r="I415">
        <v>201</v>
      </c>
      <c r="J415">
        <v>86</v>
      </c>
      <c r="K415">
        <v>0</v>
      </c>
      <c r="L415">
        <f t="shared" si="31"/>
        <v>6</v>
      </c>
      <c r="M415">
        <f t="shared" si="32"/>
        <v>86</v>
      </c>
      <c r="N415">
        <f t="shared" si="33"/>
        <v>45</v>
      </c>
      <c r="O415">
        <f t="shared" si="34"/>
        <v>41</v>
      </c>
      <c r="P415">
        <f t="shared" si="30"/>
        <v>2</v>
      </c>
      <c r="Q415" t="s">
        <v>5</v>
      </c>
    </row>
    <row r="416" spans="1:17" x14ac:dyDescent="0.35">
      <c r="A416" t="s">
        <v>11</v>
      </c>
      <c r="B416">
        <v>24</v>
      </c>
      <c r="C416">
        <v>336</v>
      </c>
      <c r="D416">
        <v>160</v>
      </c>
      <c r="E416">
        <v>176</v>
      </c>
      <c r="F416">
        <v>0</v>
      </c>
      <c r="G416">
        <v>31</v>
      </c>
      <c r="H416">
        <v>491</v>
      </c>
      <c r="I416">
        <v>414</v>
      </c>
      <c r="J416">
        <v>77</v>
      </c>
      <c r="K416">
        <v>2</v>
      </c>
      <c r="L416">
        <f t="shared" si="31"/>
        <v>-7</v>
      </c>
      <c r="M416">
        <f t="shared" si="32"/>
        <v>-155</v>
      </c>
      <c r="N416">
        <f t="shared" si="33"/>
        <v>-254</v>
      </c>
      <c r="O416">
        <f t="shared" si="34"/>
        <v>99</v>
      </c>
      <c r="P416">
        <f t="shared" si="30"/>
        <v>-2</v>
      </c>
      <c r="Q416" t="s">
        <v>7</v>
      </c>
    </row>
    <row r="417" spans="1:17" x14ac:dyDescent="0.35">
      <c r="A417" t="s">
        <v>12</v>
      </c>
      <c r="B417">
        <v>17</v>
      </c>
      <c r="C417">
        <v>265</v>
      </c>
      <c r="D417">
        <v>181</v>
      </c>
      <c r="E417">
        <v>84</v>
      </c>
      <c r="F417">
        <v>1</v>
      </c>
      <c r="G417">
        <v>9</v>
      </c>
      <c r="H417">
        <v>128</v>
      </c>
      <c r="I417">
        <v>61</v>
      </c>
      <c r="J417">
        <v>67</v>
      </c>
      <c r="K417">
        <v>3</v>
      </c>
      <c r="L417">
        <f t="shared" si="31"/>
        <v>8</v>
      </c>
      <c r="M417">
        <f t="shared" si="32"/>
        <v>137</v>
      </c>
      <c r="N417">
        <f t="shared" si="33"/>
        <v>120</v>
      </c>
      <c r="O417">
        <f t="shared" si="34"/>
        <v>17</v>
      </c>
      <c r="P417">
        <f t="shared" si="30"/>
        <v>-2</v>
      </c>
      <c r="Q417" t="s">
        <v>7</v>
      </c>
    </row>
    <row r="418" spans="1:17" x14ac:dyDescent="0.35">
      <c r="A418" t="s">
        <v>11</v>
      </c>
      <c r="B418">
        <v>19</v>
      </c>
      <c r="C418">
        <v>400</v>
      </c>
      <c r="D418">
        <v>292</v>
      </c>
      <c r="E418">
        <v>108</v>
      </c>
      <c r="F418">
        <v>3</v>
      </c>
      <c r="G418">
        <v>26</v>
      </c>
      <c r="H418">
        <v>447</v>
      </c>
      <c r="I418">
        <v>325</v>
      </c>
      <c r="J418">
        <v>122</v>
      </c>
      <c r="K418">
        <v>2</v>
      </c>
      <c r="L418">
        <f t="shared" si="31"/>
        <v>-7</v>
      </c>
      <c r="M418">
        <f t="shared" si="32"/>
        <v>-47</v>
      </c>
      <c r="N418">
        <f t="shared" si="33"/>
        <v>-33</v>
      </c>
      <c r="O418">
        <f t="shared" si="34"/>
        <v>-14</v>
      </c>
      <c r="P418">
        <f t="shared" si="30"/>
        <v>1</v>
      </c>
      <c r="Q418" t="s">
        <v>5</v>
      </c>
    </row>
    <row r="419" spans="1:17" x14ac:dyDescent="0.35">
      <c r="A419" t="s">
        <v>11</v>
      </c>
      <c r="B419">
        <v>16</v>
      </c>
      <c r="C419">
        <v>283</v>
      </c>
      <c r="D419">
        <v>168</v>
      </c>
      <c r="E419">
        <v>115</v>
      </c>
      <c r="F419">
        <v>4</v>
      </c>
      <c r="G419">
        <v>23</v>
      </c>
      <c r="H419">
        <v>402</v>
      </c>
      <c r="I419">
        <v>213</v>
      </c>
      <c r="J419">
        <v>189</v>
      </c>
      <c r="K419">
        <v>1</v>
      </c>
      <c r="L419">
        <f t="shared" si="31"/>
        <v>-7</v>
      </c>
      <c r="M419">
        <f t="shared" si="32"/>
        <v>-119</v>
      </c>
      <c r="N419">
        <f t="shared" si="33"/>
        <v>-45</v>
      </c>
      <c r="O419">
        <f t="shared" si="34"/>
        <v>-74</v>
      </c>
      <c r="P419">
        <f t="shared" si="30"/>
        <v>3</v>
      </c>
      <c r="Q419" t="s">
        <v>5</v>
      </c>
    </row>
    <row r="420" spans="1:17" x14ac:dyDescent="0.35">
      <c r="A420" t="s">
        <v>11</v>
      </c>
      <c r="B420">
        <v>21</v>
      </c>
      <c r="C420">
        <v>371</v>
      </c>
      <c r="D420">
        <v>153</v>
      </c>
      <c r="E420">
        <v>218</v>
      </c>
      <c r="F420">
        <v>1</v>
      </c>
      <c r="G420">
        <v>16</v>
      </c>
      <c r="H420">
        <v>253</v>
      </c>
      <c r="I420">
        <v>155</v>
      </c>
      <c r="J420">
        <v>98</v>
      </c>
      <c r="K420">
        <v>1</v>
      </c>
      <c r="L420">
        <f t="shared" si="31"/>
        <v>5</v>
      </c>
      <c r="M420">
        <f t="shared" si="32"/>
        <v>118</v>
      </c>
      <c r="N420">
        <f t="shared" si="33"/>
        <v>-2</v>
      </c>
      <c r="O420">
        <f t="shared" si="34"/>
        <v>120</v>
      </c>
      <c r="P420">
        <f t="shared" si="30"/>
        <v>0</v>
      </c>
      <c r="Q420" t="s">
        <v>7</v>
      </c>
    </row>
    <row r="421" spans="1:17" x14ac:dyDescent="0.35">
      <c r="A421" t="s">
        <v>12</v>
      </c>
      <c r="B421">
        <v>26</v>
      </c>
      <c r="C421">
        <v>373</v>
      </c>
      <c r="D421">
        <v>227</v>
      </c>
      <c r="E421">
        <v>146</v>
      </c>
      <c r="F421">
        <v>0</v>
      </c>
      <c r="G421">
        <v>10</v>
      </c>
      <c r="H421">
        <v>164</v>
      </c>
      <c r="I421">
        <v>102</v>
      </c>
      <c r="J421">
        <v>62</v>
      </c>
      <c r="K421">
        <v>1</v>
      </c>
      <c r="L421">
        <f t="shared" si="31"/>
        <v>16</v>
      </c>
      <c r="M421">
        <f t="shared" si="32"/>
        <v>209</v>
      </c>
      <c r="N421">
        <f t="shared" si="33"/>
        <v>125</v>
      </c>
      <c r="O421">
        <f t="shared" si="34"/>
        <v>84</v>
      </c>
      <c r="P421">
        <f t="shared" si="30"/>
        <v>-1</v>
      </c>
      <c r="Q421" t="s">
        <v>7</v>
      </c>
    </row>
    <row r="422" spans="1:17" x14ac:dyDescent="0.35">
      <c r="A422" t="s">
        <v>12</v>
      </c>
      <c r="B422">
        <v>21</v>
      </c>
      <c r="C422">
        <v>255</v>
      </c>
      <c r="D422">
        <v>174</v>
      </c>
      <c r="E422">
        <v>81</v>
      </c>
      <c r="F422">
        <v>1</v>
      </c>
      <c r="G422">
        <v>19</v>
      </c>
      <c r="H422">
        <v>298</v>
      </c>
      <c r="I422">
        <v>224</v>
      </c>
      <c r="J422">
        <v>74</v>
      </c>
      <c r="K422">
        <v>0</v>
      </c>
      <c r="L422">
        <f t="shared" si="31"/>
        <v>2</v>
      </c>
      <c r="M422">
        <f t="shared" si="32"/>
        <v>-43</v>
      </c>
      <c r="N422">
        <f t="shared" si="33"/>
        <v>-50</v>
      </c>
      <c r="O422">
        <f t="shared" si="34"/>
        <v>7</v>
      </c>
      <c r="P422">
        <f t="shared" si="30"/>
        <v>1</v>
      </c>
      <c r="Q422" t="s">
        <v>5</v>
      </c>
    </row>
    <row r="423" spans="1:17" x14ac:dyDescent="0.35">
      <c r="A423" t="s">
        <v>12</v>
      </c>
      <c r="B423">
        <v>23</v>
      </c>
      <c r="C423">
        <v>344</v>
      </c>
      <c r="D423">
        <v>238</v>
      </c>
      <c r="E423">
        <v>106</v>
      </c>
      <c r="F423">
        <v>5</v>
      </c>
      <c r="G423">
        <v>14</v>
      </c>
      <c r="H423">
        <v>348</v>
      </c>
      <c r="I423">
        <v>174</v>
      </c>
      <c r="J423">
        <v>174</v>
      </c>
      <c r="K423">
        <v>2</v>
      </c>
      <c r="L423">
        <f t="shared" si="31"/>
        <v>9</v>
      </c>
      <c r="M423">
        <f t="shared" si="32"/>
        <v>-4</v>
      </c>
      <c r="N423">
        <f t="shared" si="33"/>
        <v>64</v>
      </c>
      <c r="O423">
        <f t="shared" si="34"/>
        <v>-68</v>
      </c>
      <c r="P423">
        <f t="shared" si="30"/>
        <v>3</v>
      </c>
      <c r="Q423" t="s">
        <v>5</v>
      </c>
    </row>
    <row r="424" spans="1:17" x14ac:dyDescent="0.35">
      <c r="A424" t="s">
        <v>11</v>
      </c>
      <c r="B424">
        <v>23</v>
      </c>
      <c r="C424">
        <v>386</v>
      </c>
      <c r="D424">
        <v>294</v>
      </c>
      <c r="E424">
        <v>92</v>
      </c>
      <c r="F424">
        <v>1</v>
      </c>
      <c r="G424">
        <v>26</v>
      </c>
      <c r="H424">
        <v>409</v>
      </c>
      <c r="I424">
        <v>351</v>
      </c>
      <c r="J424">
        <v>58</v>
      </c>
      <c r="K424">
        <v>1</v>
      </c>
      <c r="L424">
        <f t="shared" si="31"/>
        <v>-3</v>
      </c>
      <c r="M424">
        <f t="shared" si="32"/>
        <v>-23</v>
      </c>
      <c r="N424">
        <f t="shared" si="33"/>
        <v>-57</v>
      </c>
      <c r="O424">
        <f t="shared" si="34"/>
        <v>34</v>
      </c>
      <c r="P424">
        <f t="shared" si="30"/>
        <v>0</v>
      </c>
      <c r="Q424" t="s">
        <v>5</v>
      </c>
    </row>
    <row r="425" spans="1:17" x14ac:dyDescent="0.35">
      <c r="A425" t="s">
        <v>12</v>
      </c>
      <c r="B425">
        <v>27</v>
      </c>
      <c r="C425">
        <v>418</v>
      </c>
      <c r="D425">
        <v>300</v>
      </c>
      <c r="E425">
        <v>118</v>
      </c>
      <c r="F425">
        <v>1</v>
      </c>
      <c r="G425">
        <v>11</v>
      </c>
      <c r="H425">
        <v>255</v>
      </c>
      <c r="I425">
        <v>182</v>
      </c>
      <c r="J425">
        <v>73</v>
      </c>
      <c r="K425">
        <v>0</v>
      </c>
      <c r="L425">
        <f t="shared" si="31"/>
        <v>16</v>
      </c>
      <c r="M425">
        <f t="shared" si="32"/>
        <v>163</v>
      </c>
      <c r="N425">
        <f t="shared" si="33"/>
        <v>118</v>
      </c>
      <c r="O425">
        <f t="shared" si="34"/>
        <v>45</v>
      </c>
      <c r="P425">
        <f t="shared" si="30"/>
        <v>1</v>
      </c>
      <c r="Q425" t="s">
        <v>7</v>
      </c>
    </row>
    <row r="426" spans="1:17" x14ac:dyDescent="0.35">
      <c r="A426" t="s">
        <v>11</v>
      </c>
      <c r="B426">
        <v>27</v>
      </c>
      <c r="C426">
        <v>415</v>
      </c>
      <c r="D426">
        <v>258</v>
      </c>
      <c r="E426">
        <v>157</v>
      </c>
      <c r="F426">
        <v>1</v>
      </c>
      <c r="G426">
        <v>19</v>
      </c>
      <c r="H426">
        <v>352</v>
      </c>
      <c r="I426">
        <v>251</v>
      </c>
      <c r="J426">
        <v>101</v>
      </c>
      <c r="K426">
        <v>1</v>
      </c>
      <c r="L426">
        <f t="shared" si="31"/>
        <v>8</v>
      </c>
      <c r="M426">
        <f t="shared" si="32"/>
        <v>63</v>
      </c>
      <c r="N426">
        <f t="shared" si="33"/>
        <v>7</v>
      </c>
      <c r="O426">
        <f t="shared" si="34"/>
        <v>56</v>
      </c>
      <c r="P426">
        <f t="shared" si="30"/>
        <v>0</v>
      </c>
      <c r="Q426" t="s">
        <v>7</v>
      </c>
    </row>
    <row r="427" spans="1:17" x14ac:dyDescent="0.35">
      <c r="A427" t="s">
        <v>12</v>
      </c>
      <c r="B427">
        <v>23</v>
      </c>
      <c r="C427">
        <v>431</v>
      </c>
      <c r="D427">
        <v>313</v>
      </c>
      <c r="E427">
        <v>118</v>
      </c>
      <c r="F427">
        <v>0</v>
      </c>
      <c r="G427">
        <v>16</v>
      </c>
      <c r="H427">
        <v>311</v>
      </c>
      <c r="I427">
        <v>257</v>
      </c>
      <c r="J427">
        <v>54</v>
      </c>
      <c r="K427">
        <v>1</v>
      </c>
      <c r="L427">
        <f t="shared" si="31"/>
        <v>7</v>
      </c>
      <c r="M427">
        <f t="shared" si="32"/>
        <v>120</v>
      </c>
      <c r="N427">
        <f t="shared" si="33"/>
        <v>56</v>
      </c>
      <c r="O427">
        <f t="shared" si="34"/>
        <v>64</v>
      </c>
      <c r="P427">
        <f t="shared" si="30"/>
        <v>-1</v>
      </c>
      <c r="Q427" t="s">
        <v>7</v>
      </c>
    </row>
    <row r="428" spans="1:17" x14ac:dyDescent="0.35">
      <c r="A428" t="s">
        <v>11</v>
      </c>
      <c r="B428">
        <v>25</v>
      </c>
      <c r="C428">
        <v>400</v>
      </c>
      <c r="D428">
        <v>279</v>
      </c>
      <c r="E428">
        <v>121</v>
      </c>
      <c r="F428">
        <v>0</v>
      </c>
      <c r="G428">
        <v>19</v>
      </c>
      <c r="H428">
        <v>397</v>
      </c>
      <c r="I428">
        <v>275</v>
      </c>
      <c r="J428">
        <v>122</v>
      </c>
      <c r="K428">
        <v>2</v>
      </c>
      <c r="L428">
        <f t="shared" si="31"/>
        <v>6</v>
      </c>
      <c r="M428">
        <f t="shared" si="32"/>
        <v>3</v>
      </c>
      <c r="N428">
        <f t="shared" si="33"/>
        <v>4</v>
      </c>
      <c r="O428">
        <f t="shared" si="34"/>
        <v>-1</v>
      </c>
      <c r="P428">
        <f t="shared" si="30"/>
        <v>-2</v>
      </c>
      <c r="Q428" t="s">
        <v>7</v>
      </c>
    </row>
    <row r="429" spans="1:17" x14ac:dyDescent="0.35">
      <c r="A429" t="s">
        <v>12</v>
      </c>
      <c r="B429">
        <v>20</v>
      </c>
      <c r="C429">
        <v>282</v>
      </c>
      <c r="D429">
        <v>162</v>
      </c>
      <c r="E429">
        <v>120</v>
      </c>
      <c r="F429">
        <v>0</v>
      </c>
      <c r="G429">
        <v>16</v>
      </c>
      <c r="H429">
        <v>382</v>
      </c>
      <c r="I429">
        <v>318</v>
      </c>
      <c r="J429">
        <v>64</v>
      </c>
      <c r="K429">
        <v>0</v>
      </c>
      <c r="L429">
        <f t="shared" si="31"/>
        <v>4</v>
      </c>
      <c r="M429">
        <f t="shared" si="32"/>
        <v>-100</v>
      </c>
      <c r="N429">
        <f t="shared" si="33"/>
        <v>-156</v>
      </c>
      <c r="O429">
        <f t="shared" si="34"/>
        <v>56</v>
      </c>
      <c r="P429">
        <f t="shared" si="30"/>
        <v>0</v>
      </c>
      <c r="Q429" t="s">
        <v>5</v>
      </c>
    </row>
    <row r="430" spans="1:17" x14ac:dyDescent="0.35">
      <c r="A430" t="s">
        <v>11</v>
      </c>
      <c r="B430">
        <v>15</v>
      </c>
      <c r="C430">
        <v>308</v>
      </c>
      <c r="D430">
        <v>276</v>
      </c>
      <c r="E430">
        <v>32</v>
      </c>
      <c r="F430">
        <v>1</v>
      </c>
      <c r="G430">
        <v>24</v>
      </c>
      <c r="H430">
        <v>465</v>
      </c>
      <c r="I430">
        <v>366</v>
      </c>
      <c r="J430">
        <v>99</v>
      </c>
      <c r="K430">
        <v>0</v>
      </c>
      <c r="L430">
        <f t="shared" si="31"/>
        <v>-9</v>
      </c>
      <c r="M430">
        <f t="shared" si="32"/>
        <v>-157</v>
      </c>
      <c r="N430">
        <f t="shared" si="33"/>
        <v>-90</v>
      </c>
      <c r="O430">
        <f t="shared" si="34"/>
        <v>-67</v>
      </c>
      <c r="P430">
        <f t="shared" si="30"/>
        <v>1</v>
      </c>
      <c r="Q430" t="s">
        <v>5</v>
      </c>
    </row>
    <row r="431" spans="1:17" x14ac:dyDescent="0.35">
      <c r="A431" t="s">
        <v>12</v>
      </c>
      <c r="B431">
        <v>17</v>
      </c>
      <c r="C431">
        <v>261</v>
      </c>
      <c r="D431">
        <v>180</v>
      </c>
      <c r="E431">
        <v>81</v>
      </c>
      <c r="F431">
        <v>1</v>
      </c>
      <c r="G431">
        <v>25</v>
      </c>
      <c r="H431">
        <v>425</v>
      </c>
      <c r="I431">
        <v>274</v>
      </c>
      <c r="J431">
        <v>151</v>
      </c>
      <c r="K431">
        <v>2</v>
      </c>
      <c r="L431">
        <f t="shared" si="31"/>
        <v>-8</v>
      </c>
      <c r="M431">
        <f t="shared" si="32"/>
        <v>-164</v>
      </c>
      <c r="N431">
        <f t="shared" si="33"/>
        <v>-94</v>
      </c>
      <c r="O431">
        <f t="shared" si="34"/>
        <v>-70</v>
      </c>
      <c r="P431">
        <f t="shared" si="30"/>
        <v>-1</v>
      </c>
      <c r="Q431" t="s">
        <v>5</v>
      </c>
    </row>
    <row r="432" spans="1:17" x14ac:dyDescent="0.35">
      <c r="A432" t="s">
        <v>11</v>
      </c>
      <c r="B432">
        <v>11</v>
      </c>
      <c r="C432">
        <v>239</v>
      </c>
      <c r="D432">
        <v>160</v>
      </c>
      <c r="E432">
        <v>79</v>
      </c>
      <c r="F432">
        <v>2</v>
      </c>
      <c r="G432">
        <v>26</v>
      </c>
      <c r="H432">
        <v>436</v>
      </c>
      <c r="I432">
        <v>268</v>
      </c>
      <c r="J432">
        <v>168</v>
      </c>
      <c r="K432">
        <v>5</v>
      </c>
      <c r="L432">
        <f t="shared" si="31"/>
        <v>-15</v>
      </c>
      <c r="M432">
        <f t="shared" si="32"/>
        <v>-197</v>
      </c>
      <c r="N432">
        <f t="shared" si="33"/>
        <v>-108</v>
      </c>
      <c r="O432">
        <f t="shared" si="34"/>
        <v>-89</v>
      </c>
      <c r="P432">
        <f t="shared" si="30"/>
        <v>-3</v>
      </c>
      <c r="Q432" t="s">
        <v>5</v>
      </c>
    </row>
    <row r="433" spans="1:17" x14ac:dyDescent="0.35">
      <c r="A433" t="s">
        <v>12</v>
      </c>
      <c r="B433">
        <v>20</v>
      </c>
      <c r="C433">
        <v>326</v>
      </c>
      <c r="D433">
        <v>260</v>
      </c>
      <c r="E433">
        <v>66</v>
      </c>
      <c r="F433">
        <v>1</v>
      </c>
      <c r="G433">
        <v>16</v>
      </c>
      <c r="H433">
        <v>175</v>
      </c>
      <c r="I433">
        <v>102</v>
      </c>
      <c r="J433">
        <v>73</v>
      </c>
      <c r="K433">
        <v>2</v>
      </c>
      <c r="L433">
        <f t="shared" si="31"/>
        <v>4</v>
      </c>
      <c r="M433">
        <f t="shared" si="32"/>
        <v>151</v>
      </c>
      <c r="N433">
        <f t="shared" si="33"/>
        <v>158</v>
      </c>
      <c r="O433">
        <f t="shared" si="34"/>
        <v>-7</v>
      </c>
      <c r="P433">
        <f t="shared" si="30"/>
        <v>-1</v>
      </c>
      <c r="Q433" t="s">
        <v>7</v>
      </c>
    </row>
    <row r="434" spans="1:17" x14ac:dyDescent="0.35">
      <c r="A434" t="s">
        <v>12</v>
      </c>
      <c r="B434">
        <v>18</v>
      </c>
      <c r="C434">
        <v>269</v>
      </c>
      <c r="D434">
        <v>192</v>
      </c>
      <c r="E434">
        <v>77</v>
      </c>
      <c r="F434">
        <v>2</v>
      </c>
      <c r="G434">
        <v>22</v>
      </c>
      <c r="H434">
        <v>277</v>
      </c>
      <c r="I434">
        <v>139</v>
      </c>
      <c r="J434">
        <v>138</v>
      </c>
      <c r="K434">
        <v>3</v>
      </c>
      <c r="L434">
        <f t="shared" si="31"/>
        <v>-4</v>
      </c>
      <c r="M434">
        <f t="shared" si="32"/>
        <v>-8</v>
      </c>
      <c r="N434">
        <f t="shared" si="33"/>
        <v>53</v>
      </c>
      <c r="O434">
        <f t="shared" si="34"/>
        <v>-61</v>
      </c>
      <c r="P434">
        <f t="shared" si="30"/>
        <v>-1</v>
      </c>
      <c r="Q434" t="s">
        <v>5</v>
      </c>
    </row>
    <row r="435" spans="1:17" x14ac:dyDescent="0.35">
      <c r="A435" t="s">
        <v>11</v>
      </c>
      <c r="B435">
        <v>18</v>
      </c>
      <c r="C435">
        <v>256</v>
      </c>
      <c r="D435">
        <v>132</v>
      </c>
      <c r="E435">
        <v>124</v>
      </c>
      <c r="F435">
        <v>1</v>
      </c>
      <c r="G435">
        <v>23</v>
      </c>
      <c r="H435">
        <v>348</v>
      </c>
      <c r="I435">
        <v>316</v>
      </c>
      <c r="J435">
        <v>32</v>
      </c>
      <c r="K435">
        <v>3</v>
      </c>
      <c r="L435">
        <f t="shared" si="31"/>
        <v>-5</v>
      </c>
      <c r="M435">
        <f t="shared" si="32"/>
        <v>-92</v>
      </c>
      <c r="N435">
        <f t="shared" si="33"/>
        <v>-184</v>
      </c>
      <c r="O435">
        <f t="shared" si="34"/>
        <v>92</v>
      </c>
      <c r="P435">
        <f t="shared" si="30"/>
        <v>-2</v>
      </c>
      <c r="Q435" t="s">
        <v>7</v>
      </c>
    </row>
    <row r="436" spans="1:17" x14ac:dyDescent="0.35">
      <c r="A436" t="s">
        <v>12</v>
      </c>
      <c r="B436">
        <v>21</v>
      </c>
      <c r="C436">
        <v>394</v>
      </c>
      <c r="D436">
        <v>236</v>
      </c>
      <c r="E436">
        <v>158</v>
      </c>
      <c r="F436">
        <v>1</v>
      </c>
      <c r="G436">
        <v>16</v>
      </c>
      <c r="H436">
        <v>230</v>
      </c>
      <c r="I436">
        <v>170</v>
      </c>
      <c r="J436">
        <v>60</v>
      </c>
      <c r="K436">
        <v>4</v>
      </c>
      <c r="L436">
        <f t="shared" si="31"/>
        <v>5</v>
      </c>
      <c r="M436">
        <f t="shared" si="32"/>
        <v>164</v>
      </c>
      <c r="N436">
        <f t="shared" si="33"/>
        <v>66</v>
      </c>
      <c r="O436">
        <f t="shared" si="34"/>
        <v>98</v>
      </c>
      <c r="P436">
        <f t="shared" si="30"/>
        <v>-3</v>
      </c>
      <c r="Q436" t="s">
        <v>7</v>
      </c>
    </row>
    <row r="437" spans="1:17" x14ac:dyDescent="0.35">
      <c r="A437" t="s">
        <v>12</v>
      </c>
      <c r="B437">
        <v>17</v>
      </c>
      <c r="C437">
        <v>273</v>
      </c>
      <c r="D437">
        <v>183</v>
      </c>
      <c r="E437">
        <v>90</v>
      </c>
      <c r="F437">
        <v>2</v>
      </c>
      <c r="G437">
        <v>22</v>
      </c>
      <c r="H437">
        <v>328</v>
      </c>
      <c r="I437">
        <v>189</v>
      </c>
      <c r="J437">
        <v>139</v>
      </c>
      <c r="K437">
        <v>3</v>
      </c>
      <c r="L437">
        <f t="shared" si="31"/>
        <v>-5</v>
      </c>
      <c r="M437">
        <f t="shared" si="32"/>
        <v>-55</v>
      </c>
      <c r="N437">
        <f t="shared" si="33"/>
        <v>-6</v>
      </c>
      <c r="O437">
        <f t="shared" si="34"/>
        <v>-49</v>
      </c>
      <c r="P437">
        <f t="shared" si="30"/>
        <v>-1</v>
      </c>
      <c r="Q437" t="s">
        <v>7</v>
      </c>
    </row>
    <row r="438" spans="1:17" x14ac:dyDescent="0.35">
      <c r="A438" t="s">
        <v>12</v>
      </c>
      <c r="B438">
        <v>15</v>
      </c>
      <c r="C438">
        <v>273</v>
      </c>
      <c r="D438">
        <v>231</v>
      </c>
      <c r="E438">
        <v>42</v>
      </c>
      <c r="F438">
        <v>2</v>
      </c>
      <c r="G438">
        <v>16</v>
      </c>
      <c r="H438">
        <v>306</v>
      </c>
      <c r="I438">
        <v>218</v>
      </c>
      <c r="J438">
        <v>88</v>
      </c>
      <c r="K438">
        <v>4</v>
      </c>
      <c r="L438">
        <f t="shared" si="31"/>
        <v>-1</v>
      </c>
      <c r="M438">
        <f t="shared" si="32"/>
        <v>-33</v>
      </c>
      <c r="N438">
        <f t="shared" si="33"/>
        <v>13</v>
      </c>
      <c r="O438">
        <f t="shared" si="34"/>
        <v>-46</v>
      </c>
      <c r="P438">
        <f t="shared" si="30"/>
        <v>-2</v>
      </c>
      <c r="Q438" t="s">
        <v>7</v>
      </c>
    </row>
    <row r="439" spans="1:17" x14ac:dyDescent="0.35">
      <c r="A439" t="s">
        <v>11</v>
      </c>
      <c r="B439">
        <v>18</v>
      </c>
      <c r="C439">
        <v>236</v>
      </c>
      <c r="D439">
        <v>178</v>
      </c>
      <c r="E439">
        <v>58</v>
      </c>
      <c r="F439">
        <v>4</v>
      </c>
      <c r="G439">
        <v>17</v>
      </c>
      <c r="H439">
        <v>293</v>
      </c>
      <c r="I439">
        <v>189</v>
      </c>
      <c r="J439">
        <v>104</v>
      </c>
      <c r="K439">
        <v>0</v>
      </c>
      <c r="L439">
        <f t="shared" si="31"/>
        <v>1</v>
      </c>
      <c r="M439">
        <f t="shared" si="32"/>
        <v>-57</v>
      </c>
      <c r="N439">
        <f t="shared" si="33"/>
        <v>-11</v>
      </c>
      <c r="O439">
        <f t="shared" si="34"/>
        <v>-46</v>
      </c>
      <c r="P439">
        <f t="shared" si="30"/>
        <v>4</v>
      </c>
      <c r="Q439" t="s">
        <v>5</v>
      </c>
    </row>
    <row r="440" spans="1:17" x14ac:dyDescent="0.35">
      <c r="A440" t="s">
        <v>11</v>
      </c>
      <c r="B440">
        <v>16</v>
      </c>
      <c r="C440">
        <v>338</v>
      </c>
      <c r="D440">
        <v>179</v>
      </c>
      <c r="E440">
        <v>159</v>
      </c>
      <c r="F440">
        <v>1</v>
      </c>
      <c r="G440">
        <v>11</v>
      </c>
      <c r="H440">
        <v>244</v>
      </c>
      <c r="I440">
        <v>158</v>
      </c>
      <c r="J440">
        <v>86</v>
      </c>
      <c r="K440">
        <v>2</v>
      </c>
      <c r="L440">
        <f t="shared" si="31"/>
        <v>5</v>
      </c>
      <c r="M440">
        <f t="shared" si="32"/>
        <v>94</v>
      </c>
      <c r="N440">
        <f t="shared" si="33"/>
        <v>21</v>
      </c>
      <c r="O440">
        <f t="shared" si="34"/>
        <v>73</v>
      </c>
      <c r="P440">
        <f t="shared" si="30"/>
        <v>-1</v>
      </c>
      <c r="Q440" t="s">
        <v>7</v>
      </c>
    </row>
    <row r="441" spans="1:17" x14ac:dyDescent="0.35">
      <c r="A441" t="s">
        <v>12</v>
      </c>
      <c r="B441">
        <v>18</v>
      </c>
      <c r="C441">
        <v>323</v>
      </c>
      <c r="D441">
        <v>199</v>
      </c>
      <c r="E441">
        <v>124</v>
      </c>
      <c r="F441">
        <v>1</v>
      </c>
      <c r="G441">
        <v>19</v>
      </c>
      <c r="H441">
        <v>279</v>
      </c>
      <c r="I441">
        <v>173</v>
      </c>
      <c r="J441">
        <v>106</v>
      </c>
      <c r="K441">
        <v>2</v>
      </c>
      <c r="L441">
        <f t="shared" si="31"/>
        <v>-1</v>
      </c>
      <c r="M441">
        <f t="shared" si="32"/>
        <v>44</v>
      </c>
      <c r="N441">
        <f t="shared" si="33"/>
        <v>26</v>
      </c>
      <c r="O441">
        <f t="shared" si="34"/>
        <v>18</v>
      </c>
      <c r="P441">
        <f t="shared" si="30"/>
        <v>-1</v>
      </c>
      <c r="Q441" t="s">
        <v>7</v>
      </c>
    </row>
    <row r="442" spans="1:17" x14ac:dyDescent="0.35">
      <c r="A442" t="s">
        <v>11</v>
      </c>
      <c r="B442">
        <v>20</v>
      </c>
      <c r="C442">
        <v>275</v>
      </c>
      <c r="D442">
        <v>135</v>
      </c>
      <c r="E442">
        <v>140</v>
      </c>
      <c r="F442">
        <v>2</v>
      </c>
      <c r="G442">
        <v>17</v>
      </c>
      <c r="H442">
        <v>236</v>
      </c>
      <c r="I442">
        <v>165</v>
      </c>
      <c r="J442">
        <v>71</v>
      </c>
      <c r="K442">
        <v>3</v>
      </c>
      <c r="L442">
        <f t="shared" si="31"/>
        <v>3</v>
      </c>
      <c r="M442">
        <f t="shared" si="32"/>
        <v>39</v>
      </c>
      <c r="N442">
        <f t="shared" si="33"/>
        <v>-30</v>
      </c>
      <c r="O442">
        <f t="shared" si="34"/>
        <v>69</v>
      </c>
      <c r="P442">
        <f t="shared" si="30"/>
        <v>-1</v>
      </c>
      <c r="Q442" t="s">
        <v>7</v>
      </c>
    </row>
    <row r="443" spans="1:17" x14ac:dyDescent="0.35">
      <c r="A443" t="s">
        <v>12</v>
      </c>
      <c r="B443">
        <v>15</v>
      </c>
      <c r="C443">
        <v>229</v>
      </c>
      <c r="D443">
        <v>178</v>
      </c>
      <c r="E443">
        <v>51</v>
      </c>
      <c r="F443">
        <v>5</v>
      </c>
      <c r="G443">
        <v>17</v>
      </c>
      <c r="H443">
        <v>261</v>
      </c>
      <c r="I443">
        <v>131</v>
      </c>
      <c r="J443">
        <v>130</v>
      </c>
      <c r="K443">
        <v>2</v>
      </c>
      <c r="L443">
        <f t="shared" si="31"/>
        <v>-2</v>
      </c>
      <c r="M443">
        <f t="shared" si="32"/>
        <v>-32</v>
      </c>
      <c r="N443">
        <f t="shared" si="33"/>
        <v>47</v>
      </c>
      <c r="O443">
        <f t="shared" si="34"/>
        <v>-79</v>
      </c>
      <c r="P443">
        <f t="shared" si="30"/>
        <v>3</v>
      </c>
      <c r="Q443" t="s">
        <v>5</v>
      </c>
    </row>
    <row r="444" spans="1:17" x14ac:dyDescent="0.35">
      <c r="A444" t="s">
        <v>11</v>
      </c>
      <c r="B444">
        <v>16</v>
      </c>
      <c r="C444">
        <v>260</v>
      </c>
      <c r="D444">
        <v>185</v>
      </c>
      <c r="E444">
        <v>75</v>
      </c>
      <c r="F444">
        <v>2</v>
      </c>
      <c r="G444">
        <v>14</v>
      </c>
      <c r="H444">
        <v>259</v>
      </c>
      <c r="I444">
        <v>174</v>
      </c>
      <c r="J444">
        <v>85</v>
      </c>
      <c r="K444">
        <v>1</v>
      </c>
      <c r="L444">
        <f t="shared" si="31"/>
        <v>2</v>
      </c>
      <c r="M444">
        <f t="shared" si="32"/>
        <v>1</v>
      </c>
      <c r="N444">
        <f t="shared" si="33"/>
        <v>11</v>
      </c>
      <c r="O444">
        <f t="shared" si="34"/>
        <v>-10</v>
      </c>
      <c r="P444">
        <f t="shared" si="30"/>
        <v>1</v>
      </c>
      <c r="Q444" t="s">
        <v>5</v>
      </c>
    </row>
    <row r="445" spans="1:17" x14ac:dyDescent="0.35">
      <c r="A445" t="s">
        <v>11</v>
      </c>
      <c r="B445">
        <v>10</v>
      </c>
      <c r="C445">
        <v>168</v>
      </c>
      <c r="D445">
        <v>77</v>
      </c>
      <c r="E445">
        <v>91</v>
      </c>
      <c r="F445">
        <v>2</v>
      </c>
      <c r="G445">
        <v>19</v>
      </c>
      <c r="H445">
        <v>304</v>
      </c>
      <c r="I445">
        <v>81</v>
      </c>
      <c r="J445">
        <v>223</v>
      </c>
      <c r="K445">
        <v>2</v>
      </c>
      <c r="L445">
        <f t="shared" si="31"/>
        <v>-9</v>
      </c>
      <c r="M445">
        <f t="shared" si="32"/>
        <v>-136</v>
      </c>
      <c r="N445">
        <f t="shared" si="33"/>
        <v>-4</v>
      </c>
      <c r="O445">
        <f t="shared" si="34"/>
        <v>-132</v>
      </c>
      <c r="P445">
        <f t="shared" si="30"/>
        <v>0</v>
      </c>
      <c r="Q445" t="s">
        <v>5</v>
      </c>
    </row>
    <row r="446" spans="1:17" x14ac:dyDescent="0.35">
      <c r="A446" t="s">
        <v>11</v>
      </c>
      <c r="B446">
        <v>17</v>
      </c>
      <c r="C446">
        <v>256</v>
      </c>
      <c r="D446">
        <v>158</v>
      </c>
      <c r="E446">
        <v>98</v>
      </c>
      <c r="F446">
        <v>2</v>
      </c>
      <c r="G446">
        <v>21</v>
      </c>
      <c r="H446">
        <v>295</v>
      </c>
      <c r="I446">
        <v>174</v>
      </c>
      <c r="J446">
        <v>121</v>
      </c>
      <c r="K446">
        <v>4</v>
      </c>
      <c r="L446">
        <f t="shared" si="31"/>
        <v>-4</v>
      </c>
      <c r="M446">
        <f t="shared" si="32"/>
        <v>-39</v>
      </c>
      <c r="N446">
        <f t="shared" si="33"/>
        <v>-16</v>
      </c>
      <c r="O446">
        <f t="shared" si="34"/>
        <v>-23</v>
      </c>
      <c r="P446">
        <f t="shared" si="30"/>
        <v>-2</v>
      </c>
      <c r="Q446" t="s">
        <v>7</v>
      </c>
    </row>
    <row r="447" spans="1:17" x14ac:dyDescent="0.35">
      <c r="A447" t="s">
        <v>11</v>
      </c>
      <c r="B447">
        <v>27</v>
      </c>
      <c r="C447">
        <v>571</v>
      </c>
      <c r="D447">
        <v>312</v>
      </c>
      <c r="E447">
        <v>259</v>
      </c>
      <c r="F447">
        <v>1</v>
      </c>
      <c r="G447">
        <v>14</v>
      </c>
      <c r="H447">
        <v>316</v>
      </c>
      <c r="I447">
        <v>291</v>
      </c>
      <c r="J447">
        <v>25</v>
      </c>
      <c r="K447">
        <v>1</v>
      </c>
      <c r="L447">
        <f t="shared" si="31"/>
        <v>13</v>
      </c>
      <c r="M447">
        <f t="shared" si="32"/>
        <v>255</v>
      </c>
      <c r="N447">
        <f t="shared" si="33"/>
        <v>21</v>
      </c>
      <c r="O447">
        <f t="shared" si="34"/>
        <v>234</v>
      </c>
      <c r="P447">
        <f t="shared" si="30"/>
        <v>0</v>
      </c>
      <c r="Q447" t="s">
        <v>7</v>
      </c>
    </row>
    <row r="448" spans="1:17" x14ac:dyDescent="0.35">
      <c r="A448" t="s">
        <v>12</v>
      </c>
      <c r="B448">
        <v>26</v>
      </c>
      <c r="C448">
        <v>436</v>
      </c>
      <c r="D448">
        <v>268</v>
      </c>
      <c r="E448">
        <v>168</v>
      </c>
      <c r="F448">
        <v>5</v>
      </c>
      <c r="G448">
        <v>11</v>
      </c>
      <c r="H448">
        <v>239</v>
      </c>
      <c r="I448">
        <v>160</v>
      </c>
      <c r="J448">
        <v>79</v>
      </c>
      <c r="K448">
        <v>2</v>
      </c>
      <c r="L448">
        <f t="shared" si="31"/>
        <v>15</v>
      </c>
      <c r="M448">
        <f t="shared" si="32"/>
        <v>197</v>
      </c>
      <c r="N448">
        <f t="shared" si="33"/>
        <v>108</v>
      </c>
      <c r="O448">
        <f t="shared" si="34"/>
        <v>89</v>
      </c>
      <c r="P448">
        <f t="shared" si="30"/>
        <v>3</v>
      </c>
      <c r="Q448" t="s">
        <v>7</v>
      </c>
    </row>
    <row r="449" spans="1:17" x14ac:dyDescent="0.35">
      <c r="A449" t="s">
        <v>12</v>
      </c>
      <c r="B449">
        <v>22</v>
      </c>
      <c r="C449">
        <v>446</v>
      </c>
      <c r="D449">
        <v>171</v>
      </c>
      <c r="E449">
        <v>275</v>
      </c>
      <c r="F449">
        <v>0</v>
      </c>
      <c r="G449">
        <v>9</v>
      </c>
      <c r="H449">
        <v>180</v>
      </c>
      <c r="I449">
        <v>78</v>
      </c>
      <c r="J449">
        <v>102</v>
      </c>
      <c r="K449">
        <v>4</v>
      </c>
      <c r="L449">
        <f t="shared" si="31"/>
        <v>13</v>
      </c>
      <c r="M449">
        <f t="shared" si="32"/>
        <v>266</v>
      </c>
      <c r="N449">
        <f t="shared" si="33"/>
        <v>93</v>
      </c>
      <c r="O449">
        <f t="shared" si="34"/>
        <v>173</v>
      </c>
      <c r="P449">
        <f t="shared" si="30"/>
        <v>-4</v>
      </c>
      <c r="Q449" t="s">
        <v>7</v>
      </c>
    </row>
    <row r="450" spans="1:17" x14ac:dyDescent="0.35">
      <c r="A450" t="s">
        <v>11</v>
      </c>
      <c r="B450">
        <v>22</v>
      </c>
      <c r="C450">
        <v>331</v>
      </c>
      <c r="D450">
        <v>232</v>
      </c>
      <c r="E450">
        <v>99</v>
      </c>
      <c r="F450">
        <v>2</v>
      </c>
      <c r="G450">
        <v>10</v>
      </c>
      <c r="H450">
        <v>157</v>
      </c>
      <c r="I450">
        <v>48</v>
      </c>
      <c r="J450">
        <v>109</v>
      </c>
      <c r="K450">
        <v>1</v>
      </c>
      <c r="L450">
        <f t="shared" si="31"/>
        <v>12</v>
      </c>
      <c r="M450">
        <f t="shared" si="32"/>
        <v>174</v>
      </c>
      <c r="N450">
        <f t="shared" si="33"/>
        <v>184</v>
      </c>
      <c r="O450">
        <f t="shared" si="34"/>
        <v>-10</v>
      </c>
      <c r="P450">
        <f t="shared" ref="P450:P513" si="35">F450-K450</f>
        <v>1</v>
      </c>
      <c r="Q450" t="s">
        <v>7</v>
      </c>
    </row>
    <row r="451" spans="1:17" x14ac:dyDescent="0.35">
      <c r="A451" t="s">
        <v>11</v>
      </c>
      <c r="B451">
        <v>17</v>
      </c>
      <c r="C451">
        <v>283</v>
      </c>
      <c r="D451">
        <v>146</v>
      </c>
      <c r="E451">
        <v>137</v>
      </c>
      <c r="F451">
        <v>1</v>
      </c>
      <c r="G451">
        <v>10</v>
      </c>
      <c r="H451">
        <v>154</v>
      </c>
      <c r="I451">
        <v>50</v>
      </c>
      <c r="J451">
        <v>104</v>
      </c>
      <c r="K451">
        <v>1</v>
      </c>
      <c r="L451">
        <f t="shared" ref="L451:L514" si="36">B451-G451</f>
        <v>7</v>
      </c>
      <c r="M451">
        <f t="shared" ref="M451:M514" si="37">C451-H451</f>
        <v>129</v>
      </c>
      <c r="N451">
        <f t="shared" ref="N451:N514" si="38">D451-I451</f>
        <v>96</v>
      </c>
      <c r="O451">
        <f t="shared" ref="O451:O514" si="39">E451-J451</f>
        <v>33</v>
      </c>
      <c r="P451">
        <f t="shared" si="35"/>
        <v>0</v>
      </c>
      <c r="Q451" t="s">
        <v>7</v>
      </c>
    </row>
    <row r="452" spans="1:17" x14ac:dyDescent="0.35">
      <c r="A452" t="s">
        <v>12</v>
      </c>
      <c r="B452">
        <v>24</v>
      </c>
      <c r="C452">
        <v>388</v>
      </c>
      <c r="D452">
        <v>156</v>
      </c>
      <c r="E452">
        <v>232</v>
      </c>
      <c r="F452">
        <v>1</v>
      </c>
      <c r="G452">
        <v>12</v>
      </c>
      <c r="H452">
        <v>230</v>
      </c>
      <c r="I452">
        <v>100</v>
      </c>
      <c r="J452">
        <v>130</v>
      </c>
      <c r="K452">
        <v>3</v>
      </c>
      <c r="L452">
        <f t="shared" si="36"/>
        <v>12</v>
      </c>
      <c r="M452">
        <f t="shared" si="37"/>
        <v>158</v>
      </c>
      <c r="N452">
        <f t="shared" si="38"/>
        <v>56</v>
      </c>
      <c r="O452">
        <f t="shared" si="39"/>
        <v>102</v>
      </c>
      <c r="P452">
        <f t="shared" si="35"/>
        <v>-2</v>
      </c>
      <c r="Q452" t="s">
        <v>7</v>
      </c>
    </row>
    <row r="453" spans="1:17" x14ac:dyDescent="0.35">
      <c r="A453" t="s">
        <v>11</v>
      </c>
      <c r="B453">
        <v>21</v>
      </c>
      <c r="C453">
        <v>411</v>
      </c>
      <c r="D453">
        <v>310</v>
      </c>
      <c r="E453">
        <v>101</v>
      </c>
      <c r="F453">
        <v>0</v>
      </c>
      <c r="G453">
        <v>19</v>
      </c>
      <c r="H453">
        <v>357</v>
      </c>
      <c r="I453">
        <v>204</v>
      </c>
      <c r="J453">
        <v>153</v>
      </c>
      <c r="K453">
        <v>0</v>
      </c>
      <c r="L453">
        <f t="shared" si="36"/>
        <v>2</v>
      </c>
      <c r="M453">
        <f t="shared" si="37"/>
        <v>54</v>
      </c>
      <c r="N453">
        <f t="shared" si="38"/>
        <v>106</v>
      </c>
      <c r="O453">
        <f t="shared" si="39"/>
        <v>-52</v>
      </c>
      <c r="P453">
        <f t="shared" si="35"/>
        <v>0</v>
      </c>
      <c r="Q453" t="s">
        <v>7</v>
      </c>
    </row>
    <row r="454" spans="1:17" x14ac:dyDescent="0.35">
      <c r="A454" t="s">
        <v>12</v>
      </c>
      <c r="B454">
        <v>21</v>
      </c>
      <c r="C454">
        <v>302</v>
      </c>
      <c r="D454">
        <v>215</v>
      </c>
      <c r="E454">
        <v>87</v>
      </c>
      <c r="F454">
        <v>3</v>
      </c>
      <c r="G454">
        <v>19</v>
      </c>
      <c r="H454">
        <v>336</v>
      </c>
      <c r="I454">
        <v>189</v>
      </c>
      <c r="J454">
        <v>147</v>
      </c>
      <c r="K454">
        <v>4</v>
      </c>
      <c r="L454">
        <f t="shared" si="36"/>
        <v>2</v>
      </c>
      <c r="M454">
        <f t="shared" si="37"/>
        <v>-34</v>
      </c>
      <c r="N454">
        <f t="shared" si="38"/>
        <v>26</v>
      </c>
      <c r="O454">
        <f t="shared" si="39"/>
        <v>-60</v>
      </c>
      <c r="P454">
        <f t="shared" si="35"/>
        <v>-1</v>
      </c>
      <c r="Q454" t="s">
        <v>5</v>
      </c>
    </row>
    <row r="455" spans="1:17" x14ac:dyDescent="0.35">
      <c r="A455" t="s">
        <v>12</v>
      </c>
      <c r="B455">
        <v>26</v>
      </c>
      <c r="C455">
        <v>442</v>
      </c>
      <c r="D455">
        <v>408</v>
      </c>
      <c r="E455">
        <v>34</v>
      </c>
      <c r="F455">
        <v>2</v>
      </c>
      <c r="G455">
        <v>21</v>
      </c>
      <c r="H455">
        <v>266</v>
      </c>
      <c r="I455">
        <v>131</v>
      </c>
      <c r="J455">
        <v>135</v>
      </c>
      <c r="K455">
        <v>2</v>
      </c>
      <c r="L455">
        <f t="shared" si="36"/>
        <v>5</v>
      </c>
      <c r="M455">
        <f t="shared" si="37"/>
        <v>176</v>
      </c>
      <c r="N455">
        <f t="shared" si="38"/>
        <v>277</v>
      </c>
      <c r="O455">
        <f t="shared" si="39"/>
        <v>-101</v>
      </c>
      <c r="P455">
        <f t="shared" si="35"/>
        <v>0</v>
      </c>
      <c r="Q455" t="s">
        <v>7</v>
      </c>
    </row>
    <row r="456" spans="1:17" x14ac:dyDescent="0.35">
      <c r="A456" t="s">
        <v>12</v>
      </c>
      <c r="B456">
        <v>16</v>
      </c>
      <c r="C456">
        <v>339</v>
      </c>
      <c r="D456">
        <v>227</v>
      </c>
      <c r="E456">
        <v>112</v>
      </c>
      <c r="F456">
        <v>0</v>
      </c>
      <c r="G456">
        <v>19</v>
      </c>
      <c r="H456">
        <v>198</v>
      </c>
      <c r="I456">
        <v>81</v>
      </c>
      <c r="J456">
        <v>117</v>
      </c>
      <c r="K456">
        <v>1</v>
      </c>
      <c r="L456">
        <f t="shared" si="36"/>
        <v>-3</v>
      </c>
      <c r="M456">
        <f t="shared" si="37"/>
        <v>141</v>
      </c>
      <c r="N456">
        <f t="shared" si="38"/>
        <v>146</v>
      </c>
      <c r="O456">
        <f t="shared" si="39"/>
        <v>-5</v>
      </c>
      <c r="P456">
        <f t="shared" si="35"/>
        <v>-1</v>
      </c>
      <c r="Q456" t="s">
        <v>7</v>
      </c>
    </row>
    <row r="457" spans="1:17" x14ac:dyDescent="0.35">
      <c r="A457" t="s">
        <v>11</v>
      </c>
      <c r="B457">
        <v>15</v>
      </c>
      <c r="C457">
        <v>331</v>
      </c>
      <c r="D457">
        <v>157</v>
      </c>
      <c r="E457">
        <v>174</v>
      </c>
      <c r="F457">
        <v>1</v>
      </c>
      <c r="G457">
        <v>21</v>
      </c>
      <c r="H457">
        <v>283</v>
      </c>
      <c r="I457">
        <v>105</v>
      </c>
      <c r="J457">
        <v>178</v>
      </c>
      <c r="K457">
        <v>1</v>
      </c>
      <c r="L457">
        <f t="shared" si="36"/>
        <v>-6</v>
      </c>
      <c r="M457">
        <f t="shared" si="37"/>
        <v>48</v>
      </c>
      <c r="N457">
        <f t="shared" si="38"/>
        <v>52</v>
      </c>
      <c r="O457">
        <f t="shared" si="39"/>
        <v>-4</v>
      </c>
      <c r="P457">
        <f t="shared" si="35"/>
        <v>0</v>
      </c>
      <c r="Q457" t="s">
        <v>5</v>
      </c>
    </row>
    <row r="458" spans="1:17" x14ac:dyDescent="0.35">
      <c r="A458" t="s">
        <v>11</v>
      </c>
      <c r="B458">
        <v>25</v>
      </c>
      <c r="C458">
        <v>516</v>
      </c>
      <c r="D458">
        <v>354</v>
      </c>
      <c r="E458">
        <v>162</v>
      </c>
      <c r="F458">
        <v>1</v>
      </c>
      <c r="G458">
        <v>28</v>
      </c>
      <c r="H458">
        <v>465</v>
      </c>
      <c r="I458">
        <v>349</v>
      </c>
      <c r="J458">
        <v>116</v>
      </c>
      <c r="K458">
        <v>1</v>
      </c>
      <c r="L458">
        <f t="shared" si="36"/>
        <v>-3</v>
      </c>
      <c r="M458">
        <f t="shared" si="37"/>
        <v>51</v>
      </c>
      <c r="N458">
        <f t="shared" si="38"/>
        <v>5</v>
      </c>
      <c r="O458">
        <f t="shared" si="39"/>
        <v>46</v>
      </c>
      <c r="P458">
        <f t="shared" si="35"/>
        <v>0</v>
      </c>
      <c r="Q458" t="s">
        <v>7</v>
      </c>
    </row>
    <row r="459" spans="1:17" x14ac:dyDescent="0.35">
      <c r="A459" t="s">
        <v>12</v>
      </c>
      <c r="B459">
        <v>20</v>
      </c>
      <c r="C459">
        <v>313</v>
      </c>
      <c r="D459">
        <v>193</v>
      </c>
      <c r="E459">
        <v>120</v>
      </c>
      <c r="F459">
        <v>2</v>
      </c>
      <c r="G459">
        <v>20</v>
      </c>
      <c r="H459">
        <v>290</v>
      </c>
      <c r="I459">
        <v>201</v>
      </c>
      <c r="J459">
        <v>89</v>
      </c>
      <c r="K459">
        <v>1</v>
      </c>
      <c r="L459">
        <f t="shared" si="36"/>
        <v>0</v>
      </c>
      <c r="M459">
        <f t="shared" si="37"/>
        <v>23</v>
      </c>
      <c r="N459">
        <f t="shared" si="38"/>
        <v>-8</v>
      </c>
      <c r="O459">
        <f t="shared" si="39"/>
        <v>31</v>
      </c>
      <c r="P459">
        <f t="shared" si="35"/>
        <v>1</v>
      </c>
      <c r="Q459" t="s">
        <v>5</v>
      </c>
    </row>
    <row r="460" spans="1:17" x14ac:dyDescent="0.35">
      <c r="A460" t="s">
        <v>12</v>
      </c>
      <c r="B460">
        <v>19</v>
      </c>
      <c r="C460">
        <v>334</v>
      </c>
      <c r="D460">
        <v>215</v>
      </c>
      <c r="E460">
        <v>119</v>
      </c>
      <c r="F460">
        <v>2</v>
      </c>
      <c r="G460">
        <v>24</v>
      </c>
      <c r="H460">
        <v>395</v>
      </c>
      <c r="I460">
        <v>323</v>
      </c>
      <c r="J460">
        <v>72</v>
      </c>
      <c r="K460">
        <v>1</v>
      </c>
      <c r="L460">
        <f t="shared" si="36"/>
        <v>-5</v>
      </c>
      <c r="M460">
        <f t="shared" si="37"/>
        <v>-61</v>
      </c>
      <c r="N460">
        <f t="shared" si="38"/>
        <v>-108</v>
      </c>
      <c r="O460">
        <f t="shared" si="39"/>
        <v>47</v>
      </c>
      <c r="P460">
        <f t="shared" si="35"/>
        <v>1</v>
      </c>
      <c r="Q460" t="s">
        <v>7</v>
      </c>
    </row>
    <row r="461" spans="1:17" x14ac:dyDescent="0.35">
      <c r="A461" t="s">
        <v>11</v>
      </c>
      <c r="B461">
        <v>18</v>
      </c>
      <c r="C461">
        <v>398</v>
      </c>
      <c r="D461">
        <v>270</v>
      </c>
      <c r="E461">
        <v>128</v>
      </c>
      <c r="F461">
        <v>0</v>
      </c>
      <c r="G461">
        <v>27</v>
      </c>
      <c r="H461">
        <v>348</v>
      </c>
      <c r="I461">
        <v>223</v>
      </c>
      <c r="J461">
        <v>125</v>
      </c>
      <c r="K461">
        <v>0</v>
      </c>
      <c r="L461">
        <f t="shared" si="36"/>
        <v>-9</v>
      </c>
      <c r="M461">
        <f t="shared" si="37"/>
        <v>50</v>
      </c>
      <c r="N461">
        <f t="shared" si="38"/>
        <v>47</v>
      </c>
      <c r="O461">
        <f t="shared" si="39"/>
        <v>3</v>
      </c>
      <c r="P461">
        <f t="shared" si="35"/>
        <v>0</v>
      </c>
      <c r="Q461" t="s">
        <v>7</v>
      </c>
    </row>
    <row r="462" spans="1:17" x14ac:dyDescent="0.35">
      <c r="A462" t="s">
        <v>12</v>
      </c>
      <c r="B462">
        <v>21</v>
      </c>
      <c r="C462">
        <v>308</v>
      </c>
      <c r="D462">
        <v>122</v>
      </c>
      <c r="E462">
        <v>186</v>
      </c>
      <c r="F462">
        <v>2</v>
      </c>
      <c r="G462">
        <v>7</v>
      </c>
      <c r="H462">
        <v>147</v>
      </c>
      <c r="I462">
        <v>126</v>
      </c>
      <c r="J462">
        <v>21</v>
      </c>
      <c r="K462">
        <v>2</v>
      </c>
      <c r="L462">
        <f t="shared" si="36"/>
        <v>14</v>
      </c>
      <c r="M462">
        <f t="shared" si="37"/>
        <v>161</v>
      </c>
      <c r="N462">
        <f t="shared" si="38"/>
        <v>-4</v>
      </c>
      <c r="O462">
        <f t="shared" si="39"/>
        <v>165</v>
      </c>
      <c r="P462">
        <f t="shared" si="35"/>
        <v>0</v>
      </c>
      <c r="Q462" t="s">
        <v>7</v>
      </c>
    </row>
    <row r="463" spans="1:17" x14ac:dyDescent="0.35">
      <c r="A463" t="s">
        <v>12</v>
      </c>
      <c r="B463">
        <v>19</v>
      </c>
      <c r="C463">
        <v>354</v>
      </c>
      <c r="D463">
        <v>69</v>
      </c>
      <c r="E463">
        <v>285</v>
      </c>
      <c r="F463">
        <v>0</v>
      </c>
      <c r="G463">
        <v>21</v>
      </c>
      <c r="H463">
        <v>358</v>
      </c>
      <c r="I463">
        <v>296</v>
      </c>
      <c r="J463">
        <v>62</v>
      </c>
      <c r="K463">
        <v>3</v>
      </c>
      <c r="L463">
        <f t="shared" si="36"/>
        <v>-2</v>
      </c>
      <c r="M463">
        <f t="shared" si="37"/>
        <v>-4</v>
      </c>
      <c r="N463">
        <f t="shared" si="38"/>
        <v>-227</v>
      </c>
      <c r="O463">
        <f t="shared" si="39"/>
        <v>223</v>
      </c>
      <c r="P463">
        <f t="shared" si="35"/>
        <v>-3</v>
      </c>
      <c r="Q463" t="s">
        <v>7</v>
      </c>
    </row>
    <row r="464" spans="1:17" x14ac:dyDescent="0.35">
      <c r="A464" t="s">
        <v>12</v>
      </c>
      <c r="B464">
        <v>21</v>
      </c>
      <c r="C464">
        <v>351</v>
      </c>
      <c r="D464">
        <v>210</v>
      </c>
      <c r="E464">
        <v>141</v>
      </c>
      <c r="F464">
        <v>2</v>
      </c>
      <c r="G464">
        <v>26</v>
      </c>
      <c r="H464">
        <v>397</v>
      </c>
      <c r="I464">
        <v>268</v>
      </c>
      <c r="J464">
        <v>129</v>
      </c>
      <c r="K464">
        <v>2</v>
      </c>
      <c r="L464">
        <f t="shared" si="36"/>
        <v>-5</v>
      </c>
      <c r="M464">
        <f t="shared" si="37"/>
        <v>-46</v>
      </c>
      <c r="N464">
        <f t="shared" si="38"/>
        <v>-58</v>
      </c>
      <c r="O464">
        <f t="shared" si="39"/>
        <v>12</v>
      </c>
      <c r="P464">
        <f t="shared" si="35"/>
        <v>0</v>
      </c>
      <c r="Q464" t="s">
        <v>5</v>
      </c>
    </row>
    <row r="465" spans="1:17" x14ac:dyDescent="0.35">
      <c r="A465" t="s">
        <v>12</v>
      </c>
      <c r="B465">
        <v>12</v>
      </c>
      <c r="C465">
        <v>232</v>
      </c>
      <c r="D465">
        <v>160</v>
      </c>
      <c r="E465">
        <v>72</v>
      </c>
      <c r="F465">
        <v>1</v>
      </c>
      <c r="G465">
        <v>22</v>
      </c>
      <c r="H465">
        <v>429</v>
      </c>
      <c r="I465">
        <v>395</v>
      </c>
      <c r="J465">
        <v>34</v>
      </c>
      <c r="K465">
        <v>3</v>
      </c>
      <c r="L465">
        <f t="shared" si="36"/>
        <v>-10</v>
      </c>
      <c r="M465">
        <f t="shared" si="37"/>
        <v>-197</v>
      </c>
      <c r="N465">
        <f t="shared" si="38"/>
        <v>-235</v>
      </c>
      <c r="O465">
        <f t="shared" si="39"/>
        <v>38</v>
      </c>
      <c r="P465">
        <f t="shared" si="35"/>
        <v>-2</v>
      </c>
      <c r="Q465" t="s">
        <v>7</v>
      </c>
    </row>
    <row r="466" spans="1:17" x14ac:dyDescent="0.35">
      <c r="A466" t="s">
        <v>11</v>
      </c>
      <c r="B466">
        <v>25</v>
      </c>
      <c r="C466">
        <v>425</v>
      </c>
      <c r="D466">
        <v>274</v>
      </c>
      <c r="E466">
        <v>151</v>
      </c>
      <c r="F466">
        <v>2</v>
      </c>
      <c r="G466">
        <v>17</v>
      </c>
      <c r="H466">
        <v>261</v>
      </c>
      <c r="I466">
        <v>180</v>
      </c>
      <c r="J466">
        <v>81</v>
      </c>
      <c r="K466">
        <v>1</v>
      </c>
      <c r="L466">
        <f t="shared" si="36"/>
        <v>8</v>
      </c>
      <c r="M466">
        <f t="shared" si="37"/>
        <v>164</v>
      </c>
      <c r="N466">
        <f t="shared" si="38"/>
        <v>94</v>
      </c>
      <c r="O466">
        <f t="shared" si="39"/>
        <v>70</v>
      </c>
      <c r="P466">
        <f t="shared" si="35"/>
        <v>1</v>
      </c>
      <c r="Q466" t="s">
        <v>7</v>
      </c>
    </row>
    <row r="467" spans="1:17" x14ac:dyDescent="0.35">
      <c r="A467" t="s">
        <v>12</v>
      </c>
      <c r="B467">
        <v>26</v>
      </c>
      <c r="C467">
        <v>514</v>
      </c>
      <c r="D467">
        <v>406</v>
      </c>
      <c r="E467">
        <v>108</v>
      </c>
      <c r="F467">
        <v>1</v>
      </c>
      <c r="G467">
        <v>15</v>
      </c>
      <c r="H467">
        <v>265</v>
      </c>
      <c r="I467">
        <v>177</v>
      </c>
      <c r="J467">
        <v>88</v>
      </c>
      <c r="K467">
        <v>1</v>
      </c>
      <c r="L467">
        <f t="shared" si="36"/>
        <v>11</v>
      </c>
      <c r="M467">
        <f t="shared" si="37"/>
        <v>249</v>
      </c>
      <c r="N467">
        <f t="shared" si="38"/>
        <v>229</v>
      </c>
      <c r="O467">
        <f t="shared" si="39"/>
        <v>20</v>
      </c>
      <c r="P467">
        <f t="shared" si="35"/>
        <v>0</v>
      </c>
      <c r="Q467" t="s">
        <v>5</v>
      </c>
    </row>
    <row r="468" spans="1:17" x14ac:dyDescent="0.35">
      <c r="A468" t="s">
        <v>11</v>
      </c>
      <c r="B468">
        <v>21</v>
      </c>
      <c r="C468">
        <v>340</v>
      </c>
      <c r="D468">
        <v>225</v>
      </c>
      <c r="E468">
        <v>115</v>
      </c>
      <c r="F468">
        <v>0</v>
      </c>
      <c r="G468">
        <v>20</v>
      </c>
      <c r="H468">
        <v>321</v>
      </c>
      <c r="I468">
        <v>206</v>
      </c>
      <c r="J468">
        <v>115</v>
      </c>
      <c r="K468">
        <v>1</v>
      </c>
      <c r="L468">
        <f t="shared" si="36"/>
        <v>1</v>
      </c>
      <c r="M468">
        <f t="shared" si="37"/>
        <v>19</v>
      </c>
      <c r="N468">
        <f t="shared" si="38"/>
        <v>19</v>
      </c>
      <c r="O468">
        <f t="shared" si="39"/>
        <v>0</v>
      </c>
      <c r="P468">
        <f t="shared" si="35"/>
        <v>-1</v>
      </c>
      <c r="Q468" t="s">
        <v>7</v>
      </c>
    </row>
    <row r="469" spans="1:17" x14ac:dyDescent="0.35">
      <c r="A469" t="s">
        <v>12</v>
      </c>
      <c r="B469">
        <v>25</v>
      </c>
      <c r="C469">
        <v>429</v>
      </c>
      <c r="D469">
        <v>262</v>
      </c>
      <c r="E469">
        <v>167</v>
      </c>
      <c r="F469">
        <v>1</v>
      </c>
      <c r="G469">
        <v>24</v>
      </c>
      <c r="H469">
        <v>477</v>
      </c>
      <c r="I469">
        <v>395</v>
      </c>
      <c r="J469">
        <v>82</v>
      </c>
      <c r="K469">
        <v>2</v>
      </c>
      <c r="L469">
        <f t="shared" si="36"/>
        <v>1</v>
      </c>
      <c r="M469">
        <f t="shared" si="37"/>
        <v>-48</v>
      </c>
      <c r="N469">
        <f t="shared" si="38"/>
        <v>-133</v>
      </c>
      <c r="O469">
        <f t="shared" si="39"/>
        <v>85</v>
      </c>
      <c r="P469">
        <f t="shared" si="35"/>
        <v>-1</v>
      </c>
      <c r="Q469" t="s">
        <v>7</v>
      </c>
    </row>
    <row r="470" spans="1:17" x14ac:dyDescent="0.35">
      <c r="A470" t="s">
        <v>11</v>
      </c>
      <c r="B470">
        <v>29</v>
      </c>
      <c r="C470">
        <v>454</v>
      </c>
      <c r="D470">
        <v>284</v>
      </c>
      <c r="E470">
        <v>170</v>
      </c>
      <c r="F470">
        <v>1</v>
      </c>
      <c r="G470">
        <v>21</v>
      </c>
      <c r="H470">
        <v>406</v>
      </c>
      <c r="I470">
        <v>249</v>
      </c>
      <c r="J470">
        <v>157</v>
      </c>
      <c r="K470">
        <v>4</v>
      </c>
      <c r="L470">
        <f t="shared" si="36"/>
        <v>8</v>
      </c>
      <c r="M470">
        <f t="shared" si="37"/>
        <v>48</v>
      </c>
      <c r="N470">
        <f t="shared" si="38"/>
        <v>35</v>
      </c>
      <c r="O470">
        <f t="shared" si="39"/>
        <v>13</v>
      </c>
      <c r="P470">
        <f t="shared" si="35"/>
        <v>-3</v>
      </c>
      <c r="Q470" t="s">
        <v>7</v>
      </c>
    </row>
    <row r="471" spans="1:17" x14ac:dyDescent="0.35">
      <c r="A471" t="s">
        <v>12</v>
      </c>
      <c r="B471">
        <v>20</v>
      </c>
      <c r="C471">
        <v>347</v>
      </c>
      <c r="D471">
        <v>241</v>
      </c>
      <c r="E471">
        <v>106</v>
      </c>
      <c r="F471">
        <v>2</v>
      </c>
      <c r="G471">
        <v>14</v>
      </c>
      <c r="H471">
        <v>340</v>
      </c>
      <c r="I471">
        <v>141</v>
      </c>
      <c r="J471">
        <v>199</v>
      </c>
      <c r="K471">
        <v>0</v>
      </c>
      <c r="L471">
        <f t="shared" si="36"/>
        <v>6</v>
      </c>
      <c r="M471">
        <f t="shared" si="37"/>
        <v>7</v>
      </c>
      <c r="N471">
        <f t="shared" si="38"/>
        <v>100</v>
      </c>
      <c r="O471">
        <f t="shared" si="39"/>
        <v>-93</v>
      </c>
      <c r="P471">
        <f t="shared" si="35"/>
        <v>2</v>
      </c>
      <c r="Q471" t="s">
        <v>5</v>
      </c>
    </row>
    <row r="472" spans="1:17" x14ac:dyDescent="0.35">
      <c r="A472" t="s">
        <v>11</v>
      </c>
      <c r="B472">
        <v>18</v>
      </c>
      <c r="C472">
        <v>322</v>
      </c>
      <c r="D472">
        <v>171</v>
      </c>
      <c r="E472">
        <v>151</v>
      </c>
      <c r="F472">
        <v>0</v>
      </c>
      <c r="G472">
        <v>30</v>
      </c>
      <c r="H472">
        <v>510</v>
      </c>
      <c r="I472">
        <v>441</v>
      </c>
      <c r="J472">
        <v>69</v>
      </c>
      <c r="K472">
        <v>3</v>
      </c>
      <c r="L472">
        <f t="shared" si="36"/>
        <v>-12</v>
      </c>
      <c r="M472">
        <f t="shared" si="37"/>
        <v>-188</v>
      </c>
      <c r="N472">
        <f t="shared" si="38"/>
        <v>-270</v>
      </c>
      <c r="O472">
        <f t="shared" si="39"/>
        <v>82</v>
      </c>
      <c r="P472">
        <f t="shared" si="35"/>
        <v>-3</v>
      </c>
      <c r="Q472" t="s">
        <v>7</v>
      </c>
    </row>
    <row r="473" spans="1:17" x14ac:dyDescent="0.35">
      <c r="A473" t="s">
        <v>12</v>
      </c>
      <c r="B473">
        <v>31</v>
      </c>
      <c r="C473">
        <v>492</v>
      </c>
      <c r="D473">
        <v>347</v>
      </c>
      <c r="E473">
        <v>145</v>
      </c>
      <c r="F473">
        <v>1</v>
      </c>
      <c r="G473">
        <v>29</v>
      </c>
      <c r="H473">
        <v>418</v>
      </c>
      <c r="I473">
        <v>319</v>
      </c>
      <c r="J473">
        <v>99</v>
      </c>
      <c r="K473">
        <v>1</v>
      </c>
      <c r="L473">
        <f t="shared" si="36"/>
        <v>2</v>
      </c>
      <c r="M473">
        <f t="shared" si="37"/>
        <v>74</v>
      </c>
      <c r="N473">
        <f t="shared" si="38"/>
        <v>28</v>
      </c>
      <c r="O473">
        <f t="shared" si="39"/>
        <v>46</v>
      </c>
      <c r="P473">
        <f t="shared" si="35"/>
        <v>0</v>
      </c>
      <c r="Q473" t="s">
        <v>7</v>
      </c>
    </row>
    <row r="474" spans="1:17" x14ac:dyDescent="0.35">
      <c r="A474" t="s">
        <v>11</v>
      </c>
      <c r="B474">
        <v>19</v>
      </c>
      <c r="C474">
        <v>336</v>
      </c>
      <c r="D474">
        <v>189</v>
      </c>
      <c r="E474">
        <v>147</v>
      </c>
      <c r="F474">
        <v>4</v>
      </c>
      <c r="G474">
        <v>21</v>
      </c>
      <c r="H474">
        <v>302</v>
      </c>
      <c r="I474">
        <v>215</v>
      </c>
      <c r="J474">
        <v>87</v>
      </c>
      <c r="K474">
        <v>3</v>
      </c>
      <c r="L474">
        <f t="shared" si="36"/>
        <v>-2</v>
      </c>
      <c r="M474">
        <f t="shared" si="37"/>
        <v>34</v>
      </c>
      <c r="N474">
        <f t="shared" si="38"/>
        <v>-26</v>
      </c>
      <c r="O474">
        <f t="shared" si="39"/>
        <v>60</v>
      </c>
      <c r="P474">
        <f t="shared" si="35"/>
        <v>1</v>
      </c>
      <c r="Q474" t="s">
        <v>7</v>
      </c>
    </row>
    <row r="475" spans="1:17" x14ac:dyDescent="0.35">
      <c r="A475" t="s">
        <v>11</v>
      </c>
      <c r="B475">
        <v>14</v>
      </c>
      <c r="C475">
        <v>348</v>
      </c>
      <c r="D475">
        <v>174</v>
      </c>
      <c r="E475">
        <v>174</v>
      </c>
      <c r="F475">
        <v>2</v>
      </c>
      <c r="G475">
        <v>23</v>
      </c>
      <c r="H475">
        <v>344</v>
      </c>
      <c r="I475">
        <v>238</v>
      </c>
      <c r="J475">
        <v>106</v>
      </c>
      <c r="K475">
        <v>5</v>
      </c>
      <c r="L475">
        <f t="shared" si="36"/>
        <v>-9</v>
      </c>
      <c r="M475">
        <f t="shared" si="37"/>
        <v>4</v>
      </c>
      <c r="N475">
        <f t="shared" si="38"/>
        <v>-64</v>
      </c>
      <c r="O475">
        <f t="shared" si="39"/>
        <v>68</v>
      </c>
      <c r="P475">
        <f t="shared" si="35"/>
        <v>-3</v>
      </c>
      <c r="Q475" t="s">
        <v>7</v>
      </c>
    </row>
    <row r="476" spans="1:17" x14ac:dyDescent="0.35">
      <c r="A476" t="s">
        <v>12</v>
      </c>
      <c r="B476">
        <v>24</v>
      </c>
      <c r="C476">
        <v>444</v>
      </c>
      <c r="D476">
        <v>226</v>
      </c>
      <c r="E476">
        <v>218</v>
      </c>
      <c r="F476">
        <v>2</v>
      </c>
      <c r="G476">
        <v>17</v>
      </c>
      <c r="H476">
        <v>354</v>
      </c>
      <c r="I476">
        <v>276</v>
      </c>
      <c r="J476">
        <v>78</v>
      </c>
      <c r="K476">
        <v>3</v>
      </c>
      <c r="L476">
        <f t="shared" si="36"/>
        <v>7</v>
      </c>
      <c r="M476">
        <f t="shared" si="37"/>
        <v>90</v>
      </c>
      <c r="N476">
        <f t="shared" si="38"/>
        <v>-50</v>
      </c>
      <c r="O476">
        <f t="shared" si="39"/>
        <v>140</v>
      </c>
      <c r="P476">
        <f t="shared" si="35"/>
        <v>-1</v>
      </c>
      <c r="Q476" t="s">
        <v>7</v>
      </c>
    </row>
    <row r="477" spans="1:17" x14ac:dyDescent="0.35">
      <c r="A477" t="s">
        <v>11</v>
      </c>
      <c r="B477">
        <v>16</v>
      </c>
      <c r="C477">
        <v>308</v>
      </c>
      <c r="D477">
        <v>202</v>
      </c>
      <c r="E477">
        <v>106</v>
      </c>
      <c r="F477">
        <v>1</v>
      </c>
      <c r="G477">
        <v>26</v>
      </c>
      <c r="H477">
        <v>455</v>
      </c>
      <c r="I477">
        <v>293</v>
      </c>
      <c r="J477">
        <v>162</v>
      </c>
      <c r="K477">
        <v>2</v>
      </c>
      <c r="L477">
        <f t="shared" si="36"/>
        <v>-10</v>
      </c>
      <c r="M477">
        <f t="shared" si="37"/>
        <v>-147</v>
      </c>
      <c r="N477">
        <f t="shared" si="38"/>
        <v>-91</v>
      </c>
      <c r="O477">
        <f t="shared" si="39"/>
        <v>-56</v>
      </c>
      <c r="P477">
        <f t="shared" si="35"/>
        <v>-1</v>
      </c>
      <c r="Q477" t="s">
        <v>5</v>
      </c>
    </row>
    <row r="478" spans="1:17" x14ac:dyDescent="0.35">
      <c r="A478" t="s">
        <v>11</v>
      </c>
      <c r="B478">
        <v>21</v>
      </c>
      <c r="C478">
        <v>428</v>
      </c>
      <c r="D478">
        <v>274</v>
      </c>
      <c r="E478">
        <v>154</v>
      </c>
      <c r="F478">
        <v>1</v>
      </c>
      <c r="G478">
        <v>28</v>
      </c>
      <c r="H478">
        <v>414</v>
      </c>
      <c r="I478">
        <v>269</v>
      </c>
      <c r="J478">
        <v>145</v>
      </c>
      <c r="K478">
        <v>3</v>
      </c>
      <c r="L478">
        <f t="shared" si="36"/>
        <v>-7</v>
      </c>
      <c r="M478">
        <f t="shared" si="37"/>
        <v>14</v>
      </c>
      <c r="N478">
        <f t="shared" si="38"/>
        <v>5</v>
      </c>
      <c r="O478">
        <f t="shared" si="39"/>
        <v>9</v>
      </c>
      <c r="P478">
        <f t="shared" si="35"/>
        <v>-2</v>
      </c>
      <c r="Q478" t="s">
        <v>7</v>
      </c>
    </row>
    <row r="479" spans="1:17" x14ac:dyDescent="0.35">
      <c r="A479" t="s">
        <v>12</v>
      </c>
      <c r="B479">
        <v>13</v>
      </c>
      <c r="C479">
        <v>224</v>
      </c>
      <c r="D479">
        <v>133</v>
      </c>
      <c r="E479">
        <v>91</v>
      </c>
      <c r="F479">
        <v>1</v>
      </c>
      <c r="G479">
        <v>21</v>
      </c>
      <c r="H479">
        <v>412</v>
      </c>
      <c r="I479">
        <v>159</v>
      </c>
      <c r="J479">
        <v>253</v>
      </c>
      <c r="K479">
        <v>0</v>
      </c>
      <c r="L479">
        <f t="shared" si="36"/>
        <v>-8</v>
      </c>
      <c r="M479">
        <f t="shared" si="37"/>
        <v>-188</v>
      </c>
      <c r="N479">
        <f t="shared" si="38"/>
        <v>-26</v>
      </c>
      <c r="O479">
        <f t="shared" si="39"/>
        <v>-162</v>
      </c>
      <c r="P479">
        <f t="shared" si="35"/>
        <v>1</v>
      </c>
      <c r="Q479" t="s">
        <v>5</v>
      </c>
    </row>
    <row r="480" spans="1:17" x14ac:dyDescent="0.35">
      <c r="A480" t="s">
        <v>12</v>
      </c>
      <c r="B480">
        <v>27</v>
      </c>
      <c r="C480">
        <v>348</v>
      </c>
      <c r="D480">
        <v>223</v>
      </c>
      <c r="E480">
        <v>125</v>
      </c>
      <c r="F480">
        <v>0</v>
      </c>
      <c r="G480">
        <v>18</v>
      </c>
      <c r="H480">
        <v>398</v>
      </c>
      <c r="I480">
        <v>270</v>
      </c>
      <c r="J480">
        <v>128</v>
      </c>
      <c r="K480">
        <v>0</v>
      </c>
      <c r="L480">
        <f t="shared" si="36"/>
        <v>9</v>
      </c>
      <c r="M480">
        <f t="shared" si="37"/>
        <v>-50</v>
      </c>
      <c r="N480">
        <f t="shared" si="38"/>
        <v>-47</v>
      </c>
      <c r="O480">
        <f t="shared" si="39"/>
        <v>-3</v>
      </c>
      <c r="P480">
        <f t="shared" si="35"/>
        <v>0</v>
      </c>
      <c r="Q480" t="s">
        <v>5</v>
      </c>
    </row>
    <row r="481" spans="1:17" x14ac:dyDescent="0.35">
      <c r="A481" t="s">
        <v>11</v>
      </c>
      <c r="B481">
        <v>16</v>
      </c>
      <c r="C481">
        <v>382</v>
      </c>
      <c r="D481">
        <v>318</v>
      </c>
      <c r="E481">
        <v>64</v>
      </c>
      <c r="F481">
        <v>0</v>
      </c>
      <c r="G481">
        <v>20</v>
      </c>
      <c r="H481">
        <v>282</v>
      </c>
      <c r="I481">
        <v>162</v>
      </c>
      <c r="J481">
        <v>120</v>
      </c>
      <c r="K481">
        <v>0</v>
      </c>
      <c r="L481">
        <f t="shared" si="36"/>
        <v>-4</v>
      </c>
      <c r="M481">
        <f t="shared" si="37"/>
        <v>100</v>
      </c>
      <c r="N481">
        <f t="shared" si="38"/>
        <v>156</v>
      </c>
      <c r="O481">
        <f t="shared" si="39"/>
        <v>-56</v>
      </c>
      <c r="P481">
        <f t="shared" si="35"/>
        <v>0</v>
      </c>
      <c r="Q481" t="s">
        <v>7</v>
      </c>
    </row>
    <row r="482" spans="1:17" x14ac:dyDescent="0.35">
      <c r="A482" t="s">
        <v>11</v>
      </c>
      <c r="B482">
        <v>23</v>
      </c>
      <c r="C482">
        <v>375</v>
      </c>
      <c r="D482">
        <v>265</v>
      </c>
      <c r="E482">
        <v>110</v>
      </c>
      <c r="F482">
        <v>0</v>
      </c>
      <c r="G482">
        <v>22</v>
      </c>
      <c r="H482">
        <v>344</v>
      </c>
      <c r="I482">
        <v>235</v>
      </c>
      <c r="J482">
        <v>109</v>
      </c>
      <c r="K482">
        <v>0</v>
      </c>
      <c r="L482">
        <f t="shared" si="36"/>
        <v>1</v>
      </c>
      <c r="M482">
        <f t="shared" si="37"/>
        <v>31</v>
      </c>
      <c r="N482">
        <f t="shared" si="38"/>
        <v>30</v>
      </c>
      <c r="O482">
        <f t="shared" si="39"/>
        <v>1</v>
      </c>
      <c r="P482">
        <f t="shared" si="35"/>
        <v>0</v>
      </c>
      <c r="Q482" t="s">
        <v>5</v>
      </c>
    </row>
    <row r="483" spans="1:17" x14ac:dyDescent="0.35">
      <c r="A483" t="s">
        <v>12</v>
      </c>
      <c r="B483">
        <v>21</v>
      </c>
      <c r="C483">
        <v>295</v>
      </c>
      <c r="D483">
        <v>174</v>
      </c>
      <c r="E483">
        <v>121</v>
      </c>
      <c r="F483">
        <v>4</v>
      </c>
      <c r="G483">
        <v>17</v>
      </c>
      <c r="H483">
        <v>256</v>
      </c>
      <c r="I483">
        <v>158</v>
      </c>
      <c r="J483">
        <v>98</v>
      </c>
      <c r="K483">
        <v>2</v>
      </c>
      <c r="L483">
        <f t="shared" si="36"/>
        <v>4</v>
      </c>
      <c r="M483">
        <f t="shared" si="37"/>
        <v>39</v>
      </c>
      <c r="N483">
        <f t="shared" si="38"/>
        <v>16</v>
      </c>
      <c r="O483">
        <f t="shared" si="39"/>
        <v>23</v>
      </c>
      <c r="P483">
        <f t="shared" si="35"/>
        <v>2</v>
      </c>
      <c r="Q483" t="s">
        <v>5</v>
      </c>
    </row>
    <row r="484" spans="1:17" x14ac:dyDescent="0.35">
      <c r="A484" t="s">
        <v>11</v>
      </c>
      <c r="B484">
        <v>16</v>
      </c>
      <c r="C484">
        <v>289</v>
      </c>
      <c r="D484">
        <v>189</v>
      </c>
      <c r="E484">
        <v>100</v>
      </c>
      <c r="F484">
        <v>0</v>
      </c>
      <c r="G484">
        <v>20</v>
      </c>
      <c r="H484">
        <v>352</v>
      </c>
      <c r="I484">
        <v>313</v>
      </c>
      <c r="J484">
        <v>39</v>
      </c>
      <c r="K484">
        <v>1</v>
      </c>
      <c r="L484">
        <f t="shared" si="36"/>
        <v>-4</v>
      </c>
      <c r="M484">
        <f t="shared" si="37"/>
        <v>-63</v>
      </c>
      <c r="N484">
        <f t="shared" si="38"/>
        <v>-124</v>
      </c>
      <c r="O484">
        <f t="shared" si="39"/>
        <v>61</v>
      </c>
      <c r="P484">
        <f t="shared" si="35"/>
        <v>-1</v>
      </c>
      <c r="Q484" t="s">
        <v>7</v>
      </c>
    </row>
    <row r="485" spans="1:17" x14ac:dyDescent="0.35">
      <c r="A485" t="s">
        <v>12</v>
      </c>
      <c r="B485">
        <v>24</v>
      </c>
      <c r="C485">
        <v>499</v>
      </c>
      <c r="D485">
        <v>355</v>
      </c>
      <c r="E485">
        <v>144</v>
      </c>
      <c r="F485">
        <v>1</v>
      </c>
      <c r="G485">
        <v>17</v>
      </c>
      <c r="H485">
        <v>384</v>
      </c>
      <c r="I485">
        <v>312</v>
      </c>
      <c r="J485">
        <v>72</v>
      </c>
      <c r="K485">
        <v>2</v>
      </c>
      <c r="L485">
        <f t="shared" si="36"/>
        <v>7</v>
      </c>
      <c r="M485">
        <f t="shared" si="37"/>
        <v>115</v>
      </c>
      <c r="N485">
        <f t="shared" si="38"/>
        <v>43</v>
      </c>
      <c r="O485">
        <f t="shared" si="39"/>
        <v>72</v>
      </c>
      <c r="P485">
        <f t="shared" si="35"/>
        <v>-1</v>
      </c>
      <c r="Q485" t="s">
        <v>5</v>
      </c>
    </row>
    <row r="486" spans="1:17" x14ac:dyDescent="0.35">
      <c r="A486" t="s">
        <v>11</v>
      </c>
      <c r="B486">
        <v>27</v>
      </c>
      <c r="C486">
        <v>464</v>
      </c>
      <c r="D486">
        <v>376</v>
      </c>
      <c r="E486">
        <v>88</v>
      </c>
      <c r="F486">
        <v>1</v>
      </c>
      <c r="G486">
        <v>36</v>
      </c>
      <c r="H486">
        <v>518</v>
      </c>
      <c r="I486">
        <v>490</v>
      </c>
      <c r="J486">
        <v>28</v>
      </c>
      <c r="K486">
        <v>4</v>
      </c>
      <c r="L486">
        <f t="shared" si="36"/>
        <v>-9</v>
      </c>
      <c r="M486">
        <f t="shared" si="37"/>
        <v>-54</v>
      </c>
      <c r="N486">
        <f t="shared" si="38"/>
        <v>-114</v>
      </c>
      <c r="O486">
        <f t="shared" si="39"/>
        <v>60</v>
      </c>
      <c r="P486">
        <f t="shared" si="35"/>
        <v>-3</v>
      </c>
      <c r="Q486" t="s">
        <v>7</v>
      </c>
    </row>
    <row r="487" spans="1:17" x14ac:dyDescent="0.35">
      <c r="A487" t="s">
        <v>11</v>
      </c>
      <c r="B487">
        <v>19</v>
      </c>
      <c r="C487">
        <v>252</v>
      </c>
      <c r="D487">
        <v>158</v>
      </c>
      <c r="E487">
        <v>94</v>
      </c>
      <c r="F487">
        <v>0</v>
      </c>
      <c r="G487">
        <v>25</v>
      </c>
      <c r="H487">
        <v>457</v>
      </c>
      <c r="I487">
        <v>345</v>
      </c>
      <c r="J487">
        <v>112</v>
      </c>
      <c r="K487">
        <v>1</v>
      </c>
      <c r="L487">
        <f t="shared" si="36"/>
        <v>-6</v>
      </c>
      <c r="M487">
        <f t="shared" si="37"/>
        <v>-205</v>
      </c>
      <c r="N487">
        <f t="shared" si="38"/>
        <v>-187</v>
      </c>
      <c r="O487">
        <f t="shared" si="39"/>
        <v>-18</v>
      </c>
      <c r="P487">
        <f t="shared" si="35"/>
        <v>-1</v>
      </c>
      <c r="Q487" t="s">
        <v>5</v>
      </c>
    </row>
    <row r="488" spans="1:17" x14ac:dyDescent="0.35">
      <c r="A488" t="s">
        <v>12</v>
      </c>
      <c r="B488">
        <v>23</v>
      </c>
      <c r="C488">
        <v>407</v>
      </c>
      <c r="D488">
        <v>365</v>
      </c>
      <c r="E488">
        <v>42</v>
      </c>
      <c r="F488">
        <v>7</v>
      </c>
      <c r="G488">
        <v>17</v>
      </c>
      <c r="H488">
        <v>268</v>
      </c>
      <c r="I488">
        <v>209</v>
      </c>
      <c r="J488">
        <v>59</v>
      </c>
      <c r="K488">
        <v>1</v>
      </c>
      <c r="L488">
        <f t="shared" si="36"/>
        <v>6</v>
      </c>
      <c r="M488">
        <f t="shared" si="37"/>
        <v>139</v>
      </c>
      <c r="N488">
        <f t="shared" si="38"/>
        <v>156</v>
      </c>
      <c r="O488">
        <f t="shared" si="39"/>
        <v>-17</v>
      </c>
      <c r="P488">
        <f t="shared" si="35"/>
        <v>6</v>
      </c>
      <c r="Q488" t="s">
        <v>5</v>
      </c>
    </row>
    <row r="489" spans="1:17" x14ac:dyDescent="0.35">
      <c r="A489" t="s">
        <v>11</v>
      </c>
      <c r="B489">
        <v>23</v>
      </c>
      <c r="C489">
        <v>389</v>
      </c>
      <c r="D489">
        <v>283</v>
      </c>
      <c r="E489">
        <v>106</v>
      </c>
      <c r="F489">
        <v>4</v>
      </c>
      <c r="G489">
        <v>16</v>
      </c>
      <c r="H489">
        <v>246</v>
      </c>
      <c r="I489">
        <v>174</v>
      </c>
      <c r="J489">
        <v>72</v>
      </c>
      <c r="K489">
        <v>1</v>
      </c>
      <c r="L489">
        <f t="shared" si="36"/>
        <v>7</v>
      </c>
      <c r="M489">
        <f t="shared" si="37"/>
        <v>143</v>
      </c>
      <c r="N489">
        <f t="shared" si="38"/>
        <v>109</v>
      </c>
      <c r="O489">
        <f t="shared" si="39"/>
        <v>34</v>
      </c>
      <c r="P489">
        <f t="shared" si="35"/>
        <v>3</v>
      </c>
      <c r="Q489" t="s">
        <v>5</v>
      </c>
    </row>
    <row r="490" spans="1:17" x14ac:dyDescent="0.35">
      <c r="A490" t="s">
        <v>11</v>
      </c>
      <c r="B490">
        <v>29</v>
      </c>
      <c r="C490">
        <v>418</v>
      </c>
      <c r="D490">
        <v>319</v>
      </c>
      <c r="E490">
        <v>99</v>
      </c>
      <c r="F490">
        <v>1</v>
      </c>
      <c r="G490">
        <v>31</v>
      </c>
      <c r="H490">
        <v>492</v>
      </c>
      <c r="I490">
        <v>347</v>
      </c>
      <c r="J490">
        <v>145</v>
      </c>
      <c r="K490">
        <v>1</v>
      </c>
      <c r="L490">
        <f t="shared" si="36"/>
        <v>-2</v>
      </c>
      <c r="M490">
        <f t="shared" si="37"/>
        <v>-74</v>
      </c>
      <c r="N490">
        <f t="shared" si="38"/>
        <v>-28</v>
      </c>
      <c r="O490">
        <f t="shared" si="39"/>
        <v>-46</v>
      </c>
      <c r="P490">
        <f t="shared" si="35"/>
        <v>0</v>
      </c>
      <c r="Q490" t="s">
        <v>5</v>
      </c>
    </row>
    <row r="491" spans="1:17" x14ac:dyDescent="0.35">
      <c r="A491" t="s">
        <v>12</v>
      </c>
      <c r="B491">
        <v>26</v>
      </c>
      <c r="C491">
        <v>457</v>
      </c>
      <c r="D491">
        <v>339</v>
      </c>
      <c r="E491">
        <v>118</v>
      </c>
      <c r="F491">
        <v>3</v>
      </c>
      <c r="G491">
        <v>20</v>
      </c>
      <c r="H491">
        <v>417</v>
      </c>
      <c r="I491">
        <v>342</v>
      </c>
      <c r="J491">
        <v>75</v>
      </c>
      <c r="K491">
        <v>2</v>
      </c>
      <c r="L491">
        <f t="shared" si="36"/>
        <v>6</v>
      </c>
      <c r="M491">
        <f t="shared" si="37"/>
        <v>40</v>
      </c>
      <c r="N491">
        <f t="shared" si="38"/>
        <v>-3</v>
      </c>
      <c r="O491">
        <f t="shared" si="39"/>
        <v>43</v>
      </c>
      <c r="P491">
        <f t="shared" si="35"/>
        <v>1</v>
      </c>
      <c r="Q491" t="s">
        <v>7</v>
      </c>
    </row>
    <row r="492" spans="1:17" x14ac:dyDescent="0.35">
      <c r="A492" t="s">
        <v>12</v>
      </c>
      <c r="B492">
        <v>21</v>
      </c>
      <c r="C492">
        <v>334</v>
      </c>
      <c r="D492">
        <v>298</v>
      </c>
      <c r="E492">
        <v>36</v>
      </c>
      <c r="F492">
        <v>4</v>
      </c>
      <c r="G492">
        <v>21</v>
      </c>
      <c r="H492">
        <v>328</v>
      </c>
      <c r="I492">
        <v>219</v>
      </c>
      <c r="J492">
        <v>109</v>
      </c>
      <c r="K492">
        <v>0</v>
      </c>
      <c r="L492">
        <f t="shared" si="36"/>
        <v>0</v>
      </c>
      <c r="M492">
        <f t="shared" si="37"/>
        <v>6</v>
      </c>
      <c r="N492">
        <f t="shared" si="38"/>
        <v>79</v>
      </c>
      <c r="O492">
        <f t="shared" si="39"/>
        <v>-73</v>
      </c>
      <c r="P492">
        <f t="shared" si="35"/>
        <v>4</v>
      </c>
      <c r="Q492" t="s">
        <v>5</v>
      </c>
    </row>
    <row r="493" spans="1:17" x14ac:dyDescent="0.35">
      <c r="A493" t="s">
        <v>11</v>
      </c>
      <c r="B493">
        <v>20</v>
      </c>
      <c r="C493">
        <v>446</v>
      </c>
      <c r="D493">
        <v>313</v>
      </c>
      <c r="E493">
        <v>133</v>
      </c>
      <c r="F493">
        <v>2</v>
      </c>
      <c r="G493">
        <v>22</v>
      </c>
      <c r="H493">
        <v>337</v>
      </c>
      <c r="I493">
        <v>280</v>
      </c>
      <c r="J493">
        <v>57</v>
      </c>
      <c r="K493">
        <v>2</v>
      </c>
      <c r="L493">
        <f t="shared" si="36"/>
        <v>-2</v>
      </c>
      <c r="M493">
        <f t="shared" si="37"/>
        <v>109</v>
      </c>
      <c r="N493">
        <f t="shared" si="38"/>
        <v>33</v>
      </c>
      <c r="O493">
        <f t="shared" si="39"/>
        <v>76</v>
      </c>
      <c r="P493">
        <f t="shared" si="35"/>
        <v>0</v>
      </c>
      <c r="Q493" t="s">
        <v>7</v>
      </c>
    </row>
    <row r="494" spans="1:17" x14ac:dyDescent="0.35">
      <c r="A494" t="s">
        <v>11</v>
      </c>
      <c r="B494">
        <v>19</v>
      </c>
      <c r="C494">
        <v>315</v>
      </c>
      <c r="D494">
        <v>241</v>
      </c>
      <c r="E494">
        <v>74</v>
      </c>
      <c r="F494">
        <v>1</v>
      </c>
      <c r="G494">
        <v>14</v>
      </c>
      <c r="H494">
        <v>242</v>
      </c>
      <c r="I494">
        <v>193</v>
      </c>
      <c r="J494">
        <v>49</v>
      </c>
      <c r="K494">
        <v>4</v>
      </c>
      <c r="L494">
        <f t="shared" si="36"/>
        <v>5</v>
      </c>
      <c r="M494">
        <f t="shared" si="37"/>
        <v>73</v>
      </c>
      <c r="N494">
        <f t="shared" si="38"/>
        <v>48</v>
      </c>
      <c r="O494">
        <f t="shared" si="39"/>
        <v>25</v>
      </c>
      <c r="P494">
        <f t="shared" si="35"/>
        <v>-3</v>
      </c>
      <c r="Q494" t="s">
        <v>7</v>
      </c>
    </row>
    <row r="495" spans="1:17" x14ac:dyDescent="0.35">
      <c r="A495" t="s">
        <v>12</v>
      </c>
      <c r="B495">
        <v>29</v>
      </c>
      <c r="C495">
        <v>542</v>
      </c>
      <c r="D495">
        <v>467</v>
      </c>
      <c r="E495">
        <v>75</v>
      </c>
      <c r="F495">
        <v>4</v>
      </c>
      <c r="G495">
        <v>16</v>
      </c>
      <c r="H495">
        <v>309</v>
      </c>
      <c r="I495">
        <v>243</v>
      </c>
      <c r="J495">
        <v>66</v>
      </c>
      <c r="K495">
        <v>1</v>
      </c>
      <c r="L495">
        <f t="shared" si="36"/>
        <v>13</v>
      </c>
      <c r="M495">
        <f t="shared" si="37"/>
        <v>233</v>
      </c>
      <c r="N495">
        <f t="shared" si="38"/>
        <v>224</v>
      </c>
      <c r="O495">
        <f t="shared" si="39"/>
        <v>9</v>
      </c>
      <c r="P495">
        <f t="shared" si="35"/>
        <v>3</v>
      </c>
      <c r="Q495" t="s">
        <v>7</v>
      </c>
    </row>
    <row r="496" spans="1:17" x14ac:dyDescent="0.35">
      <c r="A496" t="s">
        <v>11</v>
      </c>
      <c r="B496">
        <v>23</v>
      </c>
      <c r="C496">
        <v>495</v>
      </c>
      <c r="D496">
        <v>446</v>
      </c>
      <c r="E496">
        <v>49</v>
      </c>
      <c r="F496">
        <v>1</v>
      </c>
      <c r="G496">
        <v>16</v>
      </c>
      <c r="H496">
        <v>295</v>
      </c>
      <c r="I496">
        <v>250</v>
      </c>
      <c r="J496">
        <v>45</v>
      </c>
      <c r="K496">
        <v>3</v>
      </c>
      <c r="L496">
        <f t="shared" si="36"/>
        <v>7</v>
      </c>
      <c r="M496">
        <f t="shared" si="37"/>
        <v>200</v>
      </c>
      <c r="N496">
        <f t="shared" si="38"/>
        <v>196</v>
      </c>
      <c r="O496">
        <f t="shared" si="39"/>
        <v>4</v>
      </c>
      <c r="P496">
        <f t="shared" si="35"/>
        <v>-2</v>
      </c>
      <c r="Q496" t="s">
        <v>7</v>
      </c>
    </row>
    <row r="497" spans="1:17" x14ac:dyDescent="0.35">
      <c r="A497" t="s">
        <v>12</v>
      </c>
      <c r="B497">
        <v>19</v>
      </c>
      <c r="C497">
        <v>435</v>
      </c>
      <c r="D497">
        <v>329</v>
      </c>
      <c r="E497">
        <v>106</v>
      </c>
      <c r="F497">
        <v>5</v>
      </c>
      <c r="G497">
        <v>15</v>
      </c>
      <c r="H497">
        <v>229</v>
      </c>
      <c r="I497">
        <v>161</v>
      </c>
      <c r="J497">
        <v>68</v>
      </c>
      <c r="K497">
        <v>2</v>
      </c>
      <c r="L497">
        <f t="shared" si="36"/>
        <v>4</v>
      </c>
      <c r="M497">
        <f t="shared" si="37"/>
        <v>206</v>
      </c>
      <c r="N497">
        <f t="shared" si="38"/>
        <v>168</v>
      </c>
      <c r="O497">
        <f t="shared" si="39"/>
        <v>38</v>
      </c>
      <c r="P497">
        <f t="shared" si="35"/>
        <v>3</v>
      </c>
      <c r="Q497" t="s">
        <v>5</v>
      </c>
    </row>
    <row r="498" spans="1:17" x14ac:dyDescent="0.35">
      <c r="A498" t="s">
        <v>12</v>
      </c>
      <c r="B498">
        <v>14</v>
      </c>
      <c r="C498">
        <v>329</v>
      </c>
      <c r="D498">
        <v>193</v>
      </c>
      <c r="E498">
        <v>136</v>
      </c>
      <c r="F498">
        <v>3</v>
      </c>
      <c r="G498">
        <v>28</v>
      </c>
      <c r="H498">
        <v>373</v>
      </c>
      <c r="I498">
        <v>286</v>
      </c>
      <c r="J498">
        <v>87</v>
      </c>
      <c r="K498">
        <v>1</v>
      </c>
      <c r="L498">
        <f t="shared" si="36"/>
        <v>-14</v>
      </c>
      <c r="M498">
        <f t="shared" si="37"/>
        <v>-44</v>
      </c>
      <c r="N498">
        <f t="shared" si="38"/>
        <v>-93</v>
      </c>
      <c r="O498">
        <f t="shared" si="39"/>
        <v>49</v>
      </c>
      <c r="P498">
        <f t="shared" si="35"/>
        <v>2</v>
      </c>
      <c r="Q498" t="s">
        <v>5</v>
      </c>
    </row>
    <row r="499" spans="1:17" x14ac:dyDescent="0.35">
      <c r="A499" t="s">
        <v>11</v>
      </c>
      <c r="B499">
        <v>21</v>
      </c>
      <c r="C499">
        <v>339</v>
      </c>
      <c r="D499">
        <v>216</v>
      </c>
      <c r="E499">
        <v>123</v>
      </c>
      <c r="F499">
        <v>0</v>
      </c>
      <c r="G499">
        <v>19</v>
      </c>
      <c r="H499">
        <v>346</v>
      </c>
      <c r="I499">
        <v>244</v>
      </c>
      <c r="J499">
        <v>102</v>
      </c>
      <c r="K499">
        <v>3</v>
      </c>
      <c r="L499">
        <f t="shared" si="36"/>
        <v>2</v>
      </c>
      <c r="M499">
        <f t="shared" si="37"/>
        <v>-7</v>
      </c>
      <c r="N499">
        <f t="shared" si="38"/>
        <v>-28</v>
      </c>
      <c r="O499">
        <f t="shared" si="39"/>
        <v>21</v>
      </c>
      <c r="P499">
        <f t="shared" si="35"/>
        <v>-3</v>
      </c>
      <c r="Q499" t="s">
        <v>7</v>
      </c>
    </row>
    <row r="500" spans="1:17" x14ac:dyDescent="0.35">
      <c r="A500" t="s">
        <v>12</v>
      </c>
      <c r="B500">
        <v>18</v>
      </c>
      <c r="C500">
        <v>243</v>
      </c>
      <c r="D500">
        <v>119</v>
      </c>
      <c r="E500">
        <v>124</v>
      </c>
      <c r="F500">
        <v>0</v>
      </c>
      <c r="G500">
        <v>21</v>
      </c>
      <c r="H500">
        <v>288</v>
      </c>
      <c r="I500">
        <v>121</v>
      </c>
      <c r="J500">
        <v>167</v>
      </c>
      <c r="K500">
        <v>2</v>
      </c>
      <c r="L500">
        <f t="shared" si="36"/>
        <v>-3</v>
      </c>
      <c r="M500">
        <f t="shared" si="37"/>
        <v>-45</v>
      </c>
      <c r="N500">
        <f t="shared" si="38"/>
        <v>-2</v>
      </c>
      <c r="O500">
        <f t="shared" si="39"/>
        <v>-43</v>
      </c>
      <c r="P500">
        <f t="shared" si="35"/>
        <v>-2</v>
      </c>
      <c r="Q500" t="s">
        <v>5</v>
      </c>
    </row>
    <row r="501" spans="1:17" x14ac:dyDescent="0.35">
      <c r="A501" t="s">
        <v>11</v>
      </c>
      <c r="B501">
        <v>21</v>
      </c>
      <c r="C501">
        <v>340</v>
      </c>
      <c r="D501">
        <v>249</v>
      </c>
      <c r="E501">
        <v>91</v>
      </c>
      <c r="F501">
        <v>1</v>
      </c>
      <c r="G501">
        <v>12</v>
      </c>
      <c r="H501">
        <v>292</v>
      </c>
      <c r="I501">
        <v>204</v>
      </c>
      <c r="J501">
        <v>88</v>
      </c>
      <c r="K501">
        <v>0</v>
      </c>
      <c r="L501">
        <f t="shared" si="36"/>
        <v>9</v>
      </c>
      <c r="M501">
        <f t="shared" si="37"/>
        <v>48</v>
      </c>
      <c r="N501">
        <f t="shared" si="38"/>
        <v>45</v>
      </c>
      <c r="O501">
        <f t="shared" si="39"/>
        <v>3</v>
      </c>
      <c r="P501">
        <f t="shared" si="35"/>
        <v>1</v>
      </c>
      <c r="Q501" t="s">
        <v>5</v>
      </c>
    </row>
    <row r="502" spans="1:17" x14ac:dyDescent="0.35">
      <c r="A502" t="s">
        <v>11</v>
      </c>
      <c r="B502">
        <v>22</v>
      </c>
      <c r="C502">
        <v>365</v>
      </c>
      <c r="D502">
        <v>227</v>
      </c>
      <c r="E502">
        <v>138</v>
      </c>
      <c r="F502">
        <v>0</v>
      </c>
      <c r="G502">
        <v>24</v>
      </c>
      <c r="H502">
        <v>422</v>
      </c>
      <c r="I502">
        <v>364</v>
      </c>
      <c r="J502">
        <v>58</v>
      </c>
      <c r="K502">
        <v>1</v>
      </c>
      <c r="L502">
        <f t="shared" si="36"/>
        <v>-2</v>
      </c>
      <c r="M502">
        <f t="shared" si="37"/>
        <v>-57</v>
      </c>
      <c r="N502">
        <f t="shared" si="38"/>
        <v>-137</v>
      </c>
      <c r="O502">
        <f t="shared" si="39"/>
        <v>80</v>
      </c>
      <c r="P502">
        <f t="shared" si="35"/>
        <v>-1</v>
      </c>
      <c r="Q502" t="s">
        <v>7</v>
      </c>
    </row>
    <row r="503" spans="1:17" x14ac:dyDescent="0.35">
      <c r="A503" t="s">
        <v>12</v>
      </c>
      <c r="B503">
        <v>14</v>
      </c>
      <c r="C503">
        <v>252</v>
      </c>
      <c r="D503">
        <v>150</v>
      </c>
      <c r="E503">
        <v>102</v>
      </c>
      <c r="F503">
        <v>0</v>
      </c>
      <c r="G503">
        <v>18</v>
      </c>
      <c r="H503">
        <v>313</v>
      </c>
      <c r="I503">
        <v>204</v>
      </c>
      <c r="J503">
        <v>109</v>
      </c>
      <c r="K503">
        <v>1</v>
      </c>
      <c r="L503">
        <f t="shared" si="36"/>
        <v>-4</v>
      </c>
      <c r="M503">
        <f t="shared" si="37"/>
        <v>-61</v>
      </c>
      <c r="N503">
        <f t="shared" si="38"/>
        <v>-54</v>
      </c>
      <c r="O503">
        <f t="shared" si="39"/>
        <v>-7</v>
      </c>
      <c r="P503">
        <f t="shared" si="35"/>
        <v>-1</v>
      </c>
      <c r="Q503" t="s">
        <v>5</v>
      </c>
    </row>
    <row r="504" spans="1:17" x14ac:dyDescent="0.35">
      <c r="A504" t="s">
        <v>11</v>
      </c>
      <c r="B504">
        <v>12</v>
      </c>
      <c r="C504">
        <v>204</v>
      </c>
      <c r="D504">
        <v>165</v>
      </c>
      <c r="E504">
        <v>39</v>
      </c>
      <c r="F504">
        <v>3</v>
      </c>
      <c r="G504">
        <v>11</v>
      </c>
      <c r="H504">
        <v>270</v>
      </c>
      <c r="I504">
        <v>167</v>
      </c>
      <c r="J504">
        <v>103</v>
      </c>
      <c r="K504">
        <v>1</v>
      </c>
      <c r="L504">
        <f t="shared" si="36"/>
        <v>1</v>
      </c>
      <c r="M504">
        <f t="shared" si="37"/>
        <v>-66</v>
      </c>
      <c r="N504">
        <f t="shared" si="38"/>
        <v>-2</v>
      </c>
      <c r="O504">
        <f t="shared" si="39"/>
        <v>-64</v>
      </c>
      <c r="P504">
        <f t="shared" si="35"/>
        <v>2</v>
      </c>
      <c r="Q504" t="s">
        <v>5</v>
      </c>
    </row>
    <row r="505" spans="1:17" x14ac:dyDescent="0.35">
      <c r="A505" t="s">
        <v>12</v>
      </c>
      <c r="B505">
        <v>22</v>
      </c>
      <c r="C505">
        <v>403</v>
      </c>
      <c r="D505">
        <v>306</v>
      </c>
      <c r="E505">
        <v>97</v>
      </c>
      <c r="F505">
        <v>1</v>
      </c>
      <c r="G505">
        <v>24</v>
      </c>
      <c r="H505">
        <v>365</v>
      </c>
      <c r="I505">
        <v>326</v>
      </c>
      <c r="J505">
        <v>39</v>
      </c>
      <c r="K505">
        <v>1</v>
      </c>
      <c r="L505">
        <f t="shared" si="36"/>
        <v>-2</v>
      </c>
      <c r="M505">
        <f t="shared" si="37"/>
        <v>38</v>
      </c>
      <c r="N505">
        <f t="shared" si="38"/>
        <v>-20</v>
      </c>
      <c r="O505">
        <f t="shared" si="39"/>
        <v>58</v>
      </c>
      <c r="P505">
        <f t="shared" si="35"/>
        <v>0</v>
      </c>
      <c r="Q505" t="s">
        <v>7</v>
      </c>
    </row>
    <row r="506" spans="1:17" x14ac:dyDescent="0.35">
      <c r="A506" t="s">
        <v>12</v>
      </c>
      <c r="B506">
        <v>16</v>
      </c>
      <c r="C506">
        <v>246</v>
      </c>
      <c r="D506">
        <v>174</v>
      </c>
      <c r="E506">
        <v>72</v>
      </c>
      <c r="F506">
        <v>1</v>
      </c>
      <c r="G506">
        <v>23</v>
      </c>
      <c r="H506">
        <v>389</v>
      </c>
      <c r="I506">
        <v>283</v>
      </c>
      <c r="J506">
        <v>106</v>
      </c>
      <c r="K506">
        <v>4</v>
      </c>
      <c r="L506">
        <f t="shared" si="36"/>
        <v>-7</v>
      </c>
      <c r="M506">
        <f t="shared" si="37"/>
        <v>-143</v>
      </c>
      <c r="N506">
        <f t="shared" si="38"/>
        <v>-109</v>
      </c>
      <c r="O506">
        <f t="shared" si="39"/>
        <v>-34</v>
      </c>
      <c r="P506">
        <f t="shared" si="35"/>
        <v>-3</v>
      </c>
      <c r="Q506" t="s">
        <v>7</v>
      </c>
    </row>
    <row r="507" spans="1:17" x14ac:dyDescent="0.35">
      <c r="A507" t="s">
        <v>11</v>
      </c>
      <c r="B507">
        <v>24</v>
      </c>
      <c r="C507">
        <v>431</v>
      </c>
      <c r="D507">
        <v>310</v>
      </c>
      <c r="E507">
        <v>121</v>
      </c>
      <c r="F507">
        <v>3</v>
      </c>
      <c r="G507">
        <v>22</v>
      </c>
      <c r="H507">
        <v>370</v>
      </c>
      <c r="I507">
        <v>214</v>
      </c>
      <c r="J507">
        <v>156</v>
      </c>
      <c r="K507">
        <v>1</v>
      </c>
      <c r="L507">
        <f t="shared" si="36"/>
        <v>2</v>
      </c>
      <c r="M507">
        <f t="shared" si="37"/>
        <v>61</v>
      </c>
      <c r="N507">
        <f t="shared" si="38"/>
        <v>96</v>
      </c>
      <c r="O507">
        <f t="shared" si="39"/>
        <v>-35</v>
      </c>
      <c r="P507">
        <f t="shared" si="35"/>
        <v>2</v>
      </c>
      <c r="Q507" t="s">
        <v>5</v>
      </c>
    </row>
    <row r="508" spans="1:17" x14ac:dyDescent="0.35">
      <c r="A508" t="s">
        <v>12</v>
      </c>
      <c r="B508">
        <v>19</v>
      </c>
      <c r="C508">
        <v>371</v>
      </c>
      <c r="D508">
        <v>146</v>
      </c>
      <c r="E508">
        <v>225</v>
      </c>
      <c r="F508">
        <v>1</v>
      </c>
      <c r="G508">
        <v>28</v>
      </c>
      <c r="H508">
        <v>530</v>
      </c>
      <c r="I508">
        <v>433</v>
      </c>
      <c r="J508">
        <v>97</v>
      </c>
      <c r="K508">
        <v>1</v>
      </c>
      <c r="L508">
        <f t="shared" si="36"/>
        <v>-9</v>
      </c>
      <c r="M508">
        <f t="shared" si="37"/>
        <v>-159</v>
      </c>
      <c r="N508">
        <f t="shared" si="38"/>
        <v>-287</v>
      </c>
      <c r="O508">
        <f t="shared" si="39"/>
        <v>128</v>
      </c>
      <c r="P508">
        <f t="shared" si="35"/>
        <v>0</v>
      </c>
      <c r="Q508" t="s">
        <v>7</v>
      </c>
    </row>
    <row r="509" spans="1:17" x14ac:dyDescent="0.35">
      <c r="A509" t="s">
        <v>12</v>
      </c>
      <c r="B509">
        <v>21</v>
      </c>
      <c r="C509">
        <v>471</v>
      </c>
      <c r="D509">
        <v>252</v>
      </c>
      <c r="E509">
        <v>219</v>
      </c>
      <c r="F509">
        <v>2</v>
      </c>
      <c r="G509">
        <v>23</v>
      </c>
      <c r="H509">
        <v>369</v>
      </c>
      <c r="I509">
        <v>252</v>
      </c>
      <c r="J509">
        <v>117</v>
      </c>
      <c r="K509">
        <v>1</v>
      </c>
      <c r="L509">
        <f t="shared" si="36"/>
        <v>-2</v>
      </c>
      <c r="M509">
        <f t="shared" si="37"/>
        <v>102</v>
      </c>
      <c r="N509">
        <f t="shared" si="38"/>
        <v>0</v>
      </c>
      <c r="O509">
        <f t="shared" si="39"/>
        <v>102</v>
      </c>
      <c r="P509">
        <f t="shared" si="35"/>
        <v>1</v>
      </c>
      <c r="Q509" t="s">
        <v>7</v>
      </c>
    </row>
    <row r="510" spans="1:17" x14ac:dyDescent="0.35">
      <c r="A510" t="s">
        <v>11</v>
      </c>
      <c r="B510">
        <v>15</v>
      </c>
      <c r="C510">
        <v>292</v>
      </c>
      <c r="D510">
        <v>138</v>
      </c>
      <c r="E510">
        <v>154</v>
      </c>
      <c r="F510">
        <v>2</v>
      </c>
      <c r="G510">
        <v>22</v>
      </c>
      <c r="H510">
        <v>391</v>
      </c>
      <c r="I510">
        <v>309</v>
      </c>
      <c r="J510">
        <v>82</v>
      </c>
      <c r="K510">
        <v>3</v>
      </c>
      <c r="L510">
        <f t="shared" si="36"/>
        <v>-7</v>
      </c>
      <c r="M510">
        <f t="shared" si="37"/>
        <v>-99</v>
      </c>
      <c r="N510">
        <f t="shared" si="38"/>
        <v>-171</v>
      </c>
      <c r="O510">
        <f t="shared" si="39"/>
        <v>72</v>
      </c>
      <c r="P510">
        <f t="shared" si="35"/>
        <v>-1</v>
      </c>
      <c r="Q510" t="s">
        <v>7</v>
      </c>
    </row>
    <row r="511" spans="1:17" x14ac:dyDescent="0.35">
      <c r="A511" t="s">
        <v>11</v>
      </c>
      <c r="B511">
        <v>26</v>
      </c>
      <c r="C511">
        <v>552</v>
      </c>
      <c r="D511">
        <v>391</v>
      </c>
      <c r="E511">
        <v>161</v>
      </c>
      <c r="F511">
        <v>1</v>
      </c>
      <c r="G511">
        <v>22</v>
      </c>
      <c r="H511">
        <v>355</v>
      </c>
      <c r="I511">
        <v>258</v>
      </c>
      <c r="J511">
        <v>97</v>
      </c>
      <c r="K511">
        <v>1</v>
      </c>
      <c r="L511">
        <f t="shared" si="36"/>
        <v>4</v>
      </c>
      <c r="M511">
        <f t="shared" si="37"/>
        <v>197</v>
      </c>
      <c r="N511">
        <f t="shared" si="38"/>
        <v>133</v>
      </c>
      <c r="O511">
        <f t="shared" si="39"/>
        <v>64</v>
      </c>
      <c r="P511">
        <f t="shared" si="35"/>
        <v>0</v>
      </c>
      <c r="Q511" t="s">
        <v>7</v>
      </c>
    </row>
    <row r="512" spans="1:17" x14ac:dyDescent="0.35">
      <c r="A512" t="s">
        <v>12</v>
      </c>
      <c r="B512">
        <v>24</v>
      </c>
      <c r="C512">
        <v>432</v>
      </c>
      <c r="D512">
        <v>269</v>
      </c>
      <c r="E512">
        <v>163</v>
      </c>
      <c r="F512">
        <v>1</v>
      </c>
      <c r="G512">
        <v>23</v>
      </c>
      <c r="H512">
        <v>374</v>
      </c>
      <c r="I512">
        <v>234</v>
      </c>
      <c r="J512">
        <v>140</v>
      </c>
      <c r="K512">
        <v>2</v>
      </c>
      <c r="L512">
        <f t="shared" si="36"/>
        <v>1</v>
      </c>
      <c r="M512">
        <f t="shared" si="37"/>
        <v>58</v>
      </c>
      <c r="N512">
        <f t="shared" si="38"/>
        <v>35</v>
      </c>
      <c r="O512">
        <f t="shared" si="39"/>
        <v>23</v>
      </c>
      <c r="P512">
        <f t="shared" si="35"/>
        <v>-1</v>
      </c>
      <c r="Q512" t="s">
        <v>5</v>
      </c>
    </row>
    <row r="513" spans="1:17" x14ac:dyDescent="0.35">
      <c r="A513" t="s">
        <v>12</v>
      </c>
      <c r="B513">
        <v>17</v>
      </c>
      <c r="C513">
        <v>397</v>
      </c>
      <c r="D513">
        <v>248</v>
      </c>
      <c r="E513">
        <v>149</v>
      </c>
      <c r="F513">
        <v>1</v>
      </c>
      <c r="G513">
        <v>23</v>
      </c>
      <c r="H513">
        <v>377</v>
      </c>
      <c r="I513">
        <v>275</v>
      </c>
      <c r="J513">
        <v>102</v>
      </c>
      <c r="K513">
        <v>0</v>
      </c>
      <c r="L513">
        <f t="shared" si="36"/>
        <v>-6</v>
      </c>
      <c r="M513">
        <f t="shared" si="37"/>
        <v>20</v>
      </c>
      <c r="N513">
        <f t="shared" si="38"/>
        <v>-27</v>
      </c>
      <c r="O513">
        <f t="shared" si="39"/>
        <v>47</v>
      </c>
      <c r="P513">
        <f t="shared" si="35"/>
        <v>1</v>
      </c>
      <c r="Q513" t="s">
        <v>5</v>
      </c>
    </row>
    <row r="514" spans="1:17" x14ac:dyDescent="0.35">
      <c r="A514" t="s">
        <v>11</v>
      </c>
      <c r="B514">
        <v>25</v>
      </c>
      <c r="C514">
        <v>467</v>
      </c>
      <c r="D514">
        <v>222</v>
      </c>
      <c r="E514">
        <v>245</v>
      </c>
      <c r="F514">
        <v>0</v>
      </c>
      <c r="G514">
        <v>20</v>
      </c>
      <c r="H514">
        <v>301</v>
      </c>
      <c r="I514">
        <v>192</v>
      </c>
      <c r="J514">
        <v>109</v>
      </c>
      <c r="K514">
        <v>1</v>
      </c>
      <c r="L514">
        <f t="shared" si="36"/>
        <v>5</v>
      </c>
      <c r="M514">
        <f t="shared" si="37"/>
        <v>166</v>
      </c>
      <c r="N514">
        <f t="shared" si="38"/>
        <v>30</v>
      </c>
      <c r="O514">
        <f t="shared" si="39"/>
        <v>136</v>
      </c>
      <c r="P514">
        <f t="shared" ref="P514:P533" si="40">F514-K514</f>
        <v>-1</v>
      </c>
      <c r="Q514" t="s">
        <v>7</v>
      </c>
    </row>
    <row r="515" spans="1:17" x14ac:dyDescent="0.35">
      <c r="A515" t="s">
        <v>11</v>
      </c>
      <c r="B515">
        <v>19</v>
      </c>
      <c r="C515">
        <v>272</v>
      </c>
      <c r="D515">
        <v>71</v>
      </c>
      <c r="E515">
        <v>201</v>
      </c>
      <c r="F515">
        <v>1</v>
      </c>
      <c r="G515">
        <v>18</v>
      </c>
      <c r="H515">
        <v>307</v>
      </c>
      <c r="I515">
        <v>209</v>
      </c>
      <c r="J515">
        <v>98</v>
      </c>
      <c r="K515">
        <v>2</v>
      </c>
      <c r="L515">
        <f t="shared" ref="L515:L533" si="41">B515-G515</f>
        <v>1</v>
      </c>
      <c r="M515">
        <f t="shared" ref="M515:M533" si="42">C515-H515</f>
        <v>-35</v>
      </c>
      <c r="N515">
        <f t="shared" ref="N515:N533" si="43">D515-I515</f>
        <v>-138</v>
      </c>
      <c r="O515">
        <f t="shared" ref="O515:O533" si="44">E515-J515</f>
        <v>103</v>
      </c>
      <c r="P515">
        <f t="shared" si="40"/>
        <v>-1</v>
      </c>
      <c r="Q515" t="s">
        <v>7</v>
      </c>
    </row>
    <row r="516" spans="1:17" x14ac:dyDescent="0.35">
      <c r="A516" t="s">
        <v>11</v>
      </c>
      <c r="B516">
        <v>15</v>
      </c>
      <c r="C516">
        <v>300</v>
      </c>
      <c r="D516">
        <v>83</v>
      </c>
      <c r="E516">
        <v>217</v>
      </c>
      <c r="F516">
        <v>0</v>
      </c>
      <c r="G516">
        <v>29</v>
      </c>
      <c r="H516">
        <v>530</v>
      </c>
      <c r="I516">
        <v>345</v>
      </c>
      <c r="J516">
        <v>185</v>
      </c>
      <c r="K516">
        <v>3</v>
      </c>
      <c r="L516">
        <f t="shared" si="41"/>
        <v>-14</v>
      </c>
      <c r="M516">
        <f t="shared" si="42"/>
        <v>-230</v>
      </c>
      <c r="N516">
        <f t="shared" si="43"/>
        <v>-262</v>
      </c>
      <c r="O516">
        <f t="shared" si="44"/>
        <v>32</v>
      </c>
      <c r="P516">
        <f t="shared" si="40"/>
        <v>-3</v>
      </c>
      <c r="Q516" t="s">
        <v>7</v>
      </c>
    </row>
    <row r="517" spans="1:17" x14ac:dyDescent="0.35">
      <c r="A517" t="s">
        <v>11</v>
      </c>
      <c r="B517">
        <v>20</v>
      </c>
      <c r="C517">
        <v>295</v>
      </c>
      <c r="D517">
        <v>210</v>
      </c>
      <c r="E517">
        <v>85</v>
      </c>
      <c r="F517">
        <v>0</v>
      </c>
      <c r="G517">
        <v>27</v>
      </c>
      <c r="H517">
        <v>404</v>
      </c>
      <c r="I517">
        <v>292</v>
      </c>
      <c r="J517">
        <v>112</v>
      </c>
      <c r="K517">
        <v>0</v>
      </c>
      <c r="L517">
        <f t="shared" si="41"/>
        <v>-7</v>
      </c>
      <c r="M517">
        <f t="shared" si="42"/>
        <v>-109</v>
      </c>
      <c r="N517">
        <f t="shared" si="43"/>
        <v>-82</v>
      </c>
      <c r="O517">
        <f t="shared" si="44"/>
        <v>-27</v>
      </c>
      <c r="P517">
        <f t="shared" si="40"/>
        <v>0</v>
      </c>
      <c r="Q517" t="s">
        <v>5</v>
      </c>
    </row>
    <row r="518" spans="1:17" x14ac:dyDescent="0.35">
      <c r="A518" t="s">
        <v>11</v>
      </c>
      <c r="B518">
        <v>15</v>
      </c>
      <c r="C518">
        <v>398</v>
      </c>
      <c r="D518">
        <v>370</v>
      </c>
      <c r="E518">
        <v>28</v>
      </c>
      <c r="F518">
        <v>0</v>
      </c>
      <c r="G518">
        <v>22</v>
      </c>
      <c r="H518">
        <v>436</v>
      </c>
      <c r="I518">
        <v>313</v>
      </c>
      <c r="J518">
        <v>123</v>
      </c>
      <c r="K518">
        <v>0</v>
      </c>
      <c r="L518">
        <f t="shared" si="41"/>
        <v>-7</v>
      </c>
      <c r="M518">
        <f t="shared" si="42"/>
        <v>-38</v>
      </c>
      <c r="N518">
        <f t="shared" si="43"/>
        <v>57</v>
      </c>
      <c r="O518">
        <f t="shared" si="44"/>
        <v>-95</v>
      </c>
      <c r="P518">
        <f t="shared" si="40"/>
        <v>0</v>
      </c>
      <c r="Q518" t="s">
        <v>5</v>
      </c>
    </row>
    <row r="519" spans="1:17" x14ac:dyDescent="0.35">
      <c r="A519" t="s">
        <v>12</v>
      </c>
      <c r="B519">
        <v>19</v>
      </c>
      <c r="C519">
        <v>255</v>
      </c>
      <c r="D519">
        <v>208</v>
      </c>
      <c r="E519">
        <v>47</v>
      </c>
      <c r="F519">
        <v>0</v>
      </c>
      <c r="G519">
        <v>25</v>
      </c>
      <c r="H519">
        <v>474</v>
      </c>
      <c r="I519">
        <v>261</v>
      </c>
      <c r="J519">
        <v>213</v>
      </c>
      <c r="K519">
        <v>1</v>
      </c>
      <c r="L519">
        <f t="shared" si="41"/>
        <v>-6</v>
      </c>
      <c r="M519">
        <f t="shared" si="42"/>
        <v>-219</v>
      </c>
      <c r="N519">
        <f t="shared" si="43"/>
        <v>-53</v>
      </c>
      <c r="O519">
        <f t="shared" si="44"/>
        <v>-166</v>
      </c>
      <c r="P519">
        <f t="shared" si="40"/>
        <v>-1</v>
      </c>
      <c r="Q519" t="s">
        <v>5</v>
      </c>
    </row>
    <row r="520" spans="1:17" x14ac:dyDescent="0.35">
      <c r="A520" t="s">
        <v>12</v>
      </c>
      <c r="B520">
        <v>25</v>
      </c>
      <c r="C520">
        <v>356</v>
      </c>
      <c r="D520">
        <v>287</v>
      </c>
      <c r="E520">
        <v>69</v>
      </c>
      <c r="F520">
        <v>5</v>
      </c>
      <c r="G520">
        <v>21</v>
      </c>
      <c r="H520">
        <v>298</v>
      </c>
      <c r="I520">
        <v>208</v>
      </c>
      <c r="J520">
        <v>90</v>
      </c>
      <c r="K520">
        <v>1</v>
      </c>
      <c r="L520">
        <f t="shared" si="41"/>
        <v>4</v>
      </c>
      <c r="M520">
        <f t="shared" si="42"/>
        <v>58</v>
      </c>
      <c r="N520">
        <f t="shared" si="43"/>
        <v>79</v>
      </c>
      <c r="O520">
        <f t="shared" si="44"/>
        <v>-21</v>
      </c>
      <c r="P520">
        <f t="shared" si="40"/>
        <v>4</v>
      </c>
      <c r="Q520" t="s">
        <v>5</v>
      </c>
    </row>
    <row r="521" spans="1:17" x14ac:dyDescent="0.35">
      <c r="A521" t="s">
        <v>11</v>
      </c>
      <c r="B521">
        <v>8</v>
      </c>
      <c r="C521">
        <v>176</v>
      </c>
      <c r="D521">
        <v>121</v>
      </c>
      <c r="E521">
        <v>55</v>
      </c>
      <c r="F521">
        <v>4</v>
      </c>
      <c r="G521">
        <v>24</v>
      </c>
      <c r="H521">
        <v>389</v>
      </c>
      <c r="I521">
        <v>225</v>
      </c>
      <c r="J521">
        <v>164</v>
      </c>
      <c r="K521">
        <v>4</v>
      </c>
      <c r="L521">
        <f t="shared" si="41"/>
        <v>-16</v>
      </c>
      <c r="M521">
        <f t="shared" si="42"/>
        <v>-213</v>
      </c>
      <c r="N521">
        <f t="shared" si="43"/>
        <v>-104</v>
      </c>
      <c r="O521">
        <f t="shared" si="44"/>
        <v>-109</v>
      </c>
      <c r="P521">
        <f t="shared" si="40"/>
        <v>0</v>
      </c>
      <c r="Q521" t="s">
        <v>5</v>
      </c>
    </row>
    <row r="522" spans="1:17" x14ac:dyDescent="0.35">
      <c r="A522" t="s">
        <v>12</v>
      </c>
      <c r="B522">
        <v>11</v>
      </c>
      <c r="C522">
        <v>223</v>
      </c>
      <c r="D522">
        <v>78</v>
      </c>
      <c r="E522">
        <v>145</v>
      </c>
      <c r="F522">
        <v>2</v>
      </c>
      <c r="G522">
        <v>23</v>
      </c>
      <c r="H522">
        <v>442</v>
      </c>
      <c r="I522">
        <v>312</v>
      </c>
      <c r="J522">
        <v>130</v>
      </c>
      <c r="K522">
        <v>1</v>
      </c>
      <c r="L522">
        <f t="shared" si="41"/>
        <v>-12</v>
      </c>
      <c r="M522">
        <f t="shared" si="42"/>
        <v>-219</v>
      </c>
      <c r="N522">
        <f t="shared" si="43"/>
        <v>-234</v>
      </c>
      <c r="O522">
        <f t="shared" si="44"/>
        <v>15</v>
      </c>
      <c r="P522">
        <f t="shared" si="40"/>
        <v>1</v>
      </c>
      <c r="Q522" t="s">
        <v>5</v>
      </c>
    </row>
    <row r="523" spans="1:17" x14ac:dyDescent="0.35">
      <c r="A523" t="s">
        <v>11</v>
      </c>
      <c r="B523">
        <v>13</v>
      </c>
      <c r="C523">
        <v>311</v>
      </c>
      <c r="D523">
        <v>166</v>
      </c>
      <c r="E523">
        <v>145</v>
      </c>
      <c r="F523">
        <v>0</v>
      </c>
      <c r="G523">
        <v>21</v>
      </c>
      <c r="H523">
        <v>271</v>
      </c>
      <c r="I523">
        <v>187</v>
      </c>
      <c r="J523">
        <v>84</v>
      </c>
      <c r="K523">
        <v>2</v>
      </c>
      <c r="L523">
        <f t="shared" si="41"/>
        <v>-8</v>
      </c>
      <c r="M523">
        <f t="shared" si="42"/>
        <v>40</v>
      </c>
      <c r="N523">
        <f t="shared" si="43"/>
        <v>-21</v>
      </c>
      <c r="O523">
        <f t="shared" si="44"/>
        <v>61</v>
      </c>
      <c r="P523">
        <f t="shared" si="40"/>
        <v>-2</v>
      </c>
      <c r="Q523" t="s">
        <v>7</v>
      </c>
    </row>
    <row r="524" spans="1:17" x14ac:dyDescent="0.35">
      <c r="A524" t="s">
        <v>12</v>
      </c>
      <c r="B524">
        <v>10</v>
      </c>
      <c r="C524">
        <v>154</v>
      </c>
      <c r="D524">
        <v>50</v>
      </c>
      <c r="E524">
        <v>104</v>
      </c>
      <c r="F524">
        <v>1</v>
      </c>
      <c r="G524">
        <v>17</v>
      </c>
      <c r="H524">
        <v>283</v>
      </c>
      <c r="I524">
        <v>146</v>
      </c>
      <c r="J524">
        <v>137</v>
      </c>
      <c r="K524">
        <v>1</v>
      </c>
      <c r="L524">
        <f t="shared" si="41"/>
        <v>-7</v>
      </c>
      <c r="M524">
        <f t="shared" si="42"/>
        <v>-129</v>
      </c>
      <c r="N524">
        <f t="shared" si="43"/>
        <v>-96</v>
      </c>
      <c r="O524">
        <f t="shared" si="44"/>
        <v>-33</v>
      </c>
      <c r="P524">
        <f t="shared" si="40"/>
        <v>0</v>
      </c>
      <c r="Q524" t="s">
        <v>5</v>
      </c>
    </row>
    <row r="525" spans="1:17" x14ac:dyDescent="0.35">
      <c r="A525" t="s">
        <v>11</v>
      </c>
      <c r="B525">
        <v>14</v>
      </c>
      <c r="C525">
        <v>216</v>
      </c>
      <c r="D525">
        <v>131</v>
      </c>
      <c r="E525">
        <v>85</v>
      </c>
      <c r="F525">
        <v>2</v>
      </c>
      <c r="G525">
        <v>22</v>
      </c>
      <c r="H525">
        <v>434</v>
      </c>
      <c r="I525">
        <v>273</v>
      </c>
      <c r="J525">
        <v>161</v>
      </c>
      <c r="K525">
        <v>1</v>
      </c>
      <c r="L525">
        <f t="shared" si="41"/>
        <v>-8</v>
      </c>
      <c r="M525">
        <f t="shared" si="42"/>
        <v>-218</v>
      </c>
      <c r="N525">
        <f t="shared" si="43"/>
        <v>-142</v>
      </c>
      <c r="O525">
        <f t="shared" si="44"/>
        <v>-76</v>
      </c>
      <c r="P525">
        <f t="shared" si="40"/>
        <v>1</v>
      </c>
      <c r="Q525" t="s">
        <v>5</v>
      </c>
    </row>
    <row r="526" spans="1:17" x14ac:dyDescent="0.35">
      <c r="A526" t="s">
        <v>11</v>
      </c>
      <c r="B526">
        <v>12</v>
      </c>
      <c r="C526">
        <v>243</v>
      </c>
      <c r="D526">
        <v>116</v>
      </c>
      <c r="E526">
        <v>127</v>
      </c>
      <c r="F526">
        <v>0</v>
      </c>
      <c r="G526">
        <v>18</v>
      </c>
      <c r="H526">
        <v>268</v>
      </c>
      <c r="I526">
        <v>146</v>
      </c>
      <c r="J526">
        <v>122</v>
      </c>
      <c r="K526">
        <v>0</v>
      </c>
      <c r="L526">
        <f t="shared" si="41"/>
        <v>-6</v>
      </c>
      <c r="M526">
        <f t="shared" si="42"/>
        <v>-25</v>
      </c>
      <c r="N526">
        <f t="shared" si="43"/>
        <v>-30</v>
      </c>
      <c r="O526">
        <f t="shared" si="44"/>
        <v>5</v>
      </c>
      <c r="P526">
        <f t="shared" si="40"/>
        <v>0</v>
      </c>
      <c r="Q526" t="s">
        <v>5</v>
      </c>
    </row>
    <row r="527" spans="1:17" x14ac:dyDescent="0.35">
      <c r="A527" t="s">
        <v>12</v>
      </c>
      <c r="B527">
        <v>13</v>
      </c>
      <c r="C527">
        <v>225</v>
      </c>
      <c r="D527">
        <v>171</v>
      </c>
      <c r="E527">
        <v>54</v>
      </c>
      <c r="F527">
        <v>1</v>
      </c>
      <c r="G527">
        <v>23</v>
      </c>
      <c r="H527">
        <v>400</v>
      </c>
      <c r="I527">
        <v>285</v>
      </c>
      <c r="J527">
        <v>115</v>
      </c>
      <c r="K527">
        <v>2</v>
      </c>
      <c r="L527">
        <f t="shared" si="41"/>
        <v>-10</v>
      </c>
      <c r="M527">
        <f t="shared" si="42"/>
        <v>-175</v>
      </c>
      <c r="N527">
        <f t="shared" si="43"/>
        <v>-114</v>
      </c>
      <c r="O527">
        <f t="shared" si="44"/>
        <v>-61</v>
      </c>
      <c r="P527">
        <f t="shared" si="40"/>
        <v>-1</v>
      </c>
      <c r="Q527" t="s">
        <v>5</v>
      </c>
    </row>
    <row r="528" spans="1:17" x14ac:dyDescent="0.35">
      <c r="A528" t="s">
        <v>12</v>
      </c>
      <c r="B528">
        <v>13</v>
      </c>
      <c r="C528">
        <v>230</v>
      </c>
      <c r="D528">
        <v>144</v>
      </c>
      <c r="E528">
        <v>86</v>
      </c>
      <c r="F528">
        <v>2</v>
      </c>
      <c r="G528">
        <v>21</v>
      </c>
      <c r="H528">
        <v>364</v>
      </c>
      <c r="I528">
        <v>189</v>
      </c>
      <c r="J528">
        <v>175</v>
      </c>
      <c r="K528">
        <v>4</v>
      </c>
      <c r="L528">
        <f t="shared" si="41"/>
        <v>-8</v>
      </c>
      <c r="M528">
        <f t="shared" si="42"/>
        <v>-134</v>
      </c>
      <c r="N528">
        <f t="shared" si="43"/>
        <v>-45</v>
      </c>
      <c r="O528">
        <f t="shared" si="44"/>
        <v>-89</v>
      </c>
      <c r="P528">
        <f t="shared" si="40"/>
        <v>-2</v>
      </c>
      <c r="Q528" t="s">
        <v>7</v>
      </c>
    </row>
    <row r="529" spans="1:17" x14ac:dyDescent="0.35">
      <c r="A529" t="s">
        <v>11</v>
      </c>
      <c r="B529">
        <v>20</v>
      </c>
      <c r="C529">
        <v>362</v>
      </c>
      <c r="D529">
        <v>114</v>
      </c>
      <c r="E529">
        <v>248</v>
      </c>
      <c r="F529">
        <v>0</v>
      </c>
      <c r="G529">
        <v>22</v>
      </c>
      <c r="H529">
        <v>278</v>
      </c>
      <c r="I529">
        <v>213</v>
      </c>
      <c r="J529">
        <v>65</v>
      </c>
      <c r="K529">
        <v>2</v>
      </c>
      <c r="L529">
        <f t="shared" si="41"/>
        <v>-2</v>
      </c>
      <c r="M529">
        <f t="shared" si="42"/>
        <v>84</v>
      </c>
      <c r="N529">
        <f t="shared" si="43"/>
        <v>-99</v>
      </c>
      <c r="O529">
        <f t="shared" si="44"/>
        <v>183</v>
      </c>
      <c r="P529">
        <f t="shared" si="40"/>
        <v>-2</v>
      </c>
      <c r="Q529" t="s">
        <v>7</v>
      </c>
    </row>
    <row r="530" spans="1:17" x14ac:dyDescent="0.35">
      <c r="A530" t="s">
        <v>11</v>
      </c>
      <c r="B530">
        <v>18</v>
      </c>
      <c r="C530">
        <v>262</v>
      </c>
      <c r="D530">
        <v>141</v>
      </c>
      <c r="E530">
        <v>121</v>
      </c>
      <c r="F530">
        <v>1</v>
      </c>
      <c r="G530">
        <v>18</v>
      </c>
      <c r="H530">
        <v>341</v>
      </c>
      <c r="I530">
        <v>167</v>
      </c>
      <c r="J530">
        <v>174</v>
      </c>
      <c r="K530">
        <v>1</v>
      </c>
      <c r="L530">
        <f t="shared" si="41"/>
        <v>0</v>
      </c>
      <c r="M530">
        <f t="shared" si="42"/>
        <v>-79</v>
      </c>
      <c r="N530">
        <f t="shared" si="43"/>
        <v>-26</v>
      </c>
      <c r="O530">
        <f t="shared" si="44"/>
        <v>-53</v>
      </c>
      <c r="P530">
        <f t="shared" si="40"/>
        <v>0</v>
      </c>
      <c r="Q530" t="s">
        <v>5</v>
      </c>
    </row>
    <row r="531" spans="1:17" x14ac:dyDescent="0.35">
      <c r="A531" t="s">
        <v>12</v>
      </c>
      <c r="B531">
        <v>19</v>
      </c>
      <c r="C531">
        <v>352</v>
      </c>
      <c r="D531">
        <v>251</v>
      </c>
      <c r="E531">
        <v>101</v>
      </c>
      <c r="F531">
        <v>1</v>
      </c>
      <c r="G531">
        <v>27</v>
      </c>
      <c r="H531">
        <v>415</v>
      </c>
      <c r="I531">
        <v>258</v>
      </c>
      <c r="J531">
        <v>157</v>
      </c>
      <c r="K531">
        <v>1</v>
      </c>
      <c r="L531">
        <f t="shared" si="41"/>
        <v>-8</v>
      </c>
      <c r="M531">
        <f t="shared" si="42"/>
        <v>-63</v>
      </c>
      <c r="N531">
        <f t="shared" si="43"/>
        <v>-7</v>
      </c>
      <c r="O531">
        <f t="shared" si="44"/>
        <v>-56</v>
      </c>
      <c r="P531">
        <f t="shared" si="40"/>
        <v>0</v>
      </c>
      <c r="Q531" t="s">
        <v>5</v>
      </c>
    </row>
    <row r="532" spans="1:17" x14ac:dyDescent="0.35">
      <c r="A532" t="s">
        <v>12</v>
      </c>
      <c r="B532">
        <v>25</v>
      </c>
      <c r="C532">
        <v>361</v>
      </c>
      <c r="D532">
        <v>281</v>
      </c>
      <c r="E532">
        <v>80</v>
      </c>
      <c r="F532">
        <v>0</v>
      </c>
      <c r="G532">
        <v>28</v>
      </c>
      <c r="H532">
        <v>552</v>
      </c>
      <c r="I532">
        <v>346</v>
      </c>
      <c r="J532">
        <v>206</v>
      </c>
      <c r="K532">
        <v>0</v>
      </c>
      <c r="L532">
        <f t="shared" si="41"/>
        <v>-3</v>
      </c>
      <c r="M532">
        <f t="shared" si="42"/>
        <v>-191</v>
      </c>
      <c r="N532">
        <f t="shared" si="43"/>
        <v>-65</v>
      </c>
      <c r="O532">
        <f t="shared" si="44"/>
        <v>-126</v>
      </c>
      <c r="P532">
        <f t="shared" si="40"/>
        <v>0</v>
      </c>
      <c r="Q532" t="s">
        <v>5</v>
      </c>
    </row>
    <row r="533" spans="1:17" x14ac:dyDescent="0.35">
      <c r="A533" t="s">
        <v>11</v>
      </c>
      <c r="B533">
        <v>13</v>
      </c>
      <c r="C533">
        <v>271</v>
      </c>
      <c r="D533">
        <v>183</v>
      </c>
      <c r="E533">
        <v>88</v>
      </c>
      <c r="F533">
        <v>2</v>
      </c>
      <c r="G533">
        <v>22</v>
      </c>
      <c r="H533">
        <v>517</v>
      </c>
      <c r="I533">
        <v>294</v>
      </c>
      <c r="J533">
        <v>223</v>
      </c>
      <c r="K533">
        <v>1</v>
      </c>
      <c r="L533">
        <f t="shared" si="41"/>
        <v>-9</v>
      </c>
      <c r="M533">
        <f t="shared" si="42"/>
        <v>-246</v>
      </c>
      <c r="N533">
        <f t="shared" si="43"/>
        <v>-111</v>
      </c>
      <c r="O533">
        <f t="shared" si="44"/>
        <v>-135</v>
      </c>
      <c r="P533">
        <f t="shared" si="40"/>
        <v>1</v>
      </c>
      <c r="Q533" t="s">
        <v>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3"/>
  <sheetViews>
    <sheetView topLeftCell="A514" workbookViewId="0">
      <selection sqref="A1:Q533"/>
    </sheetView>
  </sheetViews>
  <sheetFormatPr defaultRowHeight="14.5" x14ac:dyDescent="0.35"/>
  <sheetData>
    <row r="1" spans="1:17" ht="29" x14ac:dyDescent="0.35">
      <c r="A1" s="1" t="s">
        <v>10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9</v>
      </c>
    </row>
    <row r="2" spans="1:17" x14ac:dyDescent="0.35">
      <c r="A2" t="s">
        <v>12</v>
      </c>
      <c r="B2">
        <v>25</v>
      </c>
      <c r="C2">
        <v>491</v>
      </c>
      <c r="D2">
        <v>235</v>
      </c>
      <c r="E2">
        <v>256</v>
      </c>
      <c r="F2">
        <v>0</v>
      </c>
      <c r="G2">
        <v>16</v>
      </c>
      <c r="H2">
        <v>232</v>
      </c>
      <c r="I2">
        <v>110</v>
      </c>
      <c r="J2">
        <v>122</v>
      </c>
      <c r="K2">
        <v>2</v>
      </c>
      <c r="L2">
        <f t="shared" ref="L2:L65" si="0">B2-G2</f>
        <v>9</v>
      </c>
      <c r="M2">
        <f t="shared" ref="M2:M65" si="1">C2-H2</f>
        <v>259</v>
      </c>
      <c r="N2">
        <f t="shared" ref="N2:N65" si="2">D2-I2</f>
        <v>125</v>
      </c>
      <c r="O2">
        <f t="shared" ref="O2:O65" si="3">E2-J2</f>
        <v>134</v>
      </c>
      <c r="P2">
        <f t="shared" ref="P2:P65" si="4">F2-K2</f>
        <v>-2</v>
      </c>
      <c r="Q2" t="s">
        <v>7</v>
      </c>
    </row>
    <row r="3" spans="1:17" x14ac:dyDescent="0.35">
      <c r="A3" t="s">
        <v>11</v>
      </c>
      <c r="B3">
        <v>16</v>
      </c>
      <c r="C3">
        <v>175</v>
      </c>
      <c r="D3">
        <v>102</v>
      </c>
      <c r="E3">
        <v>73</v>
      </c>
      <c r="F3">
        <v>2</v>
      </c>
      <c r="G3">
        <v>20</v>
      </c>
      <c r="H3">
        <v>326</v>
      </c>
      <c r="I3">
        <v>260</v>
      </c>
      <c r="J3">
        <v>66</v>
      </c>
      <c r="K3">
        <v>1</v>
      </c>
      <c r="L3">
        <f t="shared" si="0"/>
        <v>-4</v>
      </c>
      <c r="M3">
        <f t="shared" si="1"/>
        <v>-151</v>
      </c>
      <c r="N3">
        <f t="shared" si="2"/>
        <v>-158</v>
      </c>
      <c r="O3">
        <f t="shared" si="3"/>
        <v>7</v>
      </c>
      <c r="P3">
        <f t="shared" si="4"/>
        <v>1</v>
      </c>
      <c r="Q3" t="s">
        <v>5</v>
      </c>
    </row>
    <row r="4" spans="1:17" x14ac:dyDescent="0.35">
      <c r="A4" t="s">
        <v>12</v>
      </c>
      <c r="B4">
        <v>21</v>
      </c>
      <c r="C4">
        <v>381</v>
      </c>
      <c r="D4">
        <v>313</v>
      </c>
      <c r="E4">
        <v>68</v>
      </c>
      <c r="F4">
        <v>2</v>
      </c>
      <c r="G4">
        <v>6</v>
      </c>
      <c r="H4">
        <v>105</v>
      </c>
      <c r="I4">
        <v>69</v>
      </c>
      <c r="J4">
        <v>36</v>
      </c>
      <c r="K4">
        <v>1</v>
      </c>
      <c r="L4">
        <f t="shared" si="0"/>
        <v>15</v>
      </c>
      <c r="M4">
        <f t="shared" si="1"/>
        <v>276</v>
      </c>
      <c r="N4">
        <f t="shared" si="2"/>
        <v>244</v>
      </c>
      <c r="O4">
        <f t="shared" si="3"/>
        <v>32</v>
      </c>
      <c r="P4">
        <f t="shared" si="4"/>
        <v>1</v>
      </c>
      <c r="Q4" t="s">
        <v>7</v>
      </c>
    </row>
    <row r="5" spans="1:17" x14ac:dyDescent="0.35">
      <c r="A5" t="s">
        <v>11</v>
      </c>
      <c r="B5">
        <v>29</v>
      </c>
      <c r="C5">
        <v>418</v>
      </c>
      <c r="D5">
        <v>319</v>
      </c>
      <c r="E5">
        <v>99</v>
      </c>
      <c r="F5">
        <v>1</v>
      </c>
      <c r="G5">
        <v>31</v>
      </c>
      <c r="H5">
        <v>492</v>
      </c>
      <c r="I5">
        <v>347</v>
      </c>
      <c r="J5">
        <v>145</v>
      </c>
      <c r="K5">
        <v>1</v>
      </c>
      <c r="L5">
        <f t="shared" si="0"/>
        <v>-2</v>
      </c>
      <c r="M5">
        <f t="shared" si="1"/>
        <v>-74</v>
      </c>
      <c r="N5">
        <f t="shared" si="2"/>
        <v>-28</v>
      </c>
      <c r="O5">
        <f t="shared" si="3"/>
        <v>-46</v>
      </c>
      <c r="P5">
        <f t="shared" si="4"/>
        <v>0</v>
      </c>
      <c r="Q5" t="s">
        <v>5</v>
      </c>
    </row>
    <row r="6" spans="1:17" x14ac:dyDescent="0.35">
      <c r="A6" t="s">
        <v>11</v>
      </c>
      <c r="B6">
        <v>23</v>
      </c>
      <c r="C6">
        <v>381</v>
      </c>
      <c r="D6">
        <v>291</v>
      </c>
      <c r="E6">
        <v>90</v>
      </c>
      <c r="F6">
        <v>0</v>
      </c>
      <c r="G6">
        <v>14</v>
      </c>
      <c r="H6">
        <v>224</v>
      </c>
      <c r="I6">
        <v>186</v>
      </c>
      <c r="J6">
        <v>38</v>
      </c>
      <c r="K6">
        <v>3</v>
      </c>
      <c r="L6">
        <f t="shared" si="0"/>
        <v>9</v>
      </c>
      <c r="M6">
        <f t="shared" si="1"/>
        <v>157</v>
      </c>
      <c r="N6">
        <f t="shared" si="2"/>
        <v>105</v>
      </c>
      <c r="O6">
        <f t="shared" si="3"/>
        <v>52</v>
      </c>
      <c r="P6">
        <f t="shared" si="4"/>
        <v>-3</v>
      </c>
      <c r="Q6" t="s">
        <v>7</v>
      </c>
    </row>
    <row r="7" spans="1:17" x14ac:dyDescent="0.35">
      <c r="A7" t="s">
        <v>12</v>
      </c>
      <c r="B7">
        <v>26</v>
      </c>
      <c r="C7">
        <v>497</v>
      </c>
      <c r="D7">
        <v>228</v>
      </c>
      <c r="E7">
        <v>269</v>
      </c>
      <c r="F7">
        <v>1</v>
      </c>
      <c r="G7">
        <v>18</v>
      </c>
      <c r="H7">
        <v>250</v>
      </c>
      <c r="I7">
        <v>217</v>
      </c>
      <c r="J7">
        <v>33</v>
      </c>
      <c r="K7">
        <v>1</v>
      </c>
      <c r="L7">
        <f t="shared" si="0"/>
        <v>8</v>
      </c>
      <c r="M7">
        <f t="shared" si="1"/>
        <v>247</v>
      </c>
      <c r="N7">
        <f t="shared" si="2"/>
        <v>11</v>
      </c>
      <c r="O7">
        <f t="shared" si="3"/>
        <v>236</v>
      </c>
      <c r="P7">
        <f t="shared" si="4"/>
        <v>0</v>
      </c>
      <c r="Q7" t="s">
        <v>7</v>
      </c>
    </row>
    <row r="8" spans="1:17" x14ac:dyDescent="0.35">
      <c r="A8" t="s">
        <v>11</v>
      </c>
      <c r="B8">
        <v>10</v>
      </c>
      <c r="C8">
        <v>168</v>
      </c>
      <c r="D8">
        <v>77</v>
      </c>
      <c r="E8">
        <v>91</v>
      </c>
      <c r="F8">
        <v>2</v>
      </c>
      <c r="G8">
        <v>19</v>
      </c>
      <c r="H8">
        <v>304</v>
      </c>
      <c r="I8">
        <v>81</v>
      </c>
      <c r="J8">
        <v>223</v>
      </c>
      <c r="K8">
        <v>2</v>
      </c>
      <c r="L8">
        <f t="shared" si="0"/>
        <v>-9</v>
      </c>
      <c r="M8">
        <f t="shared" si="1"/>
        <v>-136</v>
      </c>
      <c r="N8">
        <f t="shared" si="2"/>
        <v>-4</v>
      </c>
      <c r="O8">
        <f t="shared" si="3"/>
        <v>-132</v>
      </c>
      <c r="P8">
        <f t="shared" si="4"/>
        <v>0</v>
      </c>
      <c r="Q8" t="s">
        <v>5</v>
      </c>
    </row>
    <row r="9" spans="1:17" x14ac:dyDescent="0.35">
      <c r="A9" t="s">
        <v>12</v>
      </c>
      <c r="B9">
        <v>25</v>
      </c>
      <c r="C9">
        <v>510</v>
      </c>
      <c r="D9">
        <v>362</v>
      </c>
      <c r="E9">
        <v>148</v>
      </c>
      <c r="F9">
        <v>1</v>
      </c>
      <c r="G9">
        <v>22</v>
      </c>
      <c r="H9">
        <v>414</v>
      </c>
      <c r="I9">
        <v>234</v>
      </c>
      <c r="J9">
        <v>180</v>
      </c>
      <c r="K9">
        <v>1</v>
      </c>
      <c r="L9">
        <f t="shared" si="0"/>
        <v>3</v>
      </c>
      <c r="M9">
        <f t="shared" si="1"/>
        <v>96</v>
      </c>
      <c r="N9">
        <f t="shared" si="2"/>
        <v>128</v>
      </c>
      <c r="O9">
        <f t="shared" si="3"/>
        <v>-32</v>
      </c>
      <c r="P9">
        <f t="shared" si="4"/>
        <v>0</v>
      </c>
      <c r="Q9" t="s">
        <v>7</v>
      </c>
    </row>
    <row r="10" spans="1:17" x14ac:dyDescent="0.35">
      <c r="A10" t="s">
        <v>11</v>
      </c>
      <c r="B10">
        <v>31</v>
      </c>
      <c r="C10">
        <v>444</v>
      </c>
      <c r="D10">
        <v>341</v>
      </c>
      <c r="E10">
        <v>103</v>
      </c>
      <c r="F10">
        <v>0</v>
      </c>
      <c r="G10">
        <v>24</v>
      </c>
      <c r="H10">
        <v>442</v>
      </c>
      <c r="I10">
        <v>340</v>
      </c>
      <c r="J10">
        <v>102</v>
      </c>
      <c r="K10">
        <v>0</v>
      </c>
      <c r="L10">
        <f t="shared" si="0"/>
        <v>7</v>
      </c>
      <c r="M10">
        <f t="shared" si="1"/>
        <v>2</v>
      </c>
      <c r="N10">
        <f t="shared" si="2"/>
        <v>1</v>
      </c>
      <c r="O10">
        <f t="shared" si="3"/>
        <v>1</v>
      </c>
      <c r="P10">
        <f t="shared" si="4"/>
        <v>0</v>
      </c>
      <c r="Q10" t="s">
        <v>5</v>
      </c>
    </row>
    <row r="11" spans="1:17" x14ac:dyDescent="0.35">
      <c r="A11" t="s">
        <v>12</v>
      </c>
      <c r="B11">
        <v>18</v>
      </c>
      <c r="C11">
        <v>277</v>
      </c>
      <c r="D11">
        <v>233</v>
      </c>
      <c r="E11">
        <v>44</v>
      </c>
      <c r="F11">
        <v>0</v>
      </c>
      <c r="G11">
        <v>15</v>
      </c>
      <c r="H11">
        <v>271</v>
      </c>
      <c r="I11">
        <v>209</v>
      </c>
      <c r="J11">
        <v>62</v>
      </c>
      <c r="K11">
        <v>0</v>
      </c>
      <c r="L11">
        <f t="shared" si="0"/>
        <v>3</v>
      </c>
      <c r="M11">
        <f t="shared" si="1"/>
        <v>6</v>
      </c>
      <c r="N11">
        <f t="shared" si="2"/>
        <v>24</v>
      </c>
      <c r="O11">
        <f t="shared" si="3"/>
        <v>-18</v>
      </c>
      <c r="P11">
        <f t="shared" si="4"/>
        <v>0</v>
      </c>
      <c r="Q11" t="s">
        <v>7</v>
      </c>
    </row>
    <row r="12" spans="1:17" x14ac:dyDescent="0.35">
      <c r="A12" t="s">
        <v>11</v>
      </c>
      <c r="B12">
        <v>15</v>
      </c>
      <c r="C12">
        <v>378</v>
      </c>
      <c r="D12">
        <v>285</v>
      </c>
      <c r="E12">
        <v>93</v>
      </c>
      <c r="F12">
        <v>0</v>
      </c>
      <c r="G12">
        <v>29</v>
      </c>
      <c r="H12">
        <v>388</v>
      </c>
      <c r="I12">
        <v>258</v>
      </c>
      <c r="J12">
        <v>130</v>
      </c>
      <c r="K12">
        <v>0</v>
      </c>
      <c r="L12">
        <f t="shared" si="0"/>
        <v>-14</v>
      </c>
      <c r="M12">
        <f t="shared" si="1"/>
        <v>-10</v>
      </c>
      <c r="N12">
        <f t="shared" si="2"/>
        <v>27</v>
      </c>
      <c r="O12">
        <f t="shared" si="3"/>
        <v>-37</v>
      </c>
      <c r="P12">
        <f t="shared" si="4"/>
        <v>0</v>
      </c>
      <c r="Q12" t="s">
        <v>5</v>
      </c>
    </row>
    <row r="13" spans="1:17" x14ac:dyDescent="0.35">
      <c r="A13" t="s">
        <v>12</v>
      </c>
      <c r="B13">
        <v>12</v>
      </c>
      <c r="C13">
        <v>232</v>
      </c>
      <c r="D13">
        <v>160</v>
      </c>
      <c r="E13">
        <v>72</v>
      </c>
      <c r="F13">
        <v>1</v>
      </c>
      <c r="G13">
        <v>22</v>
      </c>
      <c r="H13">
        <v>429</v>
      </c>
      <c r="I13">
        <v>395</v>
      </c>
      <c r="J13">
        <v>34</v>
      </c>
      <c r="K13">
        <v>3</v>
      </c>
      <c r="L13">
        <f t="shared" si="0"/>
        <v>-10</v>
      </c>
      <c r="M13">
        <f t="shared" si="1"/>
        <v>-197</v>
      </c>
      <c r="N13">
        <f t="shared" si="2"/>
        <v>-235</v>
      </c>
      <c r="O13">
        <f t="shared" si="3"/>
        <v>38</v>
      </c>
      <c r="P13">
        <f t="shared" si="4"/>
        <v>-2</v>
      </c>
      <c r="Q13" t="s">
        <v>7</v>
      </c>
    </row>
    <row r="14" spans="1:17" x14ac:dyDescent="0.35">
      <c r="A14" t="s">
        <v>11</v>
      </c>
      <c r="B14">
        <v>25</v>
      </c>
      <c r="C14">
        <v>467</v>
      </c>
      <c r="D14">
        <v>222</v>
      </c>
      <c r="E14">
        <v>245</v>
      </c>
      <c r="F14">
        <v>0</v>
      </c>
      <c r="G14">
        <v>20</v>
      </c>
      <c r="H14">
        <v>301</v>
      </c>
      <c r="I14">
        <v>192</v>
      </c>
      <c r="J14">
        <v>109</v>
      </c>
      <c r="K14">
        <v>1</v>
      </c>
      <c r="L14">
        <f t="shared" si="0"/>
        <v>5</v>
      </c>
      <c r="M14">
        <f t="shared" si="1"/>
        <v>166</v>
      </c>
      <c r="N14">
        <f t="shared" si="2"/>
        <v>30</v>
      </c>
      <c r="O14">
        <f t="shared" si="3"/>
        <v>136</v>
      </c>
      <c r="P14">
        <f t="shared" si="4"/>
        <v>-1</v>
      </c>
      <c r="Q14" t="s">
        <v>7</v>
      </c>
    </row>
    <row r="15" spans="1:17" x14ac:dyDescent="0.35">
      <c r="A15" t="s">
        <v>11</v>
      </c>
      <c r="B15">
        <v>15</v>
      </c>
      <c r="C15">
        <v>222</v>
      </c>
      <c r="D15">
        <v>182</v>
      </c>
      <c r="E15">
        <v>40</v>
      </c>
      <c r="F15">
        <v>2</v>
      </c>
      <c r="G15">
        <v>17</v>
      </c>
      <c r="H15">
        <v>269</v>
      </c>
      <c r="I15">
        <v>197</v>
      </c>
      <c r="J15">
        <v>72</v>
      </c>
      <c r="K15">
        <v>0</v>
      </c>
      <c r="L15">
        <f t="shared" si="0"/>
        <v>-2</v>
      </c>
      <c r="M15">
        <f t="shared" si="1"/>
        <v>-47</v>
      </c>
      <c r="N15">
        <f t="shared" si="2"/>
        <v>-15</v>
      </c>
      <c r="O15">
        <f t="shared" si="3"/>
        <v>-32</v>
      </c>
      <c r="P15">
        <f t="shared" si="4"/>
        <v>2</v>
      </c>
      <c r="Q15" t="s">
        <v>5</v>
      </c>
    </row>
    <row r="16" spans="1:17" x14ac:dyDescent="0.35">
      <c r="A16" t="s">
        <v>12</v>
      </c>
      <c r="B16">
        <v>25</v>
      </c>
      <c r="C16">
        <v>424</v>
      </c>
      <c r="D16">
        <v>311</v>
      </c>
      <c r="E16">
        <v>113</v>
      </c>
      <c r="F16">
        <v>0</v>
      </c>
      <c r="G16">
        <v>22</v>
      </c>
      <c r="H16">
        <v>393</v>
      </c>
      <c r="I16">
        <v>322</v>
      </c>
      <c r="J16">
        <v>71</v>
      </c>
      <c r="K16">
        <v>5</v>
      </c>
      <c r="L16">
        <f t="shared" si="0"/>
        <v>3</v>
      </c>
      <c r="M16">
        <f t="shared" si="1"/>
        <v>31</v>
      </c>
      <c r="N16">
        <f t="shared" si="2"/>
        <v>-11</v>
      </c>
      <c r="O16">
        <f t="shared" si="3"/>
        <v>42</v>
      </c>
      <c r="P16">
        <f t="shared" si="4"/>
        <v>-5</v>
      </c>
      <c r="Q16" t="s">
        <v>7</v>
      </c>
    </row>
    <row r="17" spans="1:17" x14ac:dyDescent="0.35">
      <c r="A17" t="s">
        <v>12</v>
      </c>
      <c r="B17">
        <v>19</v>
      </c>
      <c r="C17">
        <v>339</v>
      </c>
      <c r="D17">
        <v>245</v>
      </c>
      <c r="E17">
        <v>94</v>
      </c>
      <c r="F17">
        <v>2</v>
      </c>
      <c r="G17">
        <v>21</v>
      </c>
      <c r="H17">
        <v>424</v>
      </c>
      <c r="I17">
        <v>287</v>
      </c>
      <c r="J17">
        <v>137</v>
      </c>
      <c r="K17">
        <v>2</v>
      </c>
      <c r="L17">
        <f t="shared" si="0"/>
        <v>-2</v>
      </c>
      <c r="M17">
        <f t="shared" si="1"/>
        <v>-85</v>
      </c>
      <c r="N17">
        <f t="shared" si="2"/>
        <v>-42</v>
      </c>
      <c r="O17">
        <f t="shared" si="3"/>
        <v>-43</v>
      </c>
      <c r="P17">
        <f t="shared" si="4"/>
        <v>0</v>
      </c>
      <c r="Q17" t="s">
        <v>7</v>
      </c>
    </row>
    <row r="18" spans="1:17" x14ac:dyDescent="0.35">
      <c r="A18" t="s">
        <v>12</v>
      </c>
      <c r="B18">
        <v>18</v>
      </c>
      <c r="C18">
        <v>294</v>
      </c>
      <c r="D18">
        <v>218</v>
      </c>
      <c r="E18">
        <v>76</v>
      </c>
      <c r="F18">
        <v>0</v>
      </c>
      <c r="G18">
        <v>15</v>
      </c>
      <c r="H18">
        <v>281</v>
      </c>
      <c r="I18">
        <v>258</v>
      </c>
      <c r="J18">
        <v>23</v>
      </c>
      <c r="K18">
        <v>2</v>
      </c>
      <c r="L18">
        <f t="shared" si="0"/>
        <v>3</v>
      </c>
      <c r="M18">
        <f t="shared" si="1"/>
        <v>13</v>
      </c>
      <c r="N18">
        <f t="shared" si="2"/>
        <v>-40</v>
      </c>
      <c r="O18">
        <f t="shared" si="3"/>
        <v>53</v>
      </c>
      <c r="P18">
        <f t="shared" si="4"/>
        <v>-2</v>
      </c>
      <c r="Q18" t="s">
        <v>7</v>
      </c>
    </row>
    <row r="19" spans="1:17" x14ac:dyDescent="0.35">
      <c r="A19" t="s">
        <v>12</v>
      </c>
      <c r="B19">
        <v>32</v>
      </c>
      <c r="C19">
        <v>426</v>
      </c>
      <c r="D19">
        <v>323</v>
      </c>
      <c r="E19">
        <v>103</v>
      </c>
      <c r="F19">
        <v>2</v>
      </c>
      <c r="G19">
        <v>22</v>
      </c>
      <c r="H19">
        <v>356</v>
      </c>
      <c r="I19">
        <v>232</v>
      </c>
      <c r="J19">
        <v>124</v>
      </c>
      <c r="K19">
        <v>0</v>
      </c>
      <c r="L19">
        <f t="shared" si="0"/>
        <v>10</v>
      </c>
      <c r="M19">
        <f t="shared" si="1"/>
        <v>70</v>
      </c>
      <c r="N19">
        <f t="shared" si="2"/>
        <v>91</v>
      </c>
      <c r="O19">
        <f t="shared" si="3"/>
        <v>-21</v>
      </c>
      <c r="P19">
        <f t="shared" si="4"/>
        <v>2</v>
      </c>
      <c r="Q19" t="s">
        <v>5</v>
      </c>
    </row>
    <row r="20" spans="1:17" x14ac:dyDescent="0.35">
      <c r="A20" t="s">
        <v>12</v>
      </c>
      <c r="B20">
        <v>21</v>
      </c>
      <c r="C20">
        <v>291</v>
      </c>
      <c r="D20">
        <v>258</v>
      </c>
      <c r="E20">
        <v>33</v>
      </c>
      <c r="F20">
        <v>4</v>
      </c>
      <c r="G20">
        <v>22</v>
      </c>
      <c r="H20">
        <v>460</v>
      </c>
      <c r="I20">
        <v>244</v>
      </c>
      <c r="J20">
        <v>216</v>
      </c>
      <c r="K20">
        <v>0</v>
      </c>
      <c r="L20">
        <f t="shared" si="0"/>
        <v>-1</v>
      </c>
      <c r="M20">
        <f t="shared" si="1"/>
        <v>-169</v>
      </c>
      <c r="N20">
        <f t="shared" si="2"/>
        <v>14</v>
      </c>
      <c r="O20">
        <f t="shared" si="3"/>
        <v>-183</v>
      </c>
      <c r="P20">
        <f t="shared" si="4"/>
        <v>4</v>
      </c>
      <c r="Q20" t="s">
        <v>5</v>
      </c>
    </row>
    <row r="21" spans="1:17" x14ac:dyDescent="0.35">
      <c r="A21" t="s">
        <v>12</v>
      </c>
      <c r="B21">
        <v>13</v>
      </c>
      <c r="C21">
        <v>233</v>
      </c>
      <c r="D21">
        <v>161</v>
      </c>
      <c r="E21">
        <v>72</v>
      </c>
      <c r="F21">
        <v>1</v>
      </c>
      <c r="G21">
        <v>24</v>
      </c>
      <c r="H21">
        <v>390</v>
      </c>
      <c r="I21">
        <v>311</v>
      </c>
      <c r="J21">
        <v>79</v>
      </c>
      <c r="K21">
        <v>0</v>
      </c>
      <c r="L21">
        <f t="shared" si="0"/>
        <v>-11</v>
      </c>
      <c r="M21">
        <f t="shared" si="1"/>
        <v>-157</v>
      </c>
      <c r="N21">
        <f t="shared" si="2"/>
        <v>-150</v>
      </c>
      <c r="O21">
        <f t="shared" si="3"/>
        <v>-7</v>
      </c>
      <c r="P21">
        <f t="shared" si="4"/>
        <v>1</v>
      </c>
      <c r="Q21" t="s">
        <v>5</v>
      </c>
    </row>
    <row r="22" spans="1:17" x14ac:dyDescent="0.35">
      <c r="A22" t="s">
        <v>11</v>
      </c>
      <c r="B22">
        <v>26</v>
      </c>
      <c r="C22">
        <v>473</v>
      </c>
      <c r="D22">
        <v>383</v>
      </c>
      <c r="E22">
        <v>90</v>
      </c>
      <c r="F22">
        <v>2</v>
      </c>
      <c r="G22">
        <v>25</v>
      </c>
      <c r="H22">
        <v>450</v>
      </c>
      <c r="I22">
        <v>279</v>
      </c>
      <c r="J22">
        <v>171</v>
      </c>
      <c r="K22">
        <v>0</v>
      </c>
      <c r="L22">
        <f t="shared" si="0"/>
        <v>1</v>
      </c>
      <c r="M22">
        <f t="shared" si="1"/>
        <v>23</v>
      </c>
      <c r="N22">
        <f t="shared" si="2"/>
        <v>104</v>
      </c>
      <c r="O22">
        <f t="shared" si="3"/>
        <v>-81</v>
      </c>
      <c r="P22">
        <f t="shared" si="4"/>
        <v>2</v>
      </c>
      <c r="Q22" t="s">
        <v>5</v>
      </c>
    </row>
    <row r="23" spans="1:17" x14ac:dyDescent="0.35">
      <c r="A23" t="s">
        <v>12</v>
      </c>
      <c r="B23">
        <v>16</v>
      </c>
      <c r="C23">
        <v>209</v>
      </c>
      <c r="D23">
        <v>105</v>
      </c>
      <c r="E23">
        <v>104</v>
      </c>
      <c r="F23">
        <v>1</v>
      </c>
      <c r="G23">
        <v>18</v>
      </c>
      <c r="H23">
        <v>257</v>
      </c>
      <c r="I23">
        <v>139</v>
      </c>
      <c r="J23">
        <v>118</v>
      </c>
      <c r="K23">
        <v>1</v>
      </c>
      <c r="L23">
        <f t="shared" si="0"/>
        <v>-2</v>
      </c>
      <c r="M23">
        <f t="shared" si="1"/>
        <v>-48</v>
      </c>
      <c r="N23">
        <f t="shared" si="2"/>
        <v>-34</v>
      </c>
      <c r="O23">
        <f t="shared" si="3"/>
        <v>-14</v>
      </c>
      <c r="P23">
        <f t="shared" si="4"/>
        <v>0</v>
      </c>
      <c r="Q23" t="s">
        <v>5</v>
      </c>
    </row>
    <row r="24" spans="1:17" x14ac:dyDescent="0.35">
      <c r="A24" t="s">
        <v>12</v>
      </c>
      <c r="B24">
        <v>23</v>
      </c>
      <c r="C24">
        <v>402</v>
      </c>
      <c r="D24">
        <v>213</v>
      </c>
      <c r="E24">
        <v>189</v>
      </c>
      <c r="F24">
        <v>1</v>
      </c>
      <c r="G24">
        <v>16</v>
      </c>
      <c r="H24">
        <v>283</v>
      </c>
      <c r="I24">
        <v>168</v>
      </c>
      <c r="J24">
        <v>115</v>
      </c>
      <c r="K24">
        <v>4</v>
      </c>
      <c r="L24">
        <f t="shared" si="0"/>
        <v>7</v>
      </c>
      <c r="M24">
        <f t="shared" si="1"/>
        <v>119</v>
      </c>
      <c r="N24">
        <f t="shared" si="2"/>
        <v>45</v>
      </c>
      <c r="O24">
        <f t="shared" si="3"/>
        <v>74</v>
      </c>
      <c r="P24">
        <f t="shared" si="4"/>
        <v>-3</v>
      </c>
      <c r="Q24" t="s">
        <v>7</v>
      </c>
    </row>
    <row r="25" spans="1:17" x14ac:dyDescent="0.35">
      <c r="A25" t="s">
        <v>12</v>
      </c>
      <c r="B25">
        <v>20</v>
      </c>
      <c r="C25">
        <v>352</v>
      </c>
      <c r="D25">
        <v>313</v>
      </c>
      <c r="E25">
        <v>39</v>
      </c>
      <c r="F25">
        <v>1</v>
      </c>
      <c r="G25">
        <v>16</v>
      </c>
      <c r="H25">
        <v>289</v>
      </c>
      <c r="I25">
        <v>189</v>
      </c>
      <c r="J25">
        <v>100</v>
      </c>
      <c r="K25">
        <v>0</v>
      </c>
      <c r="L25">
        <f t="shared" si="0"/>
        <v>4</v>
      </c>
      <c r="M25">
        <f t="shared" si="1"/>
        <v>63</v>
      </c>
      <c r="N25">
        <f t="shared" si="2"/>
        <v>124</v>
      </c>
      <c r="O25">
        <f t="shared" si="3"/>
        <v>-61</v>
      </c>
      <c r="P25">
        <f t="shared" si="4"/>
        <v>1</v>
      </c>
      <c r="Q25" t="s">
        <v>5</v>
      </c>
    </row>
    <row r="26" spans="1:17" x14ac:dyDescent="0.35">
      <c r="A26" t="s">
        <v>11</v>
      </c>
      <c r="B26">
        <v>25</v>
      </c>
      <c r="C26">
        <v>379</v>
      </c>
      <c r="D26">
        <v>264</v>
      </c>
      <c r="E26">
        <v>115</v>
      </c>
      <c r="F26">
        <v>0</v>
      </c>
      <c r="G26">
        <v>16</v>
      </c>
      <c r="H26">
        <v>329</v>
      </c>
      <c r="I26">
        <v>288</v>
      </c>
      <c r="J26">
        <v>41</v>
      </c>
      <c r="K26">
        <v>3</v>
      </c>
      <c r="L26">
        <f t="shared" si="0"/>
        <v>9</v>
      </c>
      <c r="M26">
        <f t="shared" si="1"/>
        <v>50</v>
      </c>
      <c r="N26">
        <f t="shared" si="2"/>
        <v>-24</v>
      </c>
      <c r="O26">
        <f t="shared" si="3"/>
        <v>74</v>
      </c>
      <c r="P26">
        <f t="shared" si="4"/>
        <v>-3</v>
      </c>
      <c r="Q26" t="s">
        <v>7</v>
      </c>
    </row>
    <row r="27" spans="1:17" x14ac:dyDescent="0.35">
      <c r="A27" t="s">
        <v>12</v>
      </c>
      <c r="B27">
        <v>18</v>
      </c>
      <c r="C27">
        <v>307</v>
      </c>
      <c r="D27">
        <v>209</v>
      </c>
      <c r="E27">
        <v>98</v>
      </c>
      <c r="F27">
        <v>2</v>
      </c>
      <c r="G27">
        <v>19</v>
      </c>
      <c r="H27">
        <v>272</v>
      </c>
      <c r="I27">
        <v>71</v>
      </c>
      <c r="J27">
        <v>201</v>
      </c>
      <c r="K27">
        <v>1</v>
      </c>
      <c r="L27">
        <f t="shared" si="0"/>
        <v>-1</v>
      </c>
      <c r="M27">
        <f t="shared" si="1"/>
        <v>35</v>
      </c>
      <c r="N27">
        <f t="shared" si="2"/>
        <v>138</v>
      </c>
      <c r="O27">
        <f t="shared" si="3"/>
        <v>-103</v>
      </c>
      <c r="P27">
        <f t="shared" si="4"/>
        <v>1</v>
      </c>
      <c r="Q27" t="s">
        <v>5</v>
      </c>
    </row>
    <row r="28" spans="1:17" x14ac:dyDescent="0.35">
      <c r="A28" t="s">
        <v>12</v>
      </c>
      <c r="B28">
        <v>14</v>
      </c>
      <c r="C28">
        <v>316</v>
      </c>
      <c r="D28">
        <v>291</v>
      </c>
      <c r="E28">
        <v>25</v>
      </c>
      <c r="F28">
        <v>1</v>
      </c>
      <c r="G28">
        <v>27</v>
      </c>
      <c r="H28">
        <v>571</v>
      </c>
      <c r="I28">
        <v>312</v>
      </c>
      <c r="J28">
        <v>259</v>
      </c>
      <c r="K28">
        <v>1</v>
      </c>
      <c r="L28">
        <f t="shared" si="0"/>
        <v>-13</v>
      </c>
      <c r="M28">
        <f t="shared" si="1"/>
        <v>-255</v>
      </c>
      <c r="N28">
        <f t="shared" si="2"/>
        <v>-21</v>
      </c>
      <c r="O28">
        <f t="shared" si="3"/>
        <v>-234</v>
      </c>
      <c r="P28">
        <f t="shared" si="4"/>
        <v>0</v>
      </c>
      <c r="Q28" t="s">
        <v>5</v>
      </c>
    </row>
    <row r="29" spans="1:17" x14ac:dyDescent="0.35">
      <c r="A29" t="s">
        <v>11</v>
      </c>
      <c r="B29">
        <v>27</v>
      </c>
      <c r="C29">
        <v>571</v>
      </c>
      <c r="D29">
        <v>312</v>
      </c>
      <c r="E29">
        <v>259</v>
      </c>
      <c r="F29">
        <v>1</v>
      </c>
      <c r="G29">
        <v>14</v>
      </c>
      <c r="H29">
        <v>316</v>
      </c>
      <c r="I29">
        <v>291</v>
      </c>
      <c r="J29">
        <v>25</v>
      </c>
      <c r="K29">
        <v>1</v>
      </c>
      <c r="L29">
        <f t="shared" si="0"/>
        <v>13</v>
      </c>
      <c r="M29">
        <f t="shared" si="1"/>
        <v>255</v>
      </c>
      <c r="N29">
        <f t="shared" si="2"/>
        <v>21</v>
      </c>
      <c r="O29">
        <f t="shared" si="3"/>
        <v>234</v>
      </c>
      <c r="P29">
        <f t="shared" si="4"/>
        <v>0</v>
      </c>
      <c r="Q29" t="s">
        <v>7</v>
      </c>
    </row>
    <row r="30" spans="1:17" x14ac:dyDescent="0.35">
      <c r="A30" t="s">
        <v>12</v>
      </c>
      <c r="B30">
        <v>20</v>
      </c>
      <c r="C30">
        <v>380</v>
      </c>
      <c r="D30">
        <v>265</v>
      </c>
      <c r="E30">
        <v>115</v>
      </c>
      <c r="F30">
        <v>1</v>
      </c>
      <c r="G30">
        <v>15</v>
      </c>
      <c r="H30">
        <v>244</v>
      </c>
      <c r="I30">
        <v>187</v>
      </c>
      <c r="J30">
        <v>57</v>
      </c>
      <c r="K30">
        <v>1</v>
      </c>
      <c r="L30">
        <f t="shared" si="0"/>
        <v>5</v>
      </c>
      <c r="M30">
        <f t="shared" si="1"/>
        <v>136</v>
      </c>
      <c r="N30">
        <f t="shared" si="2"/>
        <v>78</v>
      </c>
      <c r="O30">
        <f t="shared" si="3"/>
        <v>58</v>
      </c>
      <c r="P30">
        <f t="shared" si="4"/>
        <v>0</v>
      </c>
      <c r="Q30" t="s">
        <v>7</v>
      </c>
    </row>
    <row r="31" spans="1:17" x14ac:dyDescent="0.35">
      <c r="A31" t="s">
        <v>12</v>
      </c>
      <c r="B31">
        <v>19</v>
      </c>
      <c r="C31">
        <v>312</v>
      </c>
      <c r="D31">
        <v>191</v>
      </c>
      <c r="E31">
        <v>121</v>
      </c>
      <c r="F31">
        <v>0</v>
      </c>
      <c r="G31">
        <v>26</v>
      </c>
      <c r="H31">
        <v>509</v>
      </c>
      <c r="I31">
        <v>434</v>
      </c>
      <c r="J31">
        <v>75</v>
      </c>
      <c r="K31">
        <v>1</v>
      </c>
      <c r="L31">
        <f t="shared" si="0"/>
        <v>-7</v>
      </c>
      <c r="M31">
        <f t="shared" si="1"/>
        <v>-197</v>
      </c>
      <c r="N31">
        <f t="shared" si="2"/>
        <v>-243</v>
      </c>
      <c r="O31">
        <f t="shared" si="3"/>
        <v>46</v>
      </c>
      <c r="P31">
        <f t="shared" si="4"/>
        <v>-1</v>
      </c>
      <c r="Q31" t="s">
        <v>5</v>
      </c>
    </row>
    <row r="32" spans="1:17" x14ac:dyDescent="0.35">
      <c r="A32" t="s">
        <v>11</v>
      </c>
      <c r="B32">
        <v>22</v>
      </c>
      <c r="C32">
        <v>373</v>
      </c>
      <c r="D32">
        <v>316</v>
      </c>
      <c r="E32">
        <v>57</v>
      </c>
      <c r="F32">
        <v>1</v>
      </c>
      <c r="G32">
        <v>31</v>
      </c>
      <c r="H32">
        <v>592</v>
      </c>
      <c r="I32">
        <v>426</v>
      </c>
      <c r="J32">
        <v>166</v>
      </c>
      <c r="K32">
        <v>1</v>
      </c>
      <c r="L32">
        <f t="shared" si="0"/>
        <v>-9</v>
      </c>
      <c r="M32">
        <f t="shared" si="1"/>
        <v>-219</v>
      </c>
      <c r="N32">
        <f t="shared" si="2"/>
        <v>-110</v>
      </c>
      <c r="O32">
        <f t="shared" si="3"/>
        <v>-109</v>
      </c>
      <c r="P32">
        <f t="shared" si="4"/>
        <v>0</v>
      </c>
      <c r="Q32" t="s">
        <v>5</v>
      </c>
    </row>
    <row r="33" spans="1:17" x14ac:dyDescent="0.35">
      <c r="A33" t="s">
        <v>11</v>
      </c>
      <c r="B33">
        <v>27</v>
      </c>
      <c r="C33">
        <v>364</v>
      </c>
      <c r="D33">
        <v>211</v>
      </c>
      <c r="E33">
        <v>153</v>
      </c>
      <c r="F33">
        <v>0</v>
      </c>
      <c r="G33">
        <v>24</v>
      </c>
      <c r="H33">
        <v>443</v>
      </c>
      <c r="I33">
        <v>393</v>
      </c>
      <c r="J33">
        <v>50</v>
      </c>
      <c r="K33">
        <v>1</v>
      </c>
      <c r="L33">
        <f t="shared" si="0"/>
        <v>3</v>
      </c>
      <c r="M33">
        <f t="shared" si="1"/>
        <v>-79</v>
      </c>
      <c r="N33">
        <f t="shared" si="2"/>
        <v>-182</v>
      </c>
      <c r="O33">
        <f t="shared" si="3"/>
        <v>103</v>
      </c>
      <c r="P33">
        <f t="shared" si="4"/>
        <v>-1</v>
      </c>
      <c r="Q33" t="s">
        <v>7</v>
      </c>
    </row>
    <row r="34" spans="1:17" x14ac:dyDescent="0.35">
      <c r="A34" t="s">
        <v>12</v>
      </c>
      <c r="B34">
        <v>24</v>
      </c>
      <c r="C34">
        <v>444</v>
      </c>
      <c r="D34">
        <v>226</v>
      </c>
      <c r="E34">
        <v>218</v>
      </c>
      <c r="F34">
        <v>2</v>
      </c>
      <c r="G34">
        <v>17</v>
      </c>
      <c r="H34">
        <v>354</v>
      </c>
      <c r="I34">
        <v>276</v>
      </c>
      <c r="J34">
        <v>78</v>
      </c>
      <c r="K34">
        <v>3</v>
      </c>
      <c r="L34">
        <f t="shared" si="0"/>
        <v>7</v>
      </c>
      <c r="M34">
        <f t="shared" si="1"/>
        <v>90</v>
      </c>
      <c r="N34">
        <f t="shared" si="2"/>
        <v>-50</v>
      </c>
      <c r="O34">
        <f t="shared" si="3"/>
        <v>140</v>
      </c>
      <c r="P34">
        <f t="shared" si="4"/>
        <v>-1</v>
      </c>
      <c r="Q34" t="s">
        <v>7</v>
      </c>
    </row>
    <row r="35" spans="1:17" x14ac:dyDescent="0.35">
      <c r="A35" t="s">
        <v>12</v>
      </c>
      <c r="B35">
        <v>27</v>
      </c>
      <c r="C35">
        <v>503</v>
      </c>
      <c r="D35">
        <v>363</v>
      </c>
      <c r="E35">
        <v>140</v>
      </c>
      <c r="F35">
        <v>0</v>
      </c>
      <c r="G35">
        <v>29</v>
      </c>
      <c r="H35">
        <v>452</v>
      </c>
      <c r="I35">
        <v>249</v>
      </c>
      <c r="J35">
        <v>203</v>
      </c>
      <c r="K35">
        <v>0</v>
      </c>
      <c r="L35">
        <f t="shared" si="0"/>
        <v>-2</v>
      </c>
      <c r="M35">
        <f t="shared" si="1"/>
        <v>51</v>
      </c>
      <c r="N35">
        <f t="shared" si="2"/>
        <v>114</v>
      </c>
      <c r="O35">
        <f t="shared" si="3"/>
        <v>-63</v>
      </c>
      <c r="P35">
        <f t="shared" si="4"/>
        <v>0</v>
      </c>
      <c r="Q35" t="s">
        <v>7</v>
      </c>
    </row>
    <row r="36" spans="1:17" x14ac:dyDescent="0.35">
      <c r="A36" t="s">
        <v>12</v>
      </c>
      <c r="B36">
        <v>12</v>
      </c>
      <c r="C36">
        <v>154</v>
      </c>
      <c r="D36">
        <v>73</v>
      </c>
      <c r="E36">
        <v>81</v>
      </c>
      <c r="F36">
        <v>6</v>
      </c>
      <c r="G36">
        <v>22</v>
      </c>
      <c r="H36">
        <v>323</v>
      </c>
      <c r="I36">
        <v>249</v>
      </c>
      <c r="J36">
        <v>74</v>
      </c>
      <c r="K36">
        <v>1</v>
      </c>
      <c r="L36">
        <f t="shared" si="0"/>
        <v>-10</v>
      </c>
      <c r="M36">
        <f t="shared" si="1"/>
        <v>-169</v>
      </c>
      <c r="N36">
        <f t="shared" si="2"/>
        <v>-176</v>
      </c>
      <c r="O36">
        <f t="shared" si="3"/>
        <v>7</v>
      </c>
      <c r="P36">
        <f t="shared" si="4"/>
        <v>5</v>
      </c>
      <c r="Q36" t="s">
        <v>5</v>
      </c>
    </row>
    <row r="37" spans="1:17" x14ac:dyDescent="0.35">
      <c r="A37" t="s">
        <v>12</v>
      </c>
      <c r="B37">
        <v>14</v>
      </c>
      <c r="C37">
        <v>259</v>
      </c>
      <c r="D37">
        <v>174</v>
      </c>
      <c r="E37">
        <v>85</v>
      </c>
      <c r="F37">
        <v>1</v>
      </c>
      <c r="G37">
        <v>16</v>
      </c>
      <c r="H37">
        <v>260</v>
      </c>
      <c r="I37">
        <v>185</v>
      </c>
      <c r="J37">
        <v>75</v>
      </c>
      <c r="K37">
        <v>2</v>
      </c>
      <c r="L37">
        <f t="shared" si="0"/>
        <v>-2</v>
      </c>
      <c r="M37">
        <f t="shared" si="1"/>
        <v>-1</v>
      </c>
      <c r="N37">
        <f t="shared" si="2"/>
        <v>-11</v>
      </c>
      <c r="O37">
        <f t="shared" si="3"/>
        <v>10</v>
      </c>
      <c r="P37">
        <f t="shared" si="4"/>
        <v>-1</v>
      </c>
      <c r="Q37" t="s">
        <v>7</v>
      </c>
    </row>
    <row r="38" spans="1:17" x14ac:dyDescent="0.35">
      <c r="A38" t="s">
        <v>12</v>
      </c>
      <c r="B38">
        <v>26</v>
      </c>
      <c r="C38">
        <v>388</v>
      </c>
      <c r="D38">
        <v>226</v>
      </c>
      <c r="E38">
        <v>162</v>
      </c>
      <c r="F38">
        <v>2</v>
      </c>
      <c r="G38">
        <v>11</v>
      </c>
      <c r="H38">
        <v>231</v>
      </c>
      <c r="I38">
        <v>195</v>
      </c>
      <c r="J38">
        <v>36</v>
      </c>
      <c r="K38">
        <v>1</v>
      </c>
      <c r="L38">
        <f t="shared" si="0"/>
        <v>15</v>
      </c>
      <c r="M38">
        <f t="shared" si="1"/>
        <v>157</v>
      </c>
      <c r="N38">
        <f t="shared" si="2"/>
        <v>31</v>
      </c>
      <c r="O38">
        <f t="shared" si="3"/>
        <v>126</v>
      </c>
      <c r="P38">
        <f t="shared" si="4"/>
        <v>1</v>
      </c>
      <c r="Q38" t="s">
        <v>5</v>
      </c>
    </row>
    <row r="39" spans="1:17" x14ac:dyDescent="0.35">
      <c r="A39" t="s">
        <v>12</v>
      </c>
      <c r="B39">
        <v>18</v>
      </c>
      <c r="C39">
        <v>243</v>
      </c>
      <c r="D39">
        <v>119</v>
      </c>
      <c r="E39">
        <v>124</v>
      </c>
      <c r="F39">
        <v>0</v>
      </c>
      <c r="G39">
        <v>21</v>
      </c>
      <c r="H39">
        <v>288</v>
      </c>
      <c r="I39">
        <v>121</v>
      </c>
      <c r="J39">
        <v>167</v>
      </c>
      <c r="K39">
        <v>2</v>
      </c>
      <c r="L39">
        <f t="shared" si="0"/>
        <v>-3</v>
      </c>
      <c r="M39">
        <f t="shared" si="1"/>
        <v>-45</v>
      </c>
      <c r="N39">
        <f t="shared" si="2"/>
        <v>-2</v>
      </c>
      <c r="O39">
        <f t="shared" si="3"/>
        <v>-43</v>
      </c>
      <c r="P39">
        <f t="shared" si="4"/>
        <v>-2</v>
      </c>
      <c r="Q39" t="s">
        <v>5</v>
      </c>
    </row>
    <row r="40" spans="1:17" x14ac:dyDescent="0.35">
      <c r="A40" t="s">
        <v>11</v>
      </c>
      <c r="B40">
        <v>13</v>
      </c>
      <c r="C40">
        <v>311</v>
      </c>
      <c r="D40">
        <v>166</v>
      </c>
      <c r="E40">
        <v>145</v>
      </c>
      <c r="F40">
        <v>0</v>
      </c>
      <c r="G40">
        <v>21</v>
      </c>
      <c r="H40">
        <v>271</v>
      </c>
      <c r="I40">
        <v>187</v>
      </c>
      <c r="J40">
        <v>84</v>
      </c>
      <c r="K40">
        <v>2</v>
      </c>
      <c r="L40">
        <f t="shared" si="0"/>
        <v>-8</v>
      </c>
      <c r="M40">
        <f t="shared" si="1"/>
        <v>40</v>
      </c>
      <c r="N40">
        <f t="shared" si="2"/>
        <v>-21</v>
      </c>
      <c r="O40">
        <f t="shared" si="3"/>
        <v>61</v>
      </c>
      <c r="P40">
        <f t="shared" si="4"/>
        <v>-2</v>
      </c>
      <c r="Q40" t="s">
        <v>7</v>
      </c>
    </row>
    <row r="41" spans="1:17" x14ac:dyDescent="0.35">
      <c r="A41" t="s">
        <v>12</v>
      </c>
      <c r="B41">
        <v>26</v>
      </c>
      <c r="C41">
        <v>373</v>
      </c>
      <c r="D41">
        <v>227</v>
      </c>
      <c r="E41">
        <v>146</v>
      </c>
      <c r="F41">
        <v>0</v>
      </c>
      <c r="G41">
        <v>10</v>
      </c>
      <c r="H41">
        <v>164</v>
      </c>
      <c r="I41">
        <v>102</v>
      </c>
      <c r="J41">
        <v>62</v>
      </c>
      <c r="K41">
        <v>1</v>
      </c>
      <c r="L41">
        <f t="shared" si="0"/>
        <v>16</v>
      </c>
      <c r="M41">
        <f t="shared" si="1"/>
        <v>209</v>
      </c>
      <c r="N41">
        <f t="shared" si="2"/>
        <v>125</v>
      </c>
      <c r="O41">
        <f t="shared" si="3"/>
        <v>84</v>
      </c>
      <c r="P41">
        <f t="shared" si="4"/>
        <v>-1</v>
      </c>
      <c r="Q41" t="s">
        <v>7</v>
      </c>
    </row>
    <row r="42" spans="1:17" x14ac:dyDescent="0.35">
      <c r="A42" t="s">
        <v>12</v>
      </c>
      <c r="B42">
        <v>23</v>
      </c>
      <c r="C42">
        <v>383</v>
      </c>
      <c r="D42">
        <v>321</v>
      </c>
      <c r="E42">
        <v>62</v>
      </c>
      <c r="F42">
        <v>1</v>
      </c>
      <c r="G42">
        <v>21</v>
      </c>
      <c r="H42">
        <v>391</v>
      </c>
      <c r="I42">
        <v>291</v>
      </c>
      <c r="J42">
        <v>100</v>
      </c>
      <c r="K42">
        <v>2</v>
      </c>
      <c r="L42">
        <f t="shared" si="0"/>
        <v>2</v>
      </c>
      <c r="M42">
        <f t="shared" si="1"/>
        <v>-8</v>
      </c>
      <c r="N42">
        <f t="shared" si="2"/>
        <v>30</v>
      </c>
      <c r="O42">
        <f t="shared" si="3"/>
        <v>-38</v>
      </c>
      <c r="P42">
        <f t="shared" si="4"/>
        <v>-1</v>
      </c>
      <c r="Q42" t="s">
        <v>7</v>
      </c>
    </row>
    <row r="43" spans="1:17" x14ac:dyDescent="0.35">
      <c r="A43" t="s">
        <v>12</v>
      </c>
      <c r="B43">
        <v>21</v>
      </c>
      <c r="C43">
        <v>351</v>
      </c>
      <c r="D43">
        <v>210</v>
      </c>
      <c r="E43">
        <v>141</v>
      </c>
      <c r="F43">
        <v>2</v>
      </c>
      <c r="G43">
        <v>26</v>
      </c>
      <c r="H43">
        <v>397</v>
      </c>
      <c r="I43">
        <v>268</v>
      </c>
      <c r="J43">
        <v>129</v>
      </c>
      <c r="K43">
        <v>2</v>
      </c>
      <c r="L43">
        <f t="shared" si="0"/>
        <v>-5</v>
      </c>
      <c r="M43">
        <f t="shared" si="1"/>
        <v>-46</v>
      </c>
      <c r="N43">
        <f t="shared" si="2"/>
        <v>-58</v>
      </c>
      <c r="O43">
        <f t="shared" si="3"/>
        <v>12</v>
      </c>
      <c r="P43">
        <f t="shared" si="4"/>
        <v>0</v>
      </c>
      <c r="Q43" t="s">
        <v>5</v>
      </c>
    </row>
    <row r="44" spans="1:17" x14ac:dyDescent="0.35">
      <c r="A44" t="s">
        <v>11</v>
      </c>
      <c r="B44">
        <v>22</v>
      </c>
      <c r="C44">
        <v>342</v>
      </c>
      <c r="D44">
        <v>268</v>
      </c>
      <c r="E44">
        <v>74</v>
      </c>
      <c r="F44">
        <v>2</v>
      </c>
      <c r="G44">
        <v>26</v>
      </c>
      <c r="H44">
        <v>372</v>
      </c>
      <c r="I44">
        <v>162</v>
      </c>
      <c r="J44">
        <v>210</v>
      </c>
      <c r="K44">
        <v>2</v>
      </c>
      <c r="L44">
        <f t="shared" si="0"/>
        <v>-4</v>
      </c>
      <c r="M44">
        <f t="shared" si="1"/>
        <v>-30</v>
      </c>
      <c r="N44">
        <f t="shared" si="2"/>
        <v>106</v>
      </c>
      <c r="O44">
        <f t="shared" si="3"/>
        <v>-136</v>
      </c>
      <c r="P44">
        <f t="shared" si="4"/>
        <v>0</v>
      </c>
      <c r="Q44" t="s">
        <v>5</v>
      </c>
    </row>
    <row r="45" spans="1:17" x14ac:dyDescent="0.35">
      <c r="A45" t="s">
        <v>12</v>
      </c>
      <c r="B45">
        <v>21</v>
      </c>
      <c r="C45">
        <v>356</v>
      </c>
      <c r="D45">
        <v>282</v>
      </c>
      <c r="E45">
        <v>74</v>
      </c>
      <c r="F45">
        <v>4</v>
      </c>
      <c r="G45">
        <v>21</v>
      </c>
      <c r="H45">
        <v>410</v>
      </c>
      <c r="I45">
        <v>194</v>
      </c>
      <c r="J45">
        <v>216</v>
      </c>
      <c r="K45">
        <v>1</v>
      </c>
      <c r="L45">
        <f t="shared" si="0"/>
        <v>0</v>
      </c>
      <c r="M45">
        <f t="shared" si="1"/>
        <v>-54</v>
      </c>
      <c r="N45">
        <f t="shared" si="2"/>
        <v>88</v>
      </c>
      <c r="O45">
        <f t="shared" si="3"/>
        <v>-142</v>
      </c>
      <c r="P45">
        <f t="shared" si="4"/>
        <v>3</v>
      </c>
      <c r="Q45" t="s">
        <v>5</v>
      </c>
    </row>
    <row r="46" spans="1:17" x14ac:dyDescent="0.35">
      <c r="A46" t="s">
        <v>11</v>
      </c>
      <c r="B46">
        <v>24</v>
      </c>
      <c r="C46">
        <v>467</v>
      </c>
      <c r="D46">
        <v>436</v>
      </c>
      <c r="E46">
        <v>31</v>
      </c>
      <c r="F46">
        <v>1</v>
      </c>
      <c r="G46">
        <v>19</v>
      </c>
      <c r="H46">
        <v>307</v>
      </c>
      <c r="I46">
        <v>178</v>
      </c>
      <c r="J46">
        <v>129</v>
      </c>
      <c r="K46">
        <v>2</v>
      </c>
      <c r="L46">
        <f t="shared" si="0"/>
        <v>5</v>
      </c>
      <c r="M46">
        <f t="shared" si="1"/>
        <v>160</v>
      </c>
      <c r="N46">
        <f t="shared" si="2"/>
        <v>258</v>
      </c>
      <c r="O46">
        <f t="shared" si="3"/>
        <v>-98</v>
      </c>
      <c r="P46">
        <f t="shared" si="4"/>
        <v>-1</v>
      </c>
      <c r="Q46" t="s">
        <v>7</v>
      </c>
    </row>
    <row r="47" spans="1:17" x14ac:dyDescent="0.35">
      <c r="A47" t="s">
        <v>11</v>
      </c>
      <c r="B47">
        <v>25</v>
      </c>
      <c r="C47">
        <v>425</v>
      </c>
      <c r="D47">
        <v>274</v>
      </c>
      <c r="E47">
        <v>151</v>
      </c>
      <c r="F47">
        <v>2</v>
      </c>
      <c r="G47">
        <v>17</v>
      </c>
      <c r="H47">
        <v>261</v>
      </c>
      <c r="I47">
        <v>180</v>
      </c>
      <c r="J47">
        <v>81</v>
      </c>
      <c r="K47">
        <v>1</v>
      </c>
      <c r="L47">
        <f t="shared" si="0"/>
        <v>8</v>
      </c>
      <c r="M47">
        <f t="shared" si="1"/>
        <v>164</v>
      </c>
      <c r="N47">
        <f t="shared" si="2"/>
        <v>94</v>
      </c>
      <c r="O47">
        <f t="shared" si="3"/>
        <v>70</v>
      </c>
      <c r="P47">
        <f t="shared" si="4"/>
        <v>1</v>
      </c>
      <c r="Q47" t="s">
        <v>7</v>
      </c>
    </row>
    <row r="48" spans="1:17" x14ac:dyDescent="0.35">
      <c r="A48" t="s">
        <v>12</v>
      </c>
      <c r="B48">
        <v>23</v>
      </c>
      <c r="C48">
        <v>389</v>
      </c>
      <c r="D48">
        <v>125</v>
      </c>
      <c r="E48">
        <v>264</v>
      </c>
      <c r="F48">
        <v>2</v>
      </c>
      <c r="G48">
        <v>15</v>
      </c>
      <c r="H48">
        <v>308</v>
      </c>
      <c r="I48">
        <v>279</v>
      </c>
      <c r="J48">
        <v>29</v>
      </c>
      <c r="K48">
        <v>1</v>
      </c>
      <c r="L48">
        <f t="shared" si="0"/>
        <v>8</v>
      </c>
      <c r="M48">
        <f t="shared" si="1"/>
        <v>81</v>
      </c>
      <c r="N48">
        <f t="shared" si="2"/>
        <v>-154</v>
      </c>
      <c r="O48">
        <f t="shared" si="3"/>
        <v>235</v>
      </c>
      <c r="P48">
        <f t="shared" si="4"/>
        <v>1</v>
      </c>
      <c r="Q48" t="s">
        <v>7</v>
      </c>
    </row>
    <row r="49" spans="1:17" x14ac:dyDescent="0.35">
      <c r="A49" t="s">
        <v>12</v>
      </c>
      <c r="B49">
        <v>26</v>
      </c>
      <c r="C49">
        <v>445</v>
      </c>
      <c r="D49">
        <v>219</v>
      </c>
      <c r="E49">
        <v>226</v>
      </c>
      <c r="F49">
        <v>1</v>
      </c>
      <c r="G49">
        <v>25</v>
      </c>
      <c r="H49">
        <v>393</v>
      </c>
      <c r="I49">
        <v>241</v>
      </c>
      <c r="J49">
        <v>152</v>
      </c>
      <c r="K49">
        <v>2</v>
      </c>
      <c r="L49">
        <f t="shared" si="0"/>
        <v>1</v>
      </c>
      <c r="M49">
        <f t="shared" si="1"/>
        <v>52</v>
      </c>
      <c r="N49">
        <f t="shared" si="2"/>
        <v>-22</v>
      </c>
      <c r="O49">
        <f t="shared" si="3"/>
        <v>74</v>
      </c>
      <c r="P49">
        <f t="shared" si="4"/>
        <v>-1</v>
      </c>
      <c r="Q49" t="s">
        <v>7</v>
      </c>
    </row>
    <row r="50" spans="1:17" x14ac:dyDescent="0.35">
      <c r="A50" t="s">
        <v>12</v>
      </c>
      <c r="B50">
        <v>19</v>
      </c>
      <c r="C50">
        <v>304</v>
      </c>
      <c r="D50">
        <v>81</v>
      </c>
      <c r="E50">
        <v>223</v>
      </c>
      <c r="F50">
        <v>2</v>
      </c>
      <c r="G50">
        <v>10</v>
      </c>
      <c r="H50">
        <v>168</v>
      </c>
      <c r="I50">
        <v>77</v>
      </c>
      <c r="J50">
        <v>91</v>
      </c>
      <c r="K50">
        <v>2</v>
      </c>
      <c r="L50">
        <f t="shared" si="0"/>
        <v>9</v>
      </c>
      <c r="M50">
        <f t="shared" si="1"/>
        <v>136</v>
      </c>
      <c r="N50">
        <f t="shared" si="2"/>
        <v>4</v>
      </c>
      <c r="O50">
        <f t="shared" si="3"/>
        <v>132</v>
      </c>
      <c r="P50">
        <f t="shared" si="4"/>
        <v>0</v>
      </c>
      <c r="Q50" t="s">
        <v>7</v>
      </c>
    </row>
    <row r="51" spans="1:17" x14ac:dyDescent="0.35">
      <c r="A51" t="s">
        <v>11</v>
      </c>
      <c r="B51">
        <v>18</v>
      </c>
      <c r="C51">
        <v>236</v>
      </c>
      <c r="D51">
        <v>178</v>
      </c>
      <c r="E51">
        <v>58</v>
      </c>
      <c r="F51">
        <v>4</v>
      </c>
      <c r="G51">
        <v>17</v>
      </c>
      <c r="H51">
        <v>293</v>
      </c>
      <c r="I51">
        <v>189</v>
      </c>
      <c r="J51">
        <v>104</v>
      </c>
      <c r="K51">
        <v>0</v>
      </c>
      <c r="L51">
        <f t="shared" si="0"/>
        <v>1</v>
      </c>
      <c r="M51">
        <f t="shared" si="1"/>
        <v>-57</v>
      </c>
      <c r="N51">
        <f t="shared" si="2"/>
        <v>-11</v>
      </c>
      <c r="O51">
        <f t="shared" si="3"/>
        <v>-46</v>
      </c>
      <c r="P51">
        <f t="shared" si="4"/>
        <v>4</v>
      </c>
      <c r="Q51" t="s">
        <v>5</v>
      </c>
    </row>
    <row r="52" spans="1:17" x14ac:dyDescent="0.35">
      <c r="A52" t="s">
        <v>12</v>
      </c>
      <c r="B52">
        <v>17</v>
      </c>
      <c r="C52">
        <v>305</v>
      </c>
      <c r="D52">
        <v>134</v>
      </c>
      <c r="E52">
        <v>171</v>
      </c>
      <c r="F52">
        <v>1</v>
      </c>
      <c r="G52">
        <v>25</v>
      </c>
      <c r="H52">
        <v>432</v>
      </c>
      <c r="I52">
        <v>312</v>
      </c>
      <c r="J52">
        <v>120</v>
      </c>
      <c r="K52">
        <v>1</v>
      </c>
      <c r="L52">
        <f t="shared" si="0"/>
        <v>-8</v>
      </c>
      <c r="M52">
        <f t="shared" si="1"/>
        <v>-127</v>
      </c>
      <c r="N52">
        <f t="shared" si="2"/>
        <v>-178</v>
      </c>
      <c r="O52">
        <f t="shared" si="3"/>
        <v>51</v>
      </c>
      <c r="P52">
        <f t="shared" si="4"/>
        <v>0</v>
      </c>
      <c r="Q52" t="s">
        <v>5</v>
      </c>
    </row>
    <row r="53" spans="1:17" x14ac:dyDescent="0.35">
      <c r="A53" t="s">
        <v>12</v>
      </c>
      <c r="B53">
        <v>17</v>
      </c>
      <c r="C53">
        <v>241</v>
      </c>
      <c r="D53">
        <v>184</v>
      </c>
      <c r="E53">
        <v>57</v>
      </c>
      <c r="F53">
        <v>1</v>
      </c>
      <c r="G53">
        <v>31</v>
      </c>
      <c r="H53">
        <v>481</v>
      </c>
      <c r="I53">
        <v>238</v>
      </c>
      <c r="J53">
        <v>243</v>
      </c>
      <c r="K53">
        <v>1</v>
      </c>
      <c r="L53">
        <f t="shared" si="0"/>
        <v>-14</v>
      </c>
      <c r="M53">
        <f t="shared" si="1"/>
        <v>-240</v>
      </c>
      <c r="N53">
        <f t="shared" si="2"/>
        <v>-54</v>
      </c>
      <c r="O53">
        <f t="shared" si="3"/>
        <v>-186</v>
      </c>
      <c r="P53">
        <f t="shared" si="4"/>
        <v>0</v>
      </c>
      <c r="Q53" t="s">
        <v>5</v>
      </c>
    </row>
    <row r="54" spans="1:17" x14ac:dyDescent="0.35">
      <c r="A54" t="s">
        <v>11</v>
      </c>
      <c r="B54">
        <v>17</v>
      </c>
      <c r="C54">
        <v>306</v>
      </c>
      <c r="D54">
        <v>240</v>
      </c>
      <c r="E54">
        <v>66</v>
      </c>
      <c r="F54">
        <v>4</v>
      </c>
      <c r="G54">
        <v>25</v>
      </c>
      <c r="H54">
        <v>416</v>
      </c>
      <c r="I54">
        <v>241</v>
      </c>
      <c r="J54">
        <v>175</v>
      </c>
      <c r="K54">
        <v>2</v>
      </c>
      <c r="L54">
        <f t="shared" si="0"/>
        <v>-8</v>
      </c>
      <c r="M54">
        <f t="shared" si="1"/>
        <v>-110</v>
      </c>
      <c r="N54">
        <f t="shared" si="2"/>
        <v>-1</v>
      </c>
      <c r="O54">
        <f t="shared" si="3"/>
        <v>-109</v>
      </c>
      <c r="P54">
        <f t="shared" si="4"/>
        <v>2</v>
      </c>
      <c r="Q54" t="s">
        <v>5</v>
      </c>
    </row>
    <row r="55" spans="1:17" x14ac:dyDescent="0.35">
      <c r="A55" t="s">
        <v>12</v>
      </c>
      <c r="B55">
        <v>19</v>
      </c>
      <c r="C55">
        <v>352</v>
      </c>
      <c r="D55">
        <v>251</v>
      </c>
      <c r="E55">
        <v>101</v>
      </c>
      <c r="F55">
        <v>1</v>
      </c>
      <c r="G55">
        <v>27</v>
      </c>
      <c r="H55">
        <v>415</v>
      </c>
      <c r="I55">
        <v>258</v>
      </c>
      <c r="J55">
        <v>157</v>
      </c>
      <c r="K55">
        <v>1</v>
      </c>
      <c r="L55">
        <f t="shared" si="0"/>
        <v>-8</v>
      </c>
      <c r="M55">
        <f t="shared" si="1"/>
        <v>-63</v>
      </c>
      <c r="N55">
        <f t="shared" si="2"/>
        <v>-7</v>
      </c>
      <c r="O55">
        <f t="shared" si="3"/>
        <v>-56</v>
      </c>
      <c r="P55">
        <f t="shared" si="4"/>
        <v>0</v>
      </c>
      <c r="Q55" t="s">
        <v>5</v>
      </c>
    </row>
    <row r="56" spans="1:17" x14ac:dyDescent="0.35">
      <c r="A56" t="s">
        <v>11</v>
      </c>
      <c r="B56">
        <v>20</v>
      </c>
      <c r="C56">
        <v>344</v>
      </c>
      <c r="D56">
        <v>254</v>
      </c>
      <c r="E56">
        <v>90</v>
      </c>
      <c r="F56">
        <v>3</v>
      </c>
      <c r="G56">
        <v>18</v>
      </c>
      <c r="H56">
        <v>270</v>
      </c>
      <c r="I56">
        <v>175</v>
      </c>
      <c r="J56">
        <v>95</v>
      </c>
      <c r="K56">
        <v>1</v>
      </c>
      <c r="L56">
        <f t="shared" si="0"/>
        <v>2</v>
      </c>
      <c r="M56">
        <f t="shared" si="1"/>
        <v>74</v>
      </c>
      <c r="N56">
        <f t="shared" si="2"/>
        <v>79</v>
      </c>
      <c r="O56">
        <f t="shared" si="3"/>
        <v>-5</v>
      </c>
      <c r="P56">
        <f t="shared" si="4"/>
        <v>2</v>
      </c>
      <c r="Q56" t="s">
        <v>7</v>
      </c>
    </row>
    <row r="57" spans="1:17" x14ac:dyDescent="0.35">
      <c r="A57" t="s">
        <v>11</v>
      </c>
      <c r="B57">
        <v>18</v>
      </c>
      <c r="C57">
        <v>231</v>
      </c>
      <c r="D57">
        <v>161</v>
      </c>
      <c r="E57">
        <v>70</v>
      </c>
      <c r="F57">
        <v>2</v>
      </c>
      <c r="G57">
        <v>22</v>
      </c>
      <c r="H57">
        <v>354</v>
      </c>
      <c r="I57">
        <v>234</v>
      </c>
      <c r="J57">
        <v>120</v>
      </c>
      <c r="K57">
        <v>0</v>
      </c>
      <c r="L57">
        <f t="shared" si="0"/>
        <v>-4</v>
      </c>
      <c r="M57">
        <f t="shared" si="1"/>
        <v>-123</v>
      </c>
      <c r="N57">
        <f t="shared" si="2"/>
        <v>-73</v>
      </c>
      <c r="O57">
        <f t="shared" si="3"/>
        <v>-50</v>
      </c>
      <c r="P57">
        <f t="shared" si="4"/>
        <v>2</v>
      </c>
      <c r="Q57" t="s">
        <v>5</v>
      </c>
    </row>
    <row r="58" spans="1:17" x14ac:dyDescent="0.35">
      <c r="A58" t="s">
        <v>11</v>
      </c>
      <c r="B58">
        <v>13</v>
      </c>
      <c r="C58">
        <v>229</v>
      </c>
      <c r="D58">
        <v>159</v>
      </c>
      <c r="E58">
        <v>70</v>
      </c>
      <c r="F58">
        <v>2</v>
      </c>
      <c r="G58">
        <v>19</v>
      </c>
      <c r="H58">
        <v>300</v>
      </c>
      <c r="I58">
        <v>191</v>
      </c>
      <c r="J58">
        <v>109</v>
      </c>
      <c r="K58">
        <v>3</v>
      </c>
      <c r="L58">
        <f t="shared" si="0"/>
        <v>-6</v>
      </c>
      <c r="M58">
        <f t="shared" si="1"/>
        <v>-71</v>
      </c>
      <c r="N58">
        <f t="shared" si="2"/>
        <v>-32</v>
      </c>
      <c r="O58">
        <f t="shared" si="3"/>
        <v>-39</v>
      </c>
      <c r="P58">
        <f t="shared" si="4"/>
        <v>-1</v>
      </c>
      <c r="Q58" t="s">
        <v>7</v>
      </c>
    </row>
    <row r="59" spans="1:17" x14ac:dyDescent="0.35">
      <c r="A59" t="s">
        <v>11</v>
      </c>
      <c r="B59">
        <v>10</v>
      </c>
      <c r="C59">
        <v>213</v>
      </c>
      <c r="D59">
        <v>161</v>
      </c>
      <c r="E59">
        <v>52</v>
      </c>
      <c r="F59">
        <v>4</v>
      </c>
      <c r="G59">
        <v>27</v>
      </c>
      <c r="H59">
        <v>427</v>
      </c>
      <c r="I59">
        <v>313</v>
      </c>
      <c r="J59">
        <v>114</v>
      </c>
      <c r="K59">
        <v>2</v>
      </c>
      <c r="L59">
        <f t="shared" si="0"/>
        <v>-17</v>
      </c>
      <c r="M59">
        <f t="shared" si="1"/>
        <v>-214</v>
      </c>
      <c r="N59">
        <f t="shared" si="2"/>
        <v>-152</v>
      </c>
      <c r="O59">
        <f t="shared" si="3"/>
        <v>-62</v>
      </c>
      <c r="P59">
        <f t="shared" si="4"/>
        <v>2</v>
      </c>
      <c r="Q59" t="s">
        <v>5</v>
      </c>
    </row>
    <row r="60" spans="1:17" x14ac:dyDescent="0.35">
      <c r="A60" t="s">
        <v>12</v>
      </c>
      <c r="B60">
        <v>16</v>
      </c>
      <c r="C60">
        <v>276</v>
      </c>
      <c r="D60">
        <v>224</v>
      </c>
      <c r="E60">
        <v>52</v>
      </c>
      <c r="F60">
        <v>0</v>
      </c>
      <c r="G60">
        <v>29</v>
      </c>
      <c r="H60">
        <v>448</v>
      </c>
      <c r="I60">
        <v>303</v>
      </c>
      <c r="J60">
        <v>145</v>
      </c>
      <c r="K60">
        <v>1</v>
      </c>
      <c r="L60">
        <f t="shared" si="0"/>
        <v>-13</v>
      </c>
      <c r="M60">
        <f t="shared" si="1"/>
        <v>-172</v>
      </c>
      <c r="N60">
        <f t="shared" si="2"/>
        <v>-79</v>
      </c>
      <c r="O60">
        <f t="shared" si="3"/>
        <v>-93</v>
      </c>
      <c r="P60">
        <f t="shared" si="4"/>
        <v>-1</v>
      </c>
      <c r="Q60" t="s">
        <v>7</v>
      </c>
    </row>
    <row r="61" spans="1:17" x14ac:dyDescent="0.35">
      <c r="A61" t="s">
        <v>11</v>
      </c>
      <c r="B61">
        <v>19</v>
      </c>
      <c r="C61">
        <v>286</v>
      </c>
      <c r="D61">
        <v>199</v>
      </c>
      <c r="E61">
        <v>87</v>
      </c>
      <c r="F61">
        <v>3</v>
      </c>
      <c r="G61">
        <v>25</v>
      </c>
      <c r="H61">
        <v>324</v>
      </c>
      <c r="I61">
        <v>106</v>
      </c>
      <c r="J61">
        <v>218</v>
      </c>
      <c r="K61">
        <v>0</v>
      </c>
      <c r="L61">
        <f t="shared" si="0"/>
        <v>-6</v>
      </c>
      <c r="M61">
        <f t="shared" si="1"/>
        <v>-38</v>
      </c>
      <c r="N61">
        <f t="shared" si="2"/>
        <v>93</v>
      </c>
      <c r="O61">
        <f t="shared" si="3"/>
        <v>-131</v>
      </c>
      <c r="P61">
        <f t="shared" si="4"/>
        <v>3</v>
      </c>
      <c r="Q61" t="s">
        <v>5</v>
      </c>
    </row>
    <row r="62" spans="1:17" x14ac:dyDescent="0.35">
      <c r="A62" t="s">
        <v>11</v>
      </c>
      <c r="B62">
        <v>15</v>
      </c>
      <c r="C62">
        <v>281</v>
      </c>
      <c r="D62">
        <v>258</v>
      </c>
      <c r="E62">
        <v>23</v>
      </c>
      <c r="F62">
        <v>2</v>
      </c>
      <c r="G62">
        <v>18</v>
      </c>
      <c r="H62">
        <v>294</v>
      </c>
      <c r="I62">
        <v>218</v>
      </c>
      <c r="J62">
        <v>76</v>
      </c>
      <c r="K62">
        <v>0</v>
      </c>
      <c r="L62">
        <f t="shared" si="0"/>
        <v>-3</v>
      </c>
      <c r="M62">
        <f t="shared" si="1"/>
        <v>-13</v>
      </c>
      <c r="N62">
        <f t="shared" si="2"/>
        <v>40</v>
      </c>
      <c r="O62">
        <f t="shared" si="3"/>
        <v>-53</v>
      </c>
      <c r="P62">
        <f t="shared" si="4"/>
        <v>2</v>
      </c>
      <c r="Q62" t="s">
        <v>5</v>
      </c>
    </row>
    <row r="63" spans="1:17" x14ac:dyDescent="0.35">
      <c r="A63" t="s">
        <v>11</v>
      </c>
      <c r="B63">
        <v>12</v>
      </c>
      <c r="C63">
        <v>243</v>
      </c>
      <c r="D63">
        <v>116</v>
      </c>
      <c r="E63">
        <v>127</v>
      </c>
      <c r="F63">
        <v>0</v>
      </c>
      <c r="G63">
        <v>18</v>
      </c>
      <c r="H63">
        <v>268</v>
      </c>
      <c r="I63">
        <v>146</v>
      </c>
      <c r="J63">
        <v>122</v>
      </c>
      <c r="K63">
        <v>0</v>
      </c>
      <c r="L63">
        <f t="shared" si="0"/>
        <v>-6</v>
      </c>
      <c r="M63">
        <f t="shared" si="1"/>
        <v>-25</v>
      </c>
      <c r="N63">
        <f t="shared" si="2"/>
        <v>-30</v>
      </c>
      <c r="O63">
        <f t="shared" si="3"/>
        <v>5</v>
      </c>
      <c r="P63">
        <f t="shared" si="4"/>
        <v>0</v>
      </c>
      <c r="Q63" t="s">
        <v>5</v>
      </c>
    </row>
    <row r="64" spans="1:17" x14ac:dyDescent="0.35">
      <c r="A64" t="s">
        <v>12</v>
      </c>
      <c r="B64">
        <v>23</v>
      </c>
      <c r="C64">
        <v>494</v>
      </c>
      <c r="D64">
        <v>405</v>
      </c>
      <c r="E64">
        <v>89</v>
      </c>
      <c r="F64">
        <v>0</v>
      </c>
      <c r="G64">
        <v>25</v>
      </c>
      <c r="H64">
        <v>470</v>
      </c>
      <c r="I64">
        <v>319</v>
      </c>
      <c r="J64">
        <v>151</v>
      </c>
      <c r="K64">
        <v>2</v>
      </c>
      <c r="L64">
        <f t="shared" si="0"/>
        <v>-2</v>
      </c>
      <c r="M64">
        <f t="shared" si="1"/>
        <v>24</v>
      </c>
      <c r="N64">
        <f t="shared" si="2"/>
        <v>86</v>
      </c>
      <c r="O64">
        <f t="shared" si="3"/>
        <v>-62</v>
      </c>
      <c r="P64">
        <f t="shared" si="4"/>
        <v>-2</v>
      </c>
      <c r="Q64" t="s">
        <v>7</v>
      </c>
    </row>
    <row r="65" spans="1:17" x14ac:dyDescent="0.35">
      <c r="A65" t="s">
        <v>11</v>
      </c>
      <c r="B65">
        <v>22</v>
      </c>
      <c r="C65">
        <v>391</v>
      </c>
      <c r="D65">
        <v>301</v>
      </c>
      <c r="E65">
        <v>90</v>
      </c>
      <c r="F65">
        <v>1</v>
      </c>
      <c r="G65">
        <v>26</v>
      </c>
      <c r="H65">
        <v>414</v>
      </c>
      <c r="I65">
        <v>280</v>
      </c>
      <c r="J65">
        <v>134</v>
      </c>
      <c r="K65">
        <v>3</v>
      </c>
      <c r="L65">
        <f t="shared" si="0"/>
        <v>-4</v>
      </c>
      <c r="M65">
        <f t="shared" si="1"/>
        <v>-23</v>
      </c>
      <c r="N65">
        <f t="shared" si="2"/>
        <v>21</v>
      </c>
      <c r="O65">
        <f t="shared" si="3"/>
        <v>-44</v>
      </c>
      <c r="P65">
        <f t="shared" si="4"/>
        <v>-2</v>
      </c>
      <c r="Q65" t="s">
        <v>7</v>
      </c>
    </row>
    <row r="66" spans="1:17" x14ac:dyDescent="0.35">
      <c r="A66" t="s">
        <v>11</v>
      </c>
      <c r="B66">
        <v>16</v>
      </c>
      <c r="C66">
        <v>246</v>
      </c>
      <c r="D66">
        <v>73</v>
      </c>
      <c r="E66">
        <v>173</v>
      </c>
      <c r="F66">
        <v>2</v>
      </c>
      <c r="G66">
        <v>20</v>
      </c>
      <c r="H66">
        <v>386</v>
      </c>
      <c r="I66">
        <v>273</v>
      </c>
      <c r="J66">
        <v>113</v>
      </c>
      <c r="K66">
        <v>2</v>
      </c>
      <c r="L66">
        <f t="shared" ref="L66:L129" si="5">B66-G66</f>
        <v>-4</v>
      </c>
      <c r="M66">
        <f t="shared" ref="M66:M129" si="6">C66-H66</f>
        <v>-140</v>
      </c>
      <c r="N66">
        <f t="shared" ref="N66:N129" si="7">D66-I66</f>
        <v>-200</v>
      </c>
      <c r="O66">
        <f t="shared" ref="O66:O129" si="8">E66-J66</f>
        <v>60</v>
      </c>
      <c r="P66">
        <f t="shared" ref="P66:P129" si="9">F66-K66</f>
        <v>0</v>
      </c>
      <c r="Q66" t="s">
        <v>5</v>
      </c>
    </row>
    <row r="67" spans="1:17" x14ac:dyDescent="0.35">
      <c r="A67" t="s">
        <v>11</v>
      </c>
      <c r="B67">
        <v>24</v>
      </c>
      <c r="C67">
        <v>429</v>
      </c>
      <c r="D67">
        <v>257</v>
      </c>
      <c r="E67">
        <v>172</v>
      </c>
      <c r="F67">
        <v>2</v>
      </c>
      <c r="G67">
        <v>20</v>
      </c>
      <c r="H67">
        <v>271</v>
      </c>
      <c r="I67">
        <v>171</v>
      </c>
      <c r="J67">
        <v>100</v>
      </c>
      <c r="K67">
        <v>3</v>
      </c>
      <c r="L67">
        <f t="shared" si="5"/>
        <v>4</v>
      </c>
      <c r="M67">
        <f t="shared" si="6"/>
        <v>158</v>
      </c>
      <c r="N67">
        <f t="shared" si="7"/>
        <v>86</v>
      </c>
      <c r="O67">
        <f t="shared" si="8"/>
        <v>72</v>
      </c>
      <c r="P67">
        <f t="shared" si="9"/>
        <v>-1</v>
      </c>
      <c r="Q67" t="s">
        <v>7</v>
      </c>
    </row>
    <row r="68" spans="1:17" x14ac:dyDescent="0.35">
      <c r="A68" t="s">
        <v>12</v>
      </c>
      <c r="B68">
        <v>19</v>
      </c>
      <c r="C68">
        <v>300</v>
      </c>
      <c r="D68">
        <v>191</v>
      </c>
      <c r="E68">
        <v>109</v>
      </c>
      <c r="F68">
        <v>3</v>
      </c>
      <c r="G68">
        <v>13</v>
      </c>
      <c r="H68">
        <v>229</v>
      </c>
      <c r="I68">
        <v>159</v>
      </c>
      <c r="J68">
        <v>70</v>
      </c>
      <c r="K68">
        <v>2</v>
      </c>
      <c r="L68">
        <f t="shared" si="5"/>
        <v>6</v>
      </c>
      <c r="M68">
        <f t="shared" si="6"/>
        <v>71</v>
      </c>
      <c r="N68">
        <f t="shared" si="7"/>
        <v>32</v>
      </c>
      <c r="O68">
        <f t="shared" si="8"/>
        <v>39</v>
      </c>
      <c r="P68">
        <f t="shared" si="9"/>
        <v>1</v>
      </c>
      <c r="Q68" t="s">
        <v>5</v>
      </c>
    </row>
    <row r="69" spans="1:17" x14ac:dyDescent="0.35">
      <c r="A69" t="s">
        <v>12</v>
      </c>
      <c r="B69">
        <v>31</v>
      </c>
      <c r="C69">
        <v>492</v>
      </c>
      <c r="D69">
        <v>347</v>
      </c>
      <c r="E69">
        <v>145</v>
      </c>
      <c r="F69">
        <v>1</v>
      </c>
      <c r="G69">
        <v>29</v>
      </c>
      <c r="H69">
        <v>418</v>
      </c>
      <c r="I69">
        <v>319</v>
      </c>
      <c r="J69">
        <v>99</v>
      </c>
      <c r="K69">
        <v>1</v>
      </c>
      <c r="L69">
        <f t="shared" si="5"/>
        <v>2</v>
      </c>
      <c r="M69">
        <f t="shared" si="6"/>
        <v>74</v>
      </c>
      <c r="N69">
        <f t="shared" si="7"/>
        <v>28</v>
      </c>
      <c r="O69">
        <f t="shared" si="8"/>
        <v>46</v>
      </c>
      <c r="P69">
        <f t="shared" si="9"/>
        <v>0</v>
      </c>
      <c r="Q69" t="s">
        <v>7</v>
      </c>
    </row>
    <row r="70" spans="1:17" x14ac:dyDescent="0.35">
      <c r="A70" t="s">
        <v>11</v>
      </c>
      <c r="B70">
        <v>22</v>
      </c>
      <c r="C70">
        <v>323</v>
      </c>
      <c r="D70">
        <v>249</v>
      </c>
      <c r="E70">
        <v>74</v>
      </c>
      <c r="F70">
        <v>1</v>
      </c>
      <c r="G70">
        <v>12</v>
      </c>
      <c r="H70">
        <v>154</v>
      </c>
      <c r="I70">
        <v>73</v>
      </c>
      <c r="J70">
        <v>81</v>
      </c>
      <c r="K70">
        <v>6</v>
      </c>
      <c r="L70">
        <f t="shared" si="5"/>
        <v>10</v>
      </c>
      <c r="M70">
        <f t="shared" si="6"/>
        <v>169</v>
      </c>
      <c r="N70">
        <f t="shared" si="7"/>
        <v>176</v>
      </c>
      <c r="O70">
        <f t="shared" si="8"/>
        <v>-7</v>
      </c>
      <c r="P70">
        <f t="shared" si="9"/>
        <v>-5</v>
      </c>
      <c r="Q70" t="s">
        <v>7</v>
      </c>
    </row>
    <row r="71" spans="1:17" x14ac:dyDescent="0.35">
      <c r="A71" t="s">
        <v>11</v>
      </c>
      <c r="B71">
        <v>22</v>
      </c>
      <c r="C71">
        <v>384</v>
      </c>
      <c r="D71">
        <v>262</v>
      </c>
      <c r="E71">
        <v>122</v>
      </c>
      <c r="F71">
        <v>1</v>
      </c>
      <c r="G71">
        <v>24</v>
      </c>
      <c r="H71">
        <v>412</v>
      </c>
      <c r="I71">
        <v>274</v>
      </c>
      <c r="J71">
        <v>138</v>
      </c>
      <c r="K71">
        <v>3</v>
      </c>
      <c r="L71">
        <f t="shared" si="5"/>
        <v>-2</v>
      </c>
      <c r="M71">
        <f t="shared" si="6"/>
        <v>-28</v>
      </c>
      <c r="N71">
        <f t="shared" si="7"/>
        <v>-12</v>
      </c>
      <c r="O71">
        <f t="shared" si="8"/>
        <v>-16</v>
      </c>
      <c r="P71">
        <f t="shared" si="9"/>
        <v>-2</v>
      </c>
      <c r="Q71" t="s">
        <v>5</v>
      </c>
    </row>
    <row r="72" spans="1:17" x14ac:dyDescent="0.35">
      <c r="A72" t="s">
        <v>11</v>
      </c>
      <c r="B72">
        <v>25</v>
      </c>
      <c r="C72">
        <v>430</v>
      </c>
      <c r="D72">
        <v>371</v>
      </c>
      <c r="E72">
        <v>59</v>
      </c>
      <c r="F72">
        <v>1</v>
      </c>
      <c r="G72">
        <v>29</v>
      </c>
      <c r="H72">
        <v>502</v>
      </c>
      <c r="I72">
        <v>406</v>
      </c>
      <c r="J72">
        <v>96</v>
      </c>
      <c r="K72">
        <v>1</v>
      </c>
      <c r="L72">
        <f t="shared" si="5"/>
        <v>-4</v>
      </c>
      <c r="M72">
        <f t="shared" si="6"/>
        <v>-72</v>
      </c>
      <c r="N72">
        <f t="shared" si="7"/>
        <v>-35</v>
      </c>
      <c r="O72">
        <f t="shared" si="8"/>
        <v>-37</v>
      </c>
      <c r="P72">
        <f t="shared" si="9"/>
        <v>0</v>
      </c>
      <c r="Q72" t="s">
        <v>5</v>
      </c>
    </row>
    <row r="73" spans="1:17" x14ac:dyDescent="0.35">
      <c r="A73" t="s">
        <v>11</v>
      </c>
      <c r="B73">
        <v>26</v>
      </c>
      <c r="C73">
        <v>552</v>
      </c>
      <c r="D73">
        <v>391</v>
      </c>
      <c r="E73">
        <v>161</v>
      </c>
      <c r="F73">
        <v>1</v>
      </c>
      <c r="G73">
        <v>22</v>
      </c>
      <c r="H73">
        <v>355</v>
      </c>
      <c r="I73">
        <v>258</v>
      </c>
      <c r="J73">
        <v>97</v>
      </c>
      <c r="K73">
        <v>1</v>
      </c>
      <c r="L73">
        <f t="shared" si="5"/>
        <v>4</v>
      </c>
      <c r="M73">
        <f t="shared" si="6"/>
        <v>197</v>
      </c>
      <c r="N73">
        <f t="shared" si="7"/>
        <v>133</v>
      </c>
      <c r="O73">
        <f t="shared" si="8"/>
        <v>64</v>
      </c>
      <c r="P73">
        <f t="shared" si="9"/>
        <v>0</v>
      </c>
      <c r="Q73" t="s">
        <v>7</v>
      </c>
    </row>
    <row r="74" spans="1:17" x14ac:dyDescent="0.35">
      <c r="A74" t="s">
        <v>11</v>
      </c>
      <c r="B74">
        <v>27</v>
      </c>
      <c r="C74">
        <v>525</v>
      </c>
      <c r="D74">
        <v>330</v>
      </c>
      <c r="E74">
        <v>195</v>
      </c>
      <c r="F74">
        <v>0</v>
      </c>
      <c r="G74">
        <v>15</v>
      </c>
      <c r="H74">
        <v>252</v>
      </c>
      <c r="I74">
        <v>164</v>
      </c>
      <c r="J74">
        <v>88</v>
      </c>
      <c r="K74">
        <v>0</v>
      </c>
      <c r="L74">
        <f t="shared" si="5"/>
        <v>12</v>
      </c>
      <c r="M74">
        <f t="shared" si="6"/>
        <v>273</v>
      </c>
      <c r="N74">
        <f t="shared" si="7"/>
        <v>166</v>
      </c>
      <c r="O74">
        <f t="shared" si="8"/>
        <v>107</v>
      </c>
      <c r="P74">
        <f t="shared" si="9"/>
        <v>0</v>
      </c>
      <c r="Q74" t="s">
        <v>7</v>
      </c>
    </row>
    <row r="75" spans="1:17" x14ac:dyDescent="0.35">
      <c r="A75" t="s">
        <v>12</v>
      </c>
      <c r="B75">
        <v>19</v>
      </c>
      <c r="C75">
        <v>435</v>
      </c>
      <c r="D75">
        <v>329</v>
      </c>
      <c r="E75">
        <v>106</v>
      </c>
      <c r="F75">
        <v>5</v>
      </c>
      <c r="G75">
        <v>15</v>
      </c>
      <c r="H75">
        <v>229</v>
      </c>
      <c r="I75">
        <v>161</v>
      </c>
      <c r="J75">
        <v>68</v>
      </c>
      <c r="K75">
        <v>2</v>
      </c>
      <c r="L75">
        <f t="shared" si="5"/>
        <v>4</v>
      </c>
      <c r="M75">
        <f t="shared" si="6"/>
        <v>206</v>
      </c>
      <c r="N75">
        <f t="shared" si="7"/>
        <v>168</v>
      </c>
      <c r="O75">
        <f t="shared" si="8"/>
        <v>38</v>
      </c>
      <c r="P75">
        <f t="shared" si="9"/>
        <v>3</v>
      </c>
      <c r="Q75" t="s">
        <v>5</v>
      </c>
    </row>
    <row r="76" spans="1:17" x14ac:dyDescent="0.35">
      <c r="A76" t="s">
        <v>12</v>
      </c>
      <c r="B76">
        <v>29</v>
      </c>
      <c r="C76">
        <v>447</v>
      </c>
      <c r="D76">
        <v>261</v>
      </c>
      <c r="E76">
        <v>186</v>
      </c>
      <c r="F76">
        <v>2</v>
      </c>
      <c r="G76">
        <v>29</v>
      </c>
      <c r="H76">
        <v>438</v>
      </c>
      <c r="I76">
        <v>315</v>
      </c>
      <c r="J76">
        <v>123</v>
      </c>
      <c r="K76">
        <v>3</v>
      </c>
      <c r="L76">
        <f t="shared" si="5"/>
        <v>0</v>
      </c>
      <c r="M76">
        <f t="shared" si="6"/>
        <v>9</v>
      </c>
      <c r="N76">
        <f t="shared" si="7"/>
        <v>-54</v>
      </c>
      <c r="O76">
        <f t="shared" si="8"/>
        <v>63</v>
      </c>
      <c r="P76">
        <f t="shared" si="9"/>
        <v>-1</v>
      </c>
      <c r="Q76" t="s">
        <v>5</v>
      </c>
    </row>
    <row r="77" spans="1:17" x14ac:dyDescent="0.35">
      <c r="A77" t="s">
        <v>11</v>
      </c>
      <c r="B77">
        <v>17</v>
      </c>
      <c r="C77">
        <v>359</v>
      </c>
      <c r="D77">
        <v>244</v>
      </c>
      <c r="E77">
        <v>115</v>
      </c>
      <c r="F77">
        <v>2</v>
      </c>
      <c r="G77">
        <v>13</v>
      </c>
      <c r="H77">
        <v>218</v>
      </c>
      <c r="I77">
        <v>134</v>
      </c>
      <c r="J77">
        <v>84</v>
      </c>
      <c r="K77">
        <v>1</v>
      </c>
      <c r="L77">
        <f t="shared" si="5"/>
        <v>4</v>
      </c>
      <c r="M77">
        <f t="shared" si="6"/>
        <v>141</v>
      </c>
      <c r="N77">
        <f t="shared" si="7"/>
        <v>110</v>
      </c>
      <c r="O77">
        <f t="shared" si="8"/>
        <v>31</v>
      </c>
      <c r="P77">
        <f t="shared" si="9"/>
        <v>1</v>
      </c>
      <c r="Q77" t="s">
        <v>5</v>
      </c>
    </row>
    <row r="78" spans="1:17" x14ac:dyDescent="0.35">
      <c r="A78" t="s">
        <v>11</v>
      </c>
      <c r="B78">
        <v>16</v>
      </c>
      <c r="C78">
        <v>289</v>
      </c>
      <c r="D78">
        <v>189</v>
      </c>
      <c r="E78">
        <v>100</v>
      </c>
      <c r="F78">
        <v>0</v>
      </c>
      <c r="G78">
        <v>20</v>
      </c>
      <c r="H78">
        <v>352</v>
      </c>
      <c r="I78">
        <v>313</v>
      </c>
      <c r="J78">
        <v>39</v>
      </c>
      <c r="K78">
        <v>1</v>
      </c>
      <c r="L78">
        <f t="shared" si="5"/>
        <v>-4</v>
      </c>
      <c r="M78">
        <f t="shared" si="6"/>
        <v>-63</v>
      </c>
      <c r="N78">
        <f t="shared" si="7"/>
        <v>-124</v>
      </c>
      <c r="O78">
        <f t="shared" si="8"/>
        <v>61</v>
      </c>
      <c r="P78">
        <f t="shared" si="9"/>
        <v>-1</v>
      </c>
      <c r="Q78" t="s">
        <v>7</v>
      </c>
    </row>
    <row r="79" spans="1:17" x14ac:dyDescent="0.35">
      <c r="A79" t="s">
        <v>12</v>
      </c>
      <c r="B79">
        <v>13</v>
      </c>
      <c r="C79">
        <v>224</v>
      </c>
      <c r="D79">
        <v>133</v>
      </c>
      <c r="E79">
        <v>91</v>
      </c>
      <c r="F79">
        <v>1</v>
      </c>
      <c r="G79">
        <v>21</v>
      </c>
      <c r="H79">
        <v>412</v>
      </c>
      <c r="I79">
        <v>159</v>
      </c>
      <c r="J79">
        <v>253</v>
      </c>
      <c r="K79">
        <v>0</v>
      </c>
      <c r="L79">
        <f t="shared" si="5"/>
        <v>-8</v>
      </c>
      <c r="M79">
        <f t="shared" si="6"/>
        <v>-188</v>
      </c>
      <c r="N79">
        <f t="shared" si="7"/>
        <v>-26</v>
      </c>
      <c r="O79">
        <f t="shared" si="8"/>
        <v>-162</v>
      </c>
      <c r="P79">
        <f t="shared" si="9"/>
        <v>1</v>
      </c>
      <c r="Q79" t="s">
        <v>5</v>
      </c>
    </row>
    <row r="80" spans="1:17" x14ac:dyDescent="0.35">
      <c r="A80" t="s">
        <v>11</v>
      </c>
      <c r="B80">
        <v>22</v>
      </c>
      <c r="C80">
        <v>490</v>
      </c>
      <c r="D80">
        <v>279</v>
      </c>
      <c r="E80">
        <v>211</v>
      </c>
      <c r="F80">
        <v>1</v>
      </c>
      <c r="G80">
        <v>18</v>
      </c>
      <c r="H80">
        <v>211</v>
      </c>
      <c r="I80">
        <v>147</v>
      </c>
      <c r="J80">
        <v>64</v>
      </c>
      <c r="K80">
        <v>1</v>
      </c>
      <c r="L80">
        <f t="shared" si="5"/>
        <v>4</v>
      </c>
      <c r="M80">
        <f t="shared" si="6"/>
        <v>279</v>
      </c>
      <c r="N80">
        <f t="shared" si="7"/>
        <v>132</v>
      </c>
      <c r="O80">
        <f t="shared" si="8"/>
        <v>147</v>
      </c>
      <c r="P80">
        <f t="shared" si="9"/>
        <v>0</v>
      </c>
      <c r="Q80" t="s">
        <v>7</v>
      </c>
    </row>
    <row r="81" spans="1:17" x14ac:dyDescent="0.35">
      <c r="A81" t="s">
        <v>11</v>
      </c>
      <c r="B81">
        <v>16</v>
      </c>
      <c r="C81">
        <v>309</v>
      </c>
      <c r="D81">
        <v>243</v>
      </c>
      <c r="E81">
        <v>66</v>
      </c>
      <c r="F81">
        <v>1</v>
      </c>
      <c r="G81">
        <v>29</v>
      </c>
      <c r="H81">
        <v>542</v>
      </c>
      <c r="I81">
        <v>467</v>
      </c>
      <c r="J81">
        <v>75</v>
      </c>
      <c r="K81">
        <v>4</v>
      </c>
      <c r="L81">
        <f t="shared" si="5"/>
        <v>-13</v>
      </c>
      <c r="M81">
        <f t="shared" si="6"/>
        <v>-233</v>
      </c>
      <c r="N81">
        <f t="shared" si="7"/>
        <v>-224</v>
      </c>
      <c r="O81">
        <f t="shared" si="8"/>
        <v>-9</v>
      </c>
      <c r="P81">
        <f t="shared" si="9"/>
        <v>-3</v>
      </c>
      <c r="Q81" t="s">
        <v>5</v>
      </c>
    </row>
    <row r="82" spans="1:17" x14ac:dyDescent="0.35">
      <c r="A82" t="s">
        <v>12</v>
      </c>
      <c r="B82">
        <v>22</v>
      </c>
      <c r="C82">
        <v>374</v>
      </c>
      <c r="D82">
        <v>262</v>
      </c>
      <c r="E82">
        <v>112</v>
      </c>
      <c r="F82">
        <v>1</v>
      </c>
      <c r="G82">
        <v>22</v>
      </c>
      <c r="H82">
        <v>362</v>
      </c>
      <c r="I82">
        <v>240</v>
      </c>
      <c r="J82">
        <v>122</v>
      </c>
      <c r="K82">
        <v>1</v>
      </c>
      <c r="L82">
        <f t="shared" si="5"/>
        <v>0</v>
      </c>
      <c r="M82">
        <f t="shared" si="6"/>
        <v>12</v>
      </c>
      <c r="N82">
        <f t="shared" si="7"/>
        <v>22</v>
      </c>
      <c r="O82">
        <f t="shared" si="8"/>
        <v>-10</v>
      </c>
      <c r="P82">
        <f t="shared" si="9"/>
        <v>0</v>
      </c>
      <c r="Q82" t="s">
        <v>7</v>
      </c>
    </row>
    <row r="83" spans="1:17" x14ac:dyDescent="0.35">
      <c r="A83" t="s">
        <v>11</v>
      </c>
      <c r="B83">
        <v>21</v>
      </c>
      <c r="C83">
        <v>328</v>
      </c>
      <c r="D83">
        <v>219</v>
      </c>
      <c r="E83">
        <v>109</v>
      </c>
      <c r="F83">
        <v>0</v>
      </c>
      <c r="G83">
        <v>21</v>
      </c>
      <c r="H83">
        <v>334</v>
      </c>
      <c r="I83">
        <v>298</v>
      </c>
      <c r="J83">
        <v>36</v>
      </c>
      <c r="K83">
        <v>4</v>
      </c>
      <c r="L83">
        <f t="shared" si="5"/>
        <v>0</v>
      </c>
      <c r="M83">
        <f t="shared" si="6"/>
        <v>-6</v>
      </c>
      <c r="N83">
        <f t="shared" si="7"/>
        <v>-79</v>
      </c>
      <c r="O83">
        <f t="shared" si="8"/>
        <v>73</v>
      </c>
      <c r="P83">
        <f t="shared" si="9"/>
        <v>-4</v>
      </c>
      <c r="Q83" t="s">
        <v>7</v>
      </c>
    </row>
    <row r="84" spans="1:17" x14ac:dyDescent="0.35">
      <c r="A84" t="s">
        <v>12</v>
      </c>
      <c r="B84">
        <v>24</v>
      </c>
      <c r="C84">
        <v>388</v>
      </c>
      <c r="D84">
        <v>156</v>
      </c>
      <c r="E84">
        <v>232</v>
      </c>
      <c r="F84">
        <v>1</v>
      </c>
      <c r="G84">
        <v>12</v>
      </c>
      <c r="H84">
        <v>230</v>
      </c>
      <c r="I84">
        <v>100</v>
      </c>
      <c r="J84">
        <v>130</v>
      </c>
      <c r="K84">
        <v>3</v>
      </c>
      <c r="L84">
        <f t="shared" si="5"/>
        <v>12</v>
      </c>
      <c r="M84">
        <f t="shared" si="6"/>
        <v>158</v>
      </c>
      <c r="N84">
        <f t="shared" si="7"/>
        <v>56</v>
      </c>
      <c r="O84">
        <f t="shared" si="8"/>
        <v>102</v>
      </c>
      <c r="P84">
        <f t="shared" si="9"/>
        <v>-2</v>
      </c>
      <c r="Q84" t="s">
        <v>7</v>
      </c>
    </row>
    <row r="85" spans="1:17" x14ac:dyDescent="0.35">
      <c r="A85" t="s">
        <v>11</v>
      </c>
      <c r="B85">
        <v>20</v>
      </c>
      <c r="C85">
        <v>394</v>
      </c>
      <c r="D85">
        <v>270</v>
      </c>
      <c r="E85">
        <v>124</v>
      </c>
      <c r="F85">
        <v>1</v>
      </c>
      <c r="G85">
        <v>19</v>
      </c>
      <c r="H85">
        <v>321</v>
      </c>
      <c r="I85">
        <v>284</v>
      </c>
      <c r="J85">
        <v>37</v>
      </c>
      <c r="K85">
        <v>2</v>
      </c>
      <c r="L85">
        <f t="shared" si="5"/>
        <v>1</v>
      </c>
      <c r="M85">
        <f t="shared" si="6"/>
        <v>73</v>
      </c>
      <c r="N85">
        <f t="shared" si="7"/>
        <v>-14</v>
      </c>
      <c r="O85">
        <f t="shared" si="8"/>
        <v>87</v>
      </c>
      <c r="P85">
        <f t="shared" si="9"/>
        <v>-1</v>
      </c>
      <c r="Q85" t="s">
        <v>5</v>
      </c>
    </row>
    <row r="86" spans="1:17" x14ac:dyDescent="0.35">
      <c r="A86" t="s">
        <v>12</v>
      </c>
      <c r="B86">
        <v>18</v>
      </c>
      <c r="C86">
        <v>323</v>
      </c>
      <c r="D86">
        <v>199</v>
      </c>
      <c r="E86">
        <v>124</v>
      </c>
      <c r="F86">
        <v>1</v>
      </c>
      <c r="G86">
        <v>19</v>
      </c>
      <c r="H86">
        <v>279</v>
      </c>
      <c r="I86">
        <v>173</v>
      </c>
      <c r="J86">
        <v>106</v>
      </c>
      <c r="K86">
        <v>2</v>
      </c>
      <c r="L86">
        <f t="shared" si="5"/>
        <v>-1</v>
      </c>
      <c r="M86">
        <f t="shared" si="6"/>
        <v>44</v>
      </c>
      <c r="N86">
        <f t="shared" si="7"/>
        <v>26</v>
      </c>
      <c r="O86">
        <f t="shared" si="8"/>
        <v>18</v>
      </c>
      <c r="P86">
        <f t="shared" si="9"/>
        <v>-1</v>
      </c>
      <c r="Q86" t="s">
        <v>7</v>
      </c>
    </row>
    <row r="87" spans="1:17" x14ac:dyDescent="0.35">
      <c r="A87" t="s">
        <v>11</v>
      </c>
      <c r="B87">
        <v>13</v>
      </c>
      <c r="C87">
        <v>191</v>
      </c>
      <c r="D87">
        <v>95</v>
      </c>
      <c r="E87">
        <v>96</v>
      </c>
      <c r="F87">
        <v>0</v>
      </c>
      <c r="G87">
        <v>25</v>
      </c>
      <c r="H87">
        <v>348</v>
      </c>
      <c r="I87">
        <v>198</v>
      </c>
      <c r="J87">
        <v>150</v>
      </c>
      <c r="K87">
        <v>0</v>
      </c>
      <c r="L87">
        <f t="shared" si="5"/>
        <v>-12</v>
      </c>
      <c r="M87">
        <f t="shared" si="6"/>
        <v>-157</v>
      </c>
      <c r="N87">
        <f t="shared" si="7"/>
        <v>-103</v>
      </c>
      <c r="O87">
        <f t="shared" si="8"/>
        <v>-54</v>
      </c>
      <c r="P87">
        <f t="shared" si="9"/>
        <v>0</v>
      </c>
      <c r="Q87" t="s">
        <v>5</v>
      </c>
    </row>
    <row r="88" spans="1:17" x14ac:dyDescent="0.35">
      <c r="A88" t="s">
        <v>11</v>
      </c>
      <c r="B88">
        <v>21</v>
      </c>
      <c r="C88">
        <v>484</v>
      </c>
      <c r="D88">
        <v>329</v>
      </c>
      <c r="E88">
        <v>155</v>
      </c>
      <c r="F88">
        <v>2</v>
      </c>
      <c r="G88">
        <v>22</v>
      </c>
      <c r="H88">
        <v>481</v>
      </c>
      <c r="I88">
        <v>421</v>
      </c>
      <c r="J88">
        <v>60</v>
      </c>
      <c r="K88">
        <v>0</v>
      </c>
      <c r="L88">
        <f t="shared" si="5"/>
        <v>-1</v>
      </c>
      <c r="M88">
        <f t="shared" si="6"/>
        <v>3</v>
      </c>
      <c r="N88">
        <f t="shared" si="7"/>
        <v>-92</v>
      </c>
      <c r="O88">
        <f t="shared" si="8"/>
        <v>95</v>
      </c>
      <c r="P88">
        <f t="shared" si="9"/>
        <v>2</v>
      </c>
      <c r="Q88" t="s">
        <v>5</v>
      </c>
    </row>
    <row r="89" spans="1:17" x14ac:dyDescent="0.35">
      <c r="A89" t="s">
        <v>12</v>
      </c>
      <c r="B89">
        <v>22</v>
      </c>
      <c r="C89">
        <v>366</v>
      </c>
      <c r="D89">
        <v>293</v>
      </c>
      <c r="E89">
        <v>73</v>
      </c>
      <c r="F89">
        <v>1</v>
      </c>
      <c r="G89">
        <v>20</v>
      </c>
      <c r="H89">
        <v>376</v>
      </c>
      <c r="I89">
        <v>337</v>
      </c>
      <c r="J89">
        <v>39</v>
      </c>
      <c r="K89">
        <v>1</v>
      </c>
      <c r="L89">
        <f t="shared" si="5"/>
        <v>2</v>
      </c>
      <c r="M89">
        <f t="shared" si="6"/>
        <v>-10</v>
      </c>
      <c r="N89">
        <f t="shared" si="7"/>
        <v>-44</v>
      </c>
      <c r="O89">
        <f t="shared" si="8"/>
        <v>34</v>
      </c>
      <c r="P89">
        <f t="shared" si="9"/>
        <v>0</v>
      </c>
      <c r="Q89" t="s">
        <v>5</v>
      </c>
    </row>
    <row r="90" spans="1:17" x14ac:dyDescent="0.35">
      <c r="A90" t="s">
        <v>12</v>
      </c>
      <c r="B90">
        <v>27</v>
      </c>
      <c r="C90">
        <v>348</v>
      </c>
      <c r="D90">
        <v>223</v>
      </c>
      <c r="E90">
        <v>125</v>
      </c>
      <c r="F90">
        <v>0</v>
      </c>
      <c r="G90">
        <v>18</v>
      </c>
      <c r="H90">
        <v>398</v>
      </c>
      <c r="I90">
        <v>270</v>
      </c>
      <c r="J90">
        <v>128</v>
      </c>
      <c r="K90">
        <v>0</v>
      </c>
      <c r="L90">
        <f t="shared" si="5"/>
        <v>9</v>
      </c>
      <c r="M90">
        <f t="shared" si="6"/>
        <v>-50</v>
      </c>
      <c r="N90">
        <f t="shared" si="7"/>
        <v>-47</v>
      </c>
      <c r="O90">
        <f t="shared" si="8"/>
        <v>-3</v>
      </c>
      <c r="P90">
        <f t="shared" si="9"/>
        <v>0</v>
      </c>
      <c r="Q90" t="s">
        <v>5</v>
      </c>
    </row>
    <row r="91" spans="1:17" x14ac:dyDescent="0.35">
      <c r="A91" t="s">
        <v>12</v>
      </c>
      <c r="B91">
        <v>7</v>
      </c>
      <c r="C91">
        <v>139</v>
      </c>
      <c r="D91">
        <v>82</v>
      </c>
      <c r="E91">
        <v>57</v>
      </c>
      <c r="F91">
        <v>1</v>
      </c>
      <c r="G91">
        <v>22</v>
      </c>
      <c r="H91">
        <v>383</v>
      </c>
      <c r="I91">
        <v>199</v>
      </c>
      <c r="J91">
        <v>184</v>
      </c>
      <c r="K91">
        <v>3</v>
      </c>
      <c r="L91">
        <f t="shared" si="5"/>
        <v>-15</v>
      </c>
      <c r="M91">
        <f t="shared" si="6"/>
        <v>-244</v>
      </c>
      <c r="N91">
        <f t="shared" si="7"/>
        <v>-117</v>
      </c>
      <c r="O91">
        <f t="shared" si="8"/>
        <v>-127</v>
      </c>
      <c r="P91">
        <f t="shared" si="9"/>
        <v>-2</v>
      </c>
      <c r="Q91" t="s">
        <v>5</v>
      </c>
    </row>
    <row r="92" spans="1:17" x14ac:dyDescent="0.35">
      <c r="A92" t="s">
        <v>11</v>
      </c>
      <c r="B92">
        <v>24</v>
      </c>
      <c r="C92">
        <v>491</v>
      </c>
      <c r="D92">
        <v>378</v>
      </c>
      <c r="E92">
        <v>113</v>
      </c>
      <c r="F92">
        <v>0</v>
      </c>
      <c r="G92">
        <v>18</v>
      </c>
      <c r="H92">
        <v>428</v>
      </c>
      <c r="I92">
        <v>347</v>
      </c>
      <c r="J92">
        <v>81</v>
      </c>
      <c r="K92">
        <v>2</v>
      </c>
      <c r="L92">
        <f t="shared" si="5"/>
        <v>6</v>
      </c>
      <c r="M92">
        <f t="shared" si="6"/>
        <v>63</v>
      </c>
      <c r="N92">
        <f t="shared" si="7"/>
        <v>31</v>
      </c>
      <c r="O92">
        <f t="shared" si="8"/>
        <v>32</v>
      </c>
      <c r="P92">
        <f t="shared" si="9"/>
        <v>-2</v>
      </c>
      <c r="Q92" t="s">
        <v>7</v>
      </c>
    </row>
    <row r="93" spans="1:17" x14ac:dyDescent="0.35">
      <c r="A93" t="s">
        <v>11</v>
      </c>
      <c r="B93">
        <v>15</v>
      </c>
      <c r="C93">
        <v>398</v>
      </c>
      <c r="D93">
        <v>370</v>
      </c>
      <c r="E93">
        <v>28</v>
      </c>
      <c r="F93">
        <v>0</v>
      </c>
      <c r="G93">
        <v>22</v>
      </c>
      <c r="H93">
        <v>436</v>
      </c>
      <c r="I93">
        <v>313</v>
      </c>
      <c r="J93">
        <v>123</v>
      </c>
      <c r="K93">
        <v>0</v>
      </c>
      <c r="L93">
        <f t="shared" si="5"/>
        <v>-7</v>
      </c>
      <c r="M93">
        <f t="shared" si="6"/>
        <v>-38</v>
      </c>
      <c r="N93">
        <f t="shared" si="7"/>
        <v>57</v>
      </c>
      <c r="O93">
        <f t="shared" si="8"/>
        <v>-95</v>
      </c>
      <c r="P93">
        <f t="shared" si="9"/>
        <v>0</v>
      </c>
      <c r="Q93" t="s">
        <v>5</v>
      </c>
    </row>
    <row r="94" spans="1:17" x14ac:dyDescent="0.35">
      <c r="A94" t="s">
        <v>12</v>
      </c>
      <c r="B94">
        <v>27</v>
      </c>
      <c r="C94">
        <v>418</v>
      </c>
      <c r="D94">
        <v>300</v>
      </c>
      <c r="E94">
        <v>118</v>
      </c>
      <c r="F94">
        <v>1</v>
      </c>
      <c r="G94">
        <v>11</v>
      </c>
      <c r="H94">
        <v>255</v>
      </c>
      <c r="I94">
        <v>182</v>
      </c>
      <c r="J94">
        <v>73</v>
      </c>
      <c r="K94">
        <v>0</v>
      </c>
      <c r="L94">
        <f t="shared" si="5"/>
        <v>16</v>
      </c>
      <c r="M94">
        <f t="shared" si="6"/>
        <v>163</v>
      </c>
      <c r="N94">
        <f t="shared" si="7"/>
        <v>118</v>
      </c>
      <c r="O94">
        <f t="shared" si="8"/>
        <v>45</v>
      </c>
      <c r="P94">
        <f t="shared" si="9"/>
        <v>1</v>
      </c>
      <c r="Q94" t="s">
        <v>7</v>
      </c>
    </row>
    <row r="95" spans="1:17" x14ac:dyDescent="0.35">
      <c r="A95" t="s">
        <v>11</v>
      </c>
      <c r="B95">
        <v>20</v>
      </c>
      <c r="C95">
        <v>275</v>
      </c>
      <c r="D95">
        <v>135</v>
      </c>
      <c r="E95">
        <v>140</v>
      </c>
      <c r="F95">
        <v>2</v>
      </c>
      <c r="G95">
        <v>17</v>
      </c>
      <c r="H95">
        <v>236</v>
      </c>
      <c r="I95">
        <v>165</v>
      </c>
      <c r="J95">
        <v>71</v>
      </c>
      <c r="K95">
        <v>3</v>
      </c>
      <c r="L95">
        <f t="shared" si="5"/>
        <v>3</v>
      </c>
      <c r="M95">
        <f t="shared" si="6"/>
        <v>39</v>
      </c>
      <c r="N95">
        <f t="shared" si="7"/>
        <v>-30</v>
      </c>
      <c r="O95">
        <f t="shared" si="8"/>
        <v>69</v>
      </c>
      <c r="P95">
        <f t="shared" si="9"/>
        <v>-1</v>
      </c>
      <c r="Q95" t="s">
        <v>7</v>
      </c>
    </row>
    <row r="96" spans="1:17" x14ac:dyDescent="0.35">
      <c r="A96" t="s">
        <v>12</v>
      </c>
      <c r="B96">
        <v>15</v>
      </c>
      <c r="C96">
        <v>205</v>
      </c>
      <c r="D96">
        <v>134</v>
      </c>
      <c r="E96">
        <v>71</v>
      </c>
      <c r="F96">
        <v>1</v>
      </c>
      <c r="G96">
        <v>14</v>
      </c>
      <c r="H96">
        <v>271</v>
      </c>
      <c r="I96">
        <v>191</v>
      </c>
      <c r="J96">
        <v>80</v>
      </c>
      <c r="K96">
        <v>0</v>
      </c>
      <c r="L96">
        <f t="shared" si="5"/>
        <v>1</v>
      </c>
      <c r="M96">
        <f t="shared" si="6"/>
        <v>-66</v>
      </c>
      <c r="N96">
        <f t="shared" si="7"/>
        <v>-57</v>
      </c>
      <c r="O96">
        <f t="shared" si="8"/>
        <v>-9</v>
      </c>
      <c r="P96">
        <f t="shared" si="9"/>
        <v>1</v>
      </c>
      <c r="Q96" t="s">
        <v>5</v>
      </c>
    </row>
    <row r="97" spans="1:17" x14ac:dyDescent="0.35">
      <c r="A97" t="s">
        <v>12</v>
      </c>
      <c r="B97">
        <v>14</v>
      </c>
      <c r="C97">
        <v>329</v>
      </c>
      <c r="D97">
        <v>193</v>
      </c>
      <c r="E97">
        <v>136</v>
      </c>
      <c r="F97">
        <v>3</v>
      </c>
      <c r="G97">
        <v>28</v>
      </c>
      <c r="H97">
        <v>373</v>
      </c>
      <c r="I97">
        <v>286</v>
      </c>
      <c r="J97">
        <v>87</v>
      </c>
      <c r="K97">
        <v>1</v>
      </c>
      <c r="L97">
        <f t="shared" si="5"/>
        <v>-14</v>
      </c>
      <c r="M97">
        <f t="shared" si="6"/>
        <v>-44</v>
      </c>
      <c r="N97">
        <f t="shared" si="7"/>
        <v>-93</v>
      </c>
      <c r="O97">
        <f t="shared" si="8"/>
        <v>49</v>
      </c>
      <c r="P97">
        <f t="shared" si="9"/>
        <v>2</v>
      </c>
      <c r="Q97" t="s">
        <v>5</v>
      </c>
    </row>
    <row r="98" spans="1:17" x14ac:dyDescent="0.35">
      <c r="A98" t="s">
        <v>11</v>
      </c>
      <c r="B98">
        <v>24</v>
      </c>
      <c r="C98">
        <v>337</v>
      </c>
      <c r="D98">
        <v>179</v>
      </c>
      <c r="E98">
        <v>158</v>
      </c>
      <c r="F98">
        <v>1</v>
      </c>
      <c r="G98">
        <v>14</v>
      </c>
      <c r="H98">
        <v>300</v>
      </c>
      <c r="I98">
        <v>126</v>
      </c>
      <c r="J98">
        <v>174</v>
      </c>
      <c r="K98">
        <v>3</v>
      </c>
      <c r="L98">
        <f t="shared" si="5"/>
        <v>10</v>
      </c>
      <c r="M98">
        <f t="shared" si="6"/>
        <v>37</v>
      </c>
      <c r="N98">
        <f t="shared" si="7"/>
        <v>53</v>
      </c>
      <c r="O98">
        <f t="shared" si="8"/>
        <v>-16</v>
      </c>
      <c r="P98">
        <f t="shared" si="9"/>
        <v>-2</v>
      </c>
      <c r="Q98" t="s">
        <v>7</v>
      </c>
    </row>
    <row r="99" spans="1:17" x14ac:dyDescent="0.35">
      <c r="A99" t="s">
        <v>11</v>
      </c>
      <c r="B99">
        <v>12</v>
      </c>
      <c r="C99">
        <v>204</v>
      </c>
      <c r="D99">
        <v>165</v>
      </c>
      <c r="E99">
        <v>39</v>
      </c>
      <c r="F99">
        <v>3</v>
      </c>
      <c r="G99">
        <v>11</v>
      </c>
      <c r="H99">
        <v>270</v>
      </c>
      <c r="I99">
        <v>167</v>
      </c>
      <c r="J99">
        <v>103</v>
      </c>
      <c r="K99">
        <v>1</v>
      </c>
      <c r="L99">
        <f t="shared" si="5"/>
        <v>1</v>
      </c>
      <c r="M99">
        <f t="shared" si="6"/>
        <v>-66</v>
      </c>
      <c r="N99">
        <f t="shared" si="7"/>
        <v>-2</v>
      </c>
      <c r="O99">
        <f t="shared" si="8"/>
        <v>-64</v>
      </c>
      <c r="P99">
        <f t="shared" si="9"/>
        <v>2</v>
      </c>
      <c r="Q99" t="s">
        <v>5</v>
      </c>
    </row>
    <row r="100" spans="1:17" x14ac:dyDescent="0.35">
      <c r="A100" t="s">
        <v>11</v>
      </c>
      <c r="B100">
        <v>16</v>
      </c>
      <c r="C100">
        <v>230</v>
      </c>
      <c r="D100">
        <v>170</v>
      </c>
      <c r="E100">
        <v>60</v>
      </c>
      <c r="F100">
        <v>4</v>
      </c>
      <c r="G100">
        <v>21</v>
      </c>
      <c r="H100">
        <v>394</v>
      </c>
      <c r="I100">
        <v>236</v>
      </c>
      <c r="J100">
        <v>158</v>
      </c>
      <c r="K100">
        <v>1</v>
      </c>
      <c r="L100">
        <f t="shared" si="5"/>
        <v>-5</v>
      </c>
      <c r="M100">
        <f t="shared" si="6"/>
        <v>-164</v>
      </c>
      <c r="N100">
        <f t="shared" si="7"/>
        <v>-66</v>
      </c>
      <c r="O100">
        <f t="shared" si="8"/>
        <v>-98</v>
      </c>
      <c r="P100">
        <f t="shared" si="9"/>
        <v>3</v>
      </c>
      <c r="Q100" t="s">
        <v>5</v>
      </c>
    </row>
    <row r="101" spans="1:17" x14ac:dyDescent="0.35">
      <c r="A101" t="s">
        <v>12</v>
      </c>
      <c r="B101">
        <v>25</v>
      </c>
      <c r="C101">
        <v>398</v>
      </c>
      <c r="D101">
        <v>229</v>
      </c>
      <c r="E101">
        <v>169</v>
      </c>
      <c r="F101">
        <v>2</v>
      </c>
      <c r="G101">
        <v>15</v>
      </c>
      <c r="H101">
        <v>236</v>
      </c>
      <c r="I101">
        <v>194</v>
      </c>
      <c r="J101">
        <v>42</v>
      </c>
      <c r="K101">
        <v>2</v>
      </c>
      <c r="L101">
        <f t="shared" si="5"/>
        <v>10</v>
      </c>
      <c r="M101">
        <f t="shared" si="6"/>
        <v>162</v>
      </c>
      <c r="N101">
        <f t="shared" si="7"/>
        <v>35</v>
      </c>
      <c r="O101">
        <f t="shared" si="8"/>
        <v>127</v>
      </c>
      <c r="P101">
        <f t="shared" si="9"/>
        <v>0</v>
      </c>
      <c r="Q101" t="s">
        <v>7</v>
      </c>
    </row>
    <row r="102" spans="1:17" x14ac:dyDescent="0.35">
      <c r="A102" t="s">
        <v>12</v>
      </c>
      <c r="B102">
        <v>13</v>
      </c>
      <c r="C102">
        <v>225</v>
      </c>
      <c r="D102">
        <v>171</v>
      </c>
      <c r="E102">
        <v>54</v>
      </c>
      <c r="F102">
        <v>1</v>
      </c>
      <c r="G102">
        <v>23</v>
      </c>
      <c r="H102">
        <v>400</v>
      </c>
      <c r="I102">
        <v>285</v>
      </c>
      <c r="J102">
        <v>115</v>
      </c>
      <c r="K102">
        <v>2</v>
      </c>
      <c r="L102">
        <f t="shared" si="5"/>
        <v>-10</v>
      </c>
      <c r="M102">
        <f t="shared" si="6"/>
        <v>-175</v>
      </c>
      <c r="N102">
        <f t="shared" si="7"/>
        <v>-114</v>
      </c>
      <c r="O102">
        <f t="shared" si="8"/>
        <v>-61</v>
      </c>
      <c r="P102">
        <f t="shared" si="9"/>
        <v>-1</v>
      </c>
      <c r="Q102" t="s">
        <v>5</v>
      </c>
    </row>
    <row r="103" spans="1:17" x14ac:dyDescent="0.35">
      <c r="A103" t="s">
        <v>11</v>
      </c>
      <c r="B103">
        <v>15</v>
      </c>
      <c r="C103">
        <v>244</v>
      </c>
      <c r="D103">
        <v>187</v>
      </c>
      <c r="E103">
        <v>57</v>
      </c>
      <c r="F103">
        <v>1</v>
      </c>
      <c r="G103">
        <v>20</v>
      </c>
      <c r="H103">
        <v>380</v>
      </c>
      <c r="I103">
        <v>265</v>
      </c>
      <c r="J103">
        <v>115</v>
      </c>
      <c r="K103">
        <v>1</v>
      </c>
      <c r="L103">
        <f t="shared" si="5"/>
        <v>-5</v>
      </c>
      <c r="M103">
        <f t="shared" si="6"/>
        <v>-136</v>
      </c>
      <c r="N103">
        <f t="shared" si="7"/>
        <v>-78</v>
      </c>
      <c r="O103">
        <f t="shared" si="8"/>
        <v>-58</v>
      </c>
      <c r="P103">
        <f t="shared" si="9"/>
        <v>0</v>
      </c>
      <c r="Q103" t="s">
        <v>5</v>
      </c>
    </row>
    <row r="104" spans="1:17" x14ac:dyDescent="0.35">
      <c r="A104" t="s">
        <v>12</v>
      </c>
      <c r="B104">
        <v>14</v>
      </c>
      <c r="C104">
        <v>300</v>
      </c>
      <c r="D104">
        <v>126</v>
      </c>
      <c r="E104">
        <v>174</v>
      </c>
      <c r="F104">
        <v>3</v>
      </c>
      <c r="G104">
        <v>24</v>
      </c>
      <c r="H104">
        <v>337</v>
      </c>
      <c r="I104">
        <v>179</v>
      </c>
      <c r="J104">
        <v>158</v>
      </c>
      <c r="K104">
        <v>1</v>
      </c>
      <c r="L104">
        <f t="shared" si="5"/>
        <v>-10</v>
      </c>
      <c r="M104">
        <f t="shared" si="6"/>
        <v>-37</v>
      </c>
      <c r="N104">
        <f t="shared" si="7"/>
        <v>-53</v>
      </c>
      <c r="O104">
        <f t="shared" si="8"/>
        <v>16</v>
      </c>
      <c r="P104">
        <f t="shared" si="9"/>
        <v>2</v>
      </c>
      <c r="Q104" t="s">
        <v>5</v>
      </c>
    </row>
    <row r="105" spans="1:17" x14ac:dyDescent="0.35">
      <c r="A105" t="s">
        <v>12</v>
      </c>
      <c r="B105">
        <v>26</v>
      </c>
      <c r="C105">
        <v>440</v>
      </c>
      <c r="D105">
        <v>258</v>
      </c>
      <c r="E105">
        <v>182</v>
      </c>
      <c r="F105">
        <v>0</v>
      </c>
      <c r="G105">
        <v>15</v>
      </c>
      <c r="H105">
        <v>349</v>
      </c>
      <c r="I105">
        <v>329</v>
      </c>
      <c r="J105">
        <v>20</v>
      </c>
      <c r="K105">
        <v>0</v>
      </c>
      <c r="L105">
        <f t="shared" si="5"/>
        <v>11</v>
      </c>
      <c r="M105">
        <f t="shared" si="6"/>
        <v>91</v>
      </c>
      <c r="N105">
        <f t="shared" si="7"/>
        <v>-71</v>
      </c>
      <c r="O105">
        <f t="shared" si="8"/>
        <v>162</v>
      </c>
      <c r="P105">
        <f t="shared" si="9"/>
        <v>0</v>
      </c>
      <c r="Q105" t="s">
        <v>7</v>
      </c>
    </row>
    <row r="106" spans="1:17" x14ac:dyDescent="0.35">
      <c r="A106" t="s">
        <v>12</v>
      </c>
      <c r="B106">
        <v>21</v>
      </c>
      <c r="C106">
        <v>471</v>
      </c>
      <c r="D106">
        <v>252</v>
      </c>
      <c r="E106">
        <v>219</v>
      </c>
      <c r="F106">
        <v>2</v>
      </c>
      <c r="G106">
        <v>23</v>
      </c>
      <c r="H106">
        <v>369</v>
      </c>
      <c r="I106">
        <v>252</v>
      </c>
      <c r="J106">
        <v>117</v>
      </c>
      <c r="K106">
        <v>1</v>
      </c>
      <c r="L106">
        <f t="shared" si="5"/>
        <v>-2</v>
      </c>
      <c r="M106">
        <f t="shared" si="6"/>
        <v>102</v>
      </c>
      <c r="N106">
        <f t="shared" si="7"/>
        <v>0</v>
      </c>
      <c r="O106">
        <f t="shared" si="8"/>
        <v>102</v>
      </c>
      <c r="P106">
        <f t="shared" si="9"/>
        <v>1</v>
      </c>
      <c r="Q106" t="s">
        <v>7</v>
      </c>
    </row>
    <row r="107" spans="1:17" x14ac:dyDescent="0.35">
      <c r="A107" t="s">
        <v>12</v>
      </c>
      <c r="B107">
        <v>26</v>
      </c>
      <c r="C107">
        <v>414</v>
      </c>
      <c r="D107">
        <v>280</v>
      </c>
      <c r="E107">
        <v>134</v>
      </c>
      <c r="F107">
        <v>3</v>
      </c>
      <c r="G107">
        <v>22</v>
      </c>
      <c r="H107">
        <v>391</v>
      </c>
      <c r="I107">
        <v>301</v>
      </c>
      <c r="J107">
        <v>90</v>
      </c>
      <c r="K107">
        <v>1</v>
      </c>
      <c r="L107">
        <f t="shared" si="5"/>
        <v>4</v>
      </c>
      <c r="M107">
        <f t="shared" si="6"/>
        <v>23</v>
      </c>
      <c r="N107">
        <f t="shared" si="7"/>
        <v>-21</v>
      </c>
      <c r="O107">
        <f t="shared" si="8"/>
        <v>44</v>
      </c>
      <c r="P107">
        <f t="shared" si="9"/>
        <v>2</v>
      </c>
      <c r="Q107" t="s">
        <v>5</v>
      </c>
    </row>
    <row r="108" spans="1:17" x14ac:dyDescent="0.35">
      <c r="A108" t="s">
        <v>12</v>
      </c>
      <c r="B108">
        <v>14</v>
      </c>
      <c r="C108">
        <v>242</v>
      </c>
      <c r="D108">
        <v>193</v>
      </c>
      <c r="E108">
        <v>49</v>
      </c>
      <c r="F108">
        <v>4</v>
      </c>
      <c r="G108">
        <v>19</v>
      </c>
      <c r="H108">
        <v>315</v>
      </c>
      <c r="I108">
        <v>241</v>
      </c>
      <c r="J108">
        <v>74</v>
      </c>
      <c r="K108">
        <v>1</v>
      </c>
      <c r="L108">
        <f t="shared" si="5"/>
        <v>-5</v>
      </c>
      <c r="M108">
        <f t="shared" si="6"/>
        <v>-73</v>
      </c>
      <c r="N108">
        <f t="shared" si="7"/>
        <v>-48</v>
      </c>
      <c r="O108">
        <f t="shared" si="8"/>
        <v>-25</v>
      </c>
      <c r="P108">
        <f t="shared" si="9"/>
        <v>3</v>
      </c>
      <c r="Q108" t="s">
        <v>5</v>
      </c>
    </row>
    <row r="109" spans="1:17" x14ac:dyDescent="0.35">
      <c r="A109" t="s">
        <v>11</v>
      </c>
      <c r="B109">
        <v>22</v>
      </c>
      <c r="C109">
        <v>419</v>
      </c>
      <c r="D109">
        <v>331</v>
      </c>
      <c r="E109">
        <v>88</v>
      </c>
      <c r="F109">
        <v>1</v>
      </c>
      <c r="G109">
        <v>19</v>
      </c>
      <c r="H109">
        <v>364</v>
      </c>
      <c r="I109">
        <v>259</v>
      </c>
      <c r="J109">
        <v>105</v>
      </c>
      <c r="K109">
        <v>1</v>
      </c>
      <c r="L109">
        <f t="shared" si="5"/>
        <v>3</v>
      </c>
      <c r="M109">
        <f t="shared" si="6"/>
        <v>55</v>
      </c>
      <c r="N109">
        <f t="shared" si="7"/>
        <v>72</v>
      </c>
      <c r="O109">
        <f t="shared" si="8"/>
        <v>-17</v>
      </c>
      <c r="P109">
        <f t="shared" si="9"/>
        <v>0</v>
      </c>
      <c r="Q109" t="s">
        <v>7</v>
      </c>
    </row>
    <row r="110" spans="1:17" x14ac:dyDescent="0.35">
      <c r="A110" t="s">
        <v>11</v>
      </c>
      <c r="B110">
        <v>17</v>
      </c>
      <c r="C110">
        <v>268</v>
      </c>
      <c r="D110">
        <v>209</v>
      </c>
      <c r="E110">
        <v>59</v>
      </c>
      <c r="F110">
        <v>1</v>
      </c>
      <c r="G110">
        <v>23</v>
      </c>
      <c r="H110">
        <v>407</v>
      </c>
      <c r="I110">
        <v>365</v>
      </c>
      <c r="J110">
        <v>42</v>
      </c>
      <c r="K110">
        <v>7</v>
      </c>
      <c r="L110">
        <f t="shared" si="5"/>
        <v>-6</v>
      </c>
      <c r="M110">
        <f t="shared" si="6"/>
        <v>-139</v>
      </c>
      <c r="N110">
        <f t="shared" si="7"/>
        <v>-156</v>
      </c>
      <c r="O110">
        <f t="shared" si="8"/>
        <v>17</v>
      </c>
      <c r="P110">
        <f t="shared" si="9"/>
        <v>-6</v>
      </c>
      <c r="Q110" t="s">
        <v>7</v>
      </c>
    </row>
    <row r="111" spans="1:17" x14ac:dyDescent="0.35">
      <c r="A111" t="s">
        <v>12</v>
      </c>
      <c r="B111">
        <v>19</v>
      </c>
      <c r="C111">
        <v>360</v>
      </c>
      <c r="D111">
        <v>219</v>
      </c>
      <c r="E111">
        <v>141</v>
      </c>
      <c r="F111">
        <v>1</v>
      </c>
      <c r="G111">
        <v>24</v>
      </c>
      <c r="H111">
        <v>425</v>
      </c>
      <c r="I111">
        <v>253</v>
      </c>
      <c r="J111">
        <v>172</v>
      </c>
      <c r="K111">
        <v>1</v>
      </c>
      <c r="L111">
        <f t="shared" si="5"/>
        <v>-5</v>
      </c>
      <c r="M111">
        <f t="shared" si="6"/>
        <v>-65</v>
      </c>
      <c r="N111">
        <f t="shared" si="7"/>
        <v>-34</v>
      </c>
      <c r="O111">
        <f t="shared" si="8"/>
        <v>-31</v>
      </c>
      <c r="P111">
        <f t="shared" si="9"/>
        <v>0</v>
      </c>
      <c r="Q111" t="s">
        <v>7</v>
      </c>
    </row>
    <row r="112" spans="1:17" x14ac:dyDescent="0.35">
      <c r="A112" t="s">
        <v>11</v>
      </c>
      <c r="B112">
        <v>14</v>
      </c>
      <c r="C112">
        <v>279</v>
      </c>
      <c r="D112">
        <v>184</v>
      </c>
      <c r="E112">
        <v>95</v>
      </c>
      <c r="F112">
        <v>0</v>
      </c>
      <c r="G112">
        <v>27</v>
      </c>
      <c r="H112">
        <v>348</v>
      </c>
      <c r="I112">
        <v>259</v>
      </c>
      <c r="J112">
        <v>89</v>
      </c>
      <c r="K112">
        <v>3</v>
      </c>
      <c r="L112">
        <f t="shared" si="5"/>
        <v>-13</v>
      </c>
      <c r="M112">
        <f t="shared" si="6"/>
        <v>-69</v>
      </c>
      <c r="N112">
        <f t="shared" si="7"/>
        <v>-75</v>
      </c>
      <c r="O112">
        <f t="shared" si="8"/>
        <v>6</v>
      </c>
      <c r="P112">
        <f t="shared" si="9"/>
        <v>-3</v>
      </c>
      <c r="Q112" t="s">
        <v>7</v>
      </c>
    </row>
    <row r="113" spans="1:17" x14ac:dyDescent="0.35">
      <c r="A113" t="s">
        <v>12</v>
      </c>
      <c r="B113">
        <v>17</v>
      </c>
      <c r="C113">
        <v>305</v>
      </c>
      <c r="D113">
        <v>188</v>
      </c>
      <c r="E113">
        <v>117</v>
      </c>
      <c r="F113">
        <v>0</v>
      </c>
      <c r="G113">
        <v>24</v>
      </c>
      <c r="H113">
        <v>381</v>
      </c>
      <c r="I113">
        <v>272</v>
      </c>
      <c r="J113">
        <v>109</v>
      </c>
      <c r="K113">
        <v>2</v>
      </c>
      <c r="L113">
        <f t="shared" si="5"/>
        <v>-7</v>
      </c>
      <c r="M113">
        <f t="shared" si="6"/>
        <v>-76</v>
      </c>
      <c r="N113">
        <f t="shared" si="7"/>
        <v>-84</v>
      </c>
      <c r="O113">
        <f t="shared" si="8"/>
        <v>8</v>
      </c>
      <c r="P113">
        <f t="shared" si="9"/>
        <v>-2</v>
      </c>
      <c r="Q113" t="s">
        <v>7</v>
      </c>
    </row>
    <row r="114" spans="1:17" x14ac:dyDescent="0.35">
      <c r="A114" t="s">
        <v>11</v>
      </c>
      <c r="B114">
        <v>15</v>
      </c>
      <c r="C114">
        <v>213</v>
      </c>
      <c r="D114">
        <v>167</v>
      </c>
      <c r="E114">
        <v>46</v>
      </c>
      <c r="F114">
        <v>3</v>
      </c>
      <c r="G114">
        <v>21</v>
      </c>
      <c r="H114">
        <v>389</v>
      </c>
      <c r="I114">
        <v>278</v>
      </c>
      <c r="J114">
        <v>111</v>
      </c>
      <c r="K114">
        <v>1</v>
      </c>
      <c r="L114">
        <f t="shared" si="5"/>
        <v>-6</v>
      </c>
      <c r="M114">
        <f t="shared" si="6"/>
        <v>-176</v>
      </c>
      <c r="N114">
        <f t="shared" si="7"/>
        <v>-111</v>
      </c>
      <c r="O114">
        <f t="shared" si="8"/>
        <v>-65</v>
      </c>
      <c r="P114">
        <f t="shared" si="9"/>
        <v>2</v>
      </c>
      <c r="Q114" t="s">
        <v>5</v>
      </c>
    </row>
    <row r="115" spans="1:17" x14ac:dyDescent="0.35">
      <c r="A115" t="s">
        <v>12</v>
      </c>
      <c r="B115">
        <v>20</v>
      </c>
      <c r="C115">
        <v>313</v>
      </c>
      <c r="D115">
        <v>193</v>
      </c>
      <c r="E115">
        <v>120</v>
      </c>
      <c r="F115">
        <v>2</v>
      </c>
      <c r="G115">
        <v>20</v>
      </c>
      <c r="H115">
        <v>290</v>
      </c>
      <c r="I115">
        <v>201</v>
      </c>
      <c r="J115">
        <v>89</v>
      </c>
      <c r="K115">
        <v>1</v>
      </c>
      <c r="L115">
        <f t="shared" si="5"/>
        <v>0</v>
      </c>
      <c r="M115">
        <f t="shared" si="6"/>
        <v>23</v>
      </c>
      <c r="N115">
        <f t="shared" si="7"/>
        <v>-8</v>
      </c>
      <c r="O115">
        <f t="shared" si="8"/>
        <v>31</v>
      </c>
      <c r="P115">
        <f t="shared" si="9"/>
        <v>1</v>
      </c>
      <c r="Q115" t="s">
        <v>5</v>
      </c>
    </row>
    <row r="116" spans="1:17" x14ac:dyDescent="0.35">
      <c r="A116" t="s">
        <v>11</v>
      </c>
      <c r="B116">
        <v>18</v>
      </c>
      <c r="C116">
        <v>313</v>
      </c>
      <c r="D116">
        <v>204</v>
      </c>
      <c r="E116">
        <v>109</v>
      </c>
      <c r="F116">
        <v>1</v>
      </c>
      <c r="G116">
        <v>14</v>
      </c>
      <c r="H116">
        <v>252</v>
      </c>
      <c r="I116">
        <v>150</v>
      </c>
      <c r="J116">
        <v>102</v>
      </c>
      <c r="K116">
        <v>0</v>
      </c>
      <c r="L116">
        <f t="shared" si="5"/>
        <v>4</v>
      </c>
      <c r="M116">
        <f t="shared" si="6"/>
        <v>61</v>
      </c>
      <c r="N116">
        <f t="shared" si="7"/>
        <v>54</v>
      </c>
      <c r="O116">
        <f t="shared" si="8"/>
        <v>7</v>
      </c>
      <c r="P116">
        <f t="shared" si="9"/>
        <v>1</v>
      </c>
      <c r="Q116" t="s">
        <v>7</v>
      </c>
    </row>
    <row r="117" spans="1:17" x14ac:dyDescent="0.35">
      <c r="A117" t="s">
        <v>12</v>
      </c>
      <c r="B117">
        <v>23</v>
      </c>
      <c r="C117">
        <v>388</v>
      </c>
      <c r="D117">
        <v>225</v>
      </c>
      <c r="E117">
        <v>163</v>
      </c>
      <c r="F117">
        <v>0</v>
      </c>
      <c r="G117">
        <v>26</v>
      </c>
      <c r="H117">
        <v>401</v>
      </c>
      <c r="I117">
        <v>281</v>
      </c>
      <c r="J117">
        <v>120</v>
      </c>
      <c r="K117">
        <v>2</v>
      </c>
      <c r="L117">
        <f t="shared" si="5"/>
        <v>-3</v>
      </c>
      <c r="M117">
        <f t="shared" si="6"/>
        <v>-13</v>
      </c>
      <c r="N117">
        <f t="shared" si="7"/>
        <v>-56</v>
      </c>
      <c r="O117">
        <f t="shared" si="8"/>
        <v>43</v>
      </c>
      <c r="P117">
        <f t="shared" si="9"/>
        <v>-2</v>
      </c>
      <c r="Q117" t="s">
        <v>7</v>
      </c>
    </row>
    <row r="118" spans="1:17" x14ac:dyDescent="0.35">
      <c r="A118" t="s">
        <v>12</v>
      </c>
      <c r="B118">
        <v>17</v>
      </c>
      <c r="C118">
        <v>236</v>
      </c>
      <c r="D118">
        <v>165</v>
      </c>
      <c r="E118">
        <v>71</v>
      </c>
      <c r="F118">
        <v>3</v>
      </c>
      <c r="G118">
        <v>20</v>
      </c>
      <c r="H118">
        <v>275</v>
      </c>
      <c r="I118">
        <v>135</v>
      </c>
      <c r="J118">
        <v>140</v>
      </c>
      <c r="K118">
        <v>2</v>
      </c>
      <c r="L118">
        <f t="shared" si="5"/>
        <v>-3</v>
      </c>
      <c r="M118">
        <f t="shared" si="6"/>
        <v>-39</v>
      </c>
      <c r="N118">
        <f t="shared" si="7"/>
        <v>30</v>
      </c>
      <c r="O118">
        <f t="shared" si="8"/>
        <v>-69</v>
      </c>
      <c r="P118">
        <f t="shared" si="9"/>
        <v>1</v>
      </c>
      <c r="Q118" t="s">
        <v>5</v>
      </c>
    </row>
    <row r="119" spans="1:17" x14ac:dyDescent="0.35">
      <c r="A119" t="s">
        <v>12</v>
      </c>
      <c r="B119">
        <v>18</v>
      </c>
      <c r="C119">
        <v>341</v>
      </c>
      <c r="D119">
        <v>167</v>
      </c>
      <c r="E119">
        <v>174</v>
      </c>
      <c r="F119">
        <v>1</v>
      </c>
      <c r="G119">
        <v>18</v>
      </c>
      <c r="H119">
        <v>262</v>
      </c>
      <c r="I119">
        <v>141</v>
      </c>
      <c r="J119">
        <v>121</v>
      </c>
      <c r="K119">
        <v>1</v>
      </c>
      <c r="L119">
        <f t="shared" si="5"/>
        <v>0</v>
      </c>
      <c r="M119">
        <f t="shared" si="6"/>
        <v>79</v>
      </c>
      <c r="N119">
        <f t="shared" si="7"/>
        <v>26</v>
      </c>
      <c r="O119">
        <f t="shared" si="8"/>
        <v>53</v>
      </c>
      <c r="P119">
        <f t="shared" si="9"/>
        <v>0</v>
      </c>
      <c r="Q119" t="s">
        <v>7</v>
      </c>
    </row>
    <row r="120" spans="1:17" x14ac:dyDescent="0.35">
      <c r="A120" t="s">
        <v>12</v>
      </c>
      <c r="B120">
        <v>22</v>
      </c>
      <c r="C120">
        <v>517</v>
      </c>
      <c r="D120">
        <v>294</v>
      </c>
      <c r="E120">
        <v>223</v>
      </c>
      <c r="F120">
        <v>1</v>
      </c>
      <c r="G120">
        <v>13</v>
      </c>
      <c r="H120">
        <v>271</v>
      </c>
      <c r="I120">
        <v>183</v>
      </c>
      <c r="J120">
        <v>88</v>
      </c>
      <c r="K120">
        <v>2</v>
      </c>
      <c r="L120">
        <f t="shared" si="5"/>
        <v>9</v>
      </c>
      <c r="M120">
        <f t="shared" si="6"/>
        <v>246</v>
      </c>
      <c r="N120">
        <f t="shared" si="7"/>
        <v>111</v>
      </c>
      <c r="O120">
        <f t="shared" si="8"/>
        <v>135</v>
      </c>
      <c r="P120">
        <f t="shared" si="9"/>
        <v>-1</v>
      </c>
      <c r="Q120" t="s">
        <v>7</v>
      </c>
    </row>
    <row r="121" spans="1:17" x14ac:dyDescent="0.35">
      <c r="A121" t="s">
        <v>12</v>
      </c>
      <c r="B121">
        <v>21</v>
      </c>
      <c r="C121">
        <v>394</v>
      </c>
      <c r="D121">
        <v>236</v>
      </c>
      <c r="E121">
        <v>158</v>
      </c>
      <c r="F121">
        <v>1</v>
      </c>
      <c r="G121">
        <v>16</v>
      </c>
      <c r="H121">
        <v>230</v>
      </c>
      <c r="I121">
        <v>170</v>
      </c>
      <c r="J121">
        <v>60</v>
      </c>
      <c r="K121">
        <v>4</v>
      </c>
      <c r="L121">
        <f t="shared" si="5"/>
        <v>5</v>
      </c>
      <c r="M121">
        <f t="shared" si="6"/>
        <v>164</v>
      </c>
      <c r="N121">
        <f t="shared" si="7"/>
        <v>66</v>
      </c>
      <c r="O121">
        <f t="shared" si="8"/>
        <v>98</v>
      </c>
      <c r="P121">
        <f t="shared" si="9"/>
        <v>-3</v>
      </c>
      <c r="Q121" t="s">
        <v>7</v>
      </c>
    </row>
    <row r="122" spans="1:17" x14ac:dyDescent="0.35">
      <c r="A122" t="s">
        <v>12</v>
      </c>
      <c r="B122">
        <v>25</v>
      </c>
      <c r="C122">
        <v>324</v>
      </c>
      <c r="D122">
        <v>106</v>
      </c>
      <c r="E122">
        <v>218</v>
      </c>
      <c r="F122">
        <v>0</v>
      </c>
      <c r="G122">
        <v>19</v>
      </c>
      <c r="H122">
        <v>286</v>
      </c>
      <c r="I122">
        <v>199</v>
      </c>
      <c r="J122">
        <v>87</v>
      </c>
      <c r="K122">
        <v>3</v>
      </c>
      <c r="L122">
        <f t="shared" si="5"/>
        <v>6</v>
      </c>
      <c r="M122">
        <f t="shared" si="6"/>
        <v>38</v>
      </c>
      <c r="N122">
        <f t="shared" si="7"/>
        <v>-93</v>
      </c>
      <c r="O122">
        <f t="shared" si="8"/>
        <v>131</v>
      </c>
      <c r="P122">
        <f t="shared" si="9"/>
        <v>-3</v>
      </c>
      <c r="Q122" t="s">
        <v>7</v>
      </c>
    </row>
    <row r="123" spans="1:17" x14ac:dyDescent="0.35">
      <c r="A123" t="s">
        <v>12</v>
      </c>
      <c r="B123">
        <v>15</v>
      </c>
      <c r="C123">
        <v>252</v>
      </c>
      <c r="D123">
        <v>164</v>
      </c>
      <c r="E123">
        <v>88</v>
      </c>
      <c r="F123">
        <v>0</v>
      </c>
      <c r="G123">
        <v>27</v>
      </c>
      <c r="H123">
        <v>525</v>
      </c>
      <c r="I123">
        <v>330</v>
      </c>
      <c r="J123">
        <v>195</v>
      </c>
      <c r="K123">
        <v>0</v>
      </c>
      <c r="L123">
        <f t="shared" si="5"/>
        <v>-12</v>
      </c>
      <c r="M123">
        <f t="shared" si="6"/>
        <v>-273</v>
      </c>
      <c r="N123">
        <f t="shared" si="7"/>
        <v>-166</v>
      </c>
      <c r="O123">
        <f t="shared" si="8"/>
        <v>-107</v>
      </c>
      <c r="P123">
        <f t="shared" si="9"/>
        <v>0</v>
      </c>
      <c r="Q123" t="s">
        <v>5</v>
      </c>
    </row>
    <row r="124" spans="1:17" x14ac:dyDescent="0.35">
      <c r="A124" t="s">
        <v>12</v>
      </c>
      <c r="B124">
        <v>18</v>
      </c>
      <c r="C124">
        <v>268</v>
      </c>
      <c r="D124">
        <v>146</v>
      </c>
      <c r="E124">
        <v>122</v>
      </c>
      <c r="F124">
        <v>0</v>
      </c>
      <c r="G124">
        <v>12</v>
      </c>
      <c r="H124">
        <v>243</v>
      </c>
      <c r="I124">
        <v>116</v>
      </c>
      <c r="J124">
        <v>127</v>
      </c>
      <c r="K124">
        <v>0</v>
      </c>
      <c r="L124">
        <f t="shared" si="5"/>
        <v>6</v>
      </c>
      <c r="M124">
        <f t="shared" si="6"/>
        <v>25</v>
      </c>
      <c r="N124">
        <f t="shared" si="7"/>
        <v>30</v>
      </c>
      <c r="O124">
        <f t="shared" si="8"/>
        <v>-5</v>
      </c>
      <c r="P124">
        <f t="shared" si="9"/>
        <v>0</v>
      </c>
      <c r="Q124" t="s">
        <v>7</v>
      </c>
    </row>
    <row r="125" spans="1:17" x14ac:dyDescent="0.35">
      <c r="A125" t="s">
        <v>11</v>
      </c>
      <c r="B125">
        <v>17</v>
      </c>
      <c r="C125">
        <v>267</v>
      </c>
      <c r="D125">
        <v>193</v>
      </c>
      <c r="E125">
        <v>74</v>
      </c>
      <c r="F125">
        <v>1</v>
      </c>
      <c r="G125">
        <v>13</v>
      </c>
      <c r="H125">
        <v>283</v>
      </c>
      <c r="I125">
        <v>173</v>
      </c>
      <c r="J125">
        <v>110</v>
      </c>
      <c r="K125">
        <v>2</v>
      </c>
      <c r="L125">
        <f t="shared" si="5"/>
        <v>4</v>
      </c>
      <c r="M125">
        <f t="shared" si="6"/>
        <v>-16</v>
      </c>
      <c r="N125">
        <f t="shared" si="7"/>
        <v>20</v>
      </c>
      <c r="O125">
        <f t="shared" si="8"/>
        <v>-36</v>
      </c>
      <c r="P125">
        <f t="shared" si="9"/>
        <v>-1</v>
      </c>
      <c r="Q125" t="s">
        <v>5</v>
      </c>
    </row>
    <row r="126" spans="1:17" x14ac:dyDescent="0.35">
      <c r="A126" t="s">
        <v>12</v>
      </c>
      <c r="B126">
        <v>18</v>
      </c>
      <c r="C126">
        <v>324</v>
      </c>
      <c r="D126">
        <v>288</v>
      </c>
      <c r="E126">
        <v>36</v>
      </c>
      <c r="F126">
        <v>1</v>
      </c>
      <c r="G126">
        <v>25</v>
      </c>
      <c r="H126">
        <v>331</v>
      </c>
      <c r="I126">
        <v>151</v>
      </c>
      <c r="J126">
        <v>180</v>
      </c>
      <c r="K126">
        <v>1</v>
      </c>
      <c r="L126">
        <f t="shared" si="5"/>
        <v>-7</v>
      </c>
      <c r="M126">
        <f t="shared" si="6"/>
        <v>-7</v>
      </c>
      <c r="N126">
        <f t="shared" si="7"/>
        <v>137</v>
      </c>
      <c r="O126">
        <f t="shared" si="8"/>
        <v>-144</v>
      </c>
      <c r="P126">
        <f t="shared" si="9"/>
        <v>0</v>
      </c>
      <c r="Q126" t="s">
        <v>5</v>
      </c>
    </row>
    <row r="127" spans="1:17" x14ac:dyDescent="0.35">
      <c r="A127" t="s">
        <v>11</v>
      </c>
      <c r="B127">
        <v>15</v>
      </c>
      <c r="C127">
        <v>313</v>
      </c>
      <c r="D127">
        <v>239</v>
      </c>
      <c r="E127">
        <v>74</v>
      </c>
      <c r="F127">
        <v>3</v>
      </c>
      <c r="G127">
        <v>22</v>
      </c>
      <c r="H127">
        <v>361</v>
      </c>
      <c r="I127">
        <v>182</v>
      </c>
      <c r="J127">
        <v>179</v>
      </c>
      <c r="K127">
        <v>1</v>
      </c>
      <c r="L127">
        <f t="shared" si="5"/>
        <v>-7</v>
      </c>
      <c r="M127">
        <f t="shared" si="6"/>
        <v>-48</v>
      </c>
      <c r="N127">
        <f t="shared" si="7"/>
        <v>57</v>
      </c>
      <c r="O127">
        <f t="shared" si="8"/>
        <v>-105</v>
      </c>
      <c r="P127">
        <f t="shared" si="9"/>
        <v>2</v>
      </c>
      <c r="Q127" t="s">
        <v>5</v>
      </c>
    </row>
    <row r="128" spans="1:17" x14ac:dyDescent="0.35">
      <c r="A128" t="s">
        <v>11</v>
      </c>
      <c r="B128">
        <v>16</v>
      </c>
      <c r="C128">
        <v>311</v>
      </c>
      <c r="D128">
        <v>257</v>
      </c>
      <c r="E128">
        <v>54</v>
      </c>
      <c r="F128">
        <v>1</v>
      </c>
      <c r="G128">
        <v>23</v>
      </c>
      <c r="H128">
        <v>431</v>
      </c>
      <c r="I128">
        <v>313</v>
      </c>
      <c r="J128">
        <v>118</v>
      </c>
      <c r="K128">
        <v>0</v>
      </c>
      <c r="L128">
        <f t="shared" si="5"/>
        <v>-7</v>
      </c>
      <c r="M128">
        <f t="shared" si="6"/>
        <v>-120</v>
      </c>
      <c r="N128">
        <f t="shared" si="7"/>
        <v>-56</v>
      </c>
      <c r="O128">
        <f t="shared" si="8"/>
        <v>-64</v>
      </c>
      <c r="P128">
        <f t="shared" si="9"/>
        <v>1</v>
      </c>
      <c r="Q128" t="s">
        <v>5</v>
      </c>
    </row>
    <row r="129" spans="1:17" x14ac:dyDescent="0.35">
      <c r="A129" t="s">
        <v>12</v>
      </c>
      <c r="B129">
        <v>19</v>
      </c>
      <c r="C129">
        <v>334</v>
      </c>
      <c r="D129">
        <v>215</v>
      </c>
      <c r="E129">
        <v>119</v>
      </c>
      <c r="F129">
        <v>2</v>
      </c>
      <c r="G129">
        <v>24</v>
      </c>
      <c r="H129">
        <v>395</v>
      </c>
      <c r="I129">
        <v>323</v>
      </c>
      <c r="J129">
        <v>72</v>
      </c>
      <c r="K129">
        <v>1</v>
      </c>
      <c r="L129">
        <f t="shared" si="5"/>
        <v>-5</v>
      </c>
      <c r="M129">
        <f t="shared" si="6"/>
        <v>-61</v>
      </c>
      <c r="N129">
        <f t="shared" si="7"/>
        <v>-108</v>
      </c>
      <c r="O129">
        <f t="shared" si="8"/>
        <v>47</v>
      </c>
      <c r="P129">
        <f t="shared" si="9"/>
        <v>1</v>
      </c>
      <c r="Q129" t="s">
        <v>7</v>
      </c>
    </row>
    <row r="130" spans="1:17" x14ac:dyDescent="0.35">
      <c r="A130" t="s">
        <v>11</v>
      </c>
      <c r="B130">
        <v>18</v>
      </c>
      <c r="C130">
        <v>273</v>
      </c>
      <c r="D130">
        <v>120</v>
      </c>
      <c r="E130">
        <v>153</v>
      </c>
      <c r="F130">
        <v>0</v>
      </c>
      <c r="G130">
        <v>27</v>
      </c>
      <c r="H130">
        <v>372</v>
      </c>
      <c r="I130">
        <v>282</v>
      </c>
      <c r="J130">
        <v>90</v>
      </c>
      <c r="K130">
        <v>1</v>
      </c>
      <c r="L130">
        <f t="shared" ref="L130:L193" si="10">B130-G130</f>
        <v>-9</v>
      </c>
      <c r="M130">
        <f t="shared" ref="M130:M193" si="11">C130-H130</f>
        <v>-99</v>
      </c>
      <c r="N130">
        <f t="shared" ref="N130:N193" si="12">D130-I130</f>
        <v>-162</v>
      </c>
      <c r="O130">
        <f t="shared" ref="O130:O193" si="13">E130-J130</f>
        <v>63</v>
      </c>
      <c r="P130">
        <f t="shared" ref="P130:P193" si="14">F130-K130</f>
        <v>-1</v>
      </c>
      <c r="Q130" t="s">
        <v>7</v>
      </c>
    </row>
    <row r="131" spans="1:17" x14ac:dyDescent="0.35">
      <c r="A131" t="s">
        <v>12</v>
      </c>
      <c r="B131">
        <v>19</v>
      </c>
      <c r="C131">
        <v>367</v>
      </c>
      <c r="D131">
        <v>310</v>
      </c>
      <c r="E131">
        <v>57</v>
      </c>
      <c r="F131">
        <v>3</v>
      </c>
      <c r="G131">
        <v>18</v>
      </c>
      <c r="H131">
        <v>286</v>
      </c>
      <c r="I131">
        <v>237</v>
      </c>
      <c r="J131">
        <v>49</v>
      </c>
      <c r="K131">
        <v>3</v>
      </c>
      <c r="L131">
        <f t="shared" si="10"/>
        <v>1</v>
      </c>
      <c r="M131">
        <f t="shared" si="11"/>
        <v>81</v>
      </c>
      <c r="N131">
        <f t="shared" si="12"/>
        <v>73</v>
      </c>
      <c r="O131">
        <f t="shared" si="13"/>
        <v>8</v>
      </c>
      <c r="P131">
        <f t="shared" si="14"/>
        <v>0</v>
      </c>
      <c r="Q131" t="s">
        <v>7</v>
      </c>
    </row>
    <row r="132" spans="1:17" x14ac:dyDescent="0.35">
      <c r="A132" t="s">
        <v>11</v>
      </c>
      <c r="B132">
        <v>24</v>
      </c>
      <c r="C132">
        <v>424</v>
      </c>
      <c r="D132">
        <v>273</v>
      </c>
      <c r="E132">
        <v>151</v>
      </c>
      <c r="F132">
        <v>0</v>
      </c>
      <c r="G132">
        <v>16</v>
      </c>
      <c r="H132">
        <v>252</v>
      </c>
      <c r="I132">
        <v>235</v>
      </c>
      <c r="J132">
        <v>17</v>
      </c>
      <c r="K132">
        <v>2</v>
      </c>
      <c r="L132">
        <f t="shared" si="10"/>
        <v>8</v>
      </c>
      <c r="M132">
        <f t="shared" si="11"/>
        <v>172</v>
      </c>
      <c r="N132">
        <f t="shared" si="12"/>
        <v>38</v>
      </c>
      <c r="O132">
        <f t="shared" si="13"/>
        <v>134</v>
      </c>
      <c r="P132">
        <f t="shared" si="14"/>
        <v>-2</v>
      </c>
      <c r="Q132" t="s">
        <v>7</v>
      </c>
    </row>
    <row r="133" spans="1:17" x14ac:dyDescent="0.35">
      <c r="A133" t="s">
        <v>12</v>
      </c>
      <c r="B133">
        <v>20</v>
      </c>
      <c r="C133">
        <v>382</v>
      </c>
      <c r="D133">
        <v>326</v>
      </c>
      <c r="E133">
        <v>56</v>
      </c>
      <c r="F133">
        <v>1</v>
      </c>
      <c r="G133">
        <v>26</v>
      </c>
      <c r="H133">
        <v>399</v>
      </c>
      <c r="I133">
        <v>270</v>
      </c>
      <c r="J133">
        <v>129</v>
      </c>
      <c r="K133">
        <v>0</v>
      </c>
      <c r="L133">
        <f t="shared" si="10"/>
        <v>-6</v>
      </c>
      <c r="M133">
        <f t="shared" si="11"/>
        <v>-17</v>
      </c>
      <c r="N133">
        <f t="shared" si="12"/>
        <v>56</v>
      </c>
      <c r="O133">
        <f t="shared" si="13"/>
        <v>-73</v>
      </c>
      <c r="P133">
        <f t="shared" si="14"/>
        <v>1</v>
      </c>
      <c r="Q133" t="s">
        <v>7</v>
      </c>
    </row>
    <row r="134" spans="1:17" x14ac:dyDescent="0.35">
      <c r="A134" t="s">
        <v>11</v>
      </c>
      <c r="B134">
        <v>14</v>
      </c>
      <c r="C134">
        <v>271</v>
      </c>
      <c r="D134">
        <v>191</v>
      </c>
      <c r="E134">
        <v>80</v>
      </c>
      <c r="F134">
        <v>0</v>
      </c>
      <c r="G134">
        <v>15</v>
      </c>
      <c r="H134">
        <v>205</v>
      </c>
      <c r="I134">
        <v>134</v>
      </c>
      <c r="J134">
        <v>71</v>
      </c>
      <c r="K134">
        <v>1</v>
      </c>
      <c r="L134">
        <f t="shared" si="10"/>
        <v>-1</v>
      </c>
      <c r="M134">
        <f t="shared" si="11"/>
        <v>66</v>
      </c>
      <c r="N134">
        <f t="shared" si="12"/>
        <v>57</v>
      </c>
      <c r="O134">
        <f t="shared" si="13"/>
        <v>9</v>
      </c>
      <c r="P134">
        <f t="shared" si="14"/>
        <v>-1</v>
      </c>
      <c r="Q134" t="s">
        <v>7</v>
      </c>
    </row>
    <row r="135" spans="1:17" x14ac:dyDescent="0.35">
      <c r="A135" t="s">
        <v>12</v>
      </c>
      <c r="B135">
        <v>24</v>
      </c>
      <c r="C135">
        <v>442</v>
      </c>
      <c r="D135">
        <v>283</v>
      </c>
      <c r="E135">
        <v>159</v>
      </c>
      <c r="F135">
        <v>0</v>
      </c>
      <c r="G135">
        <v>13</v>
      </c>
      <c r="H135">
        <v>184</v>
      </c>
      <c r="I135">
        <v>139</v>
      </c>
      <c r="J135">
        <v>45</v>
      </c>
      <c r="K135">
        <v>0</v>
      </c>
      <c r="L135">
        <f t="shared" si="10"/>
        <v>11</v>
      </c>
      <c r="M135">
        <f t="shared" si="11"/>
        <v>258</v>
      </c>
      <c r="N135">
        <f t="shared" si="12"/>
        <v>144</v>
      </c>
      <c r="O135">
        <f t="shared" si="13"/>
        <v>114</v>
      </c>
      <c r="P135">
        <f t="shared" si="14"/>
        <v>0</v>
      </c>
      <c r="Q135" t="s">
        <v>7</v>
      </c>
    </row>
    <row r="136" spans="1:17" x14ac:dyDescent="0.35">
      <c r="A136" t="s">
        <v>12</v>
      </c>
      <c r="B136">
        <v>17</v>
      </c>
      <c r="C136">
        <v>293</v>
      </c>
      <c r="D136">
        <v>189</v>
      </c>
      <c r="E136">
        <v>104</v>
      </c>
      <c r="F136">
        <v>0</v>
      </c>
      <c r="G136">
        <v>18</v>
      </c>
      <c r="H136">
        <v>236</v>
      </c>
      <c r="I136">
        <v>178</v>
      </c>
      <c r="J136">
        <v>58</v>
      </c>
      <c r="K136">
        <v>4</v>
      </c>
      <c r="L136">
        <f t="shared" si="10"/>
        <v>-1</v>
      </c>
      <c r="M136">
        <f t="shared" si="11"/>
        <v>57</v>
      </c>
      <c r="N136">
        <f t="shared" si="12"/>
        <v>11</v>
      </c>
      <c r="O136">
        <f t="shared" si="13"/>
        <v>46</v>
      </c>
      <c r="P136">
        <f t="shared" si="14"/>
        <v>-4</v>
      </c>
      <c r="Q136" t="s">
        <v>7</v>
      </c>
    </row>
    <row r="137" spans="1:17" x14ac:dyDescent="0.35">
      <c r="A137" t="s">
        <v>11</v>
      </c>
      <c r="B137">
        <v>10</v>
      </c>
      <c r="C137">
        <v>164</v>
      </c>
      <c r="D137">
        <v>102</v>
      </c>
      <c r="E137">
        <v>62</v>
      </c>
      <c r="F137">
        <v>1</v>
      </c>
      <c r="G137">
        <v>26</v>
      </c>
      <c r="H137">
        <v>373</v>
      </c>
      <c r="I137">
        <v>227</v>
      </c>
      <c r="J137">
        <v>146</v>
      </c>
      <c r="K137">
        <v>0</v>
      </c>
      <c r="L137">
        <f t="shared" si="10"/>
        <v>-16</v>
      </c>
      <c r="M137">
        <f t="shared" si="11"/>
        <v>-209</v>
      </c>
      <c r="N137">
        <f t="shared" si="12"/>
        <v>-125</v>
      </c>
      <c r="O137">
        <f t="shared" si="13"/>
        <v>-84</v>
      </c>
      <c r="P137">
        <f t="shared" si="14"/>
        <v>1</v>
      </c>
      <c r="Q137" t="s">
        <v>5</v>
      </c>
    </row>
    <row r="138" spans="1:17" x14ac:dyDescent="0.35">
      <c r="A138" t="s">
        <v>11</v>
      </c>
      <c r="B138">
        <v>14</v>
      </c>
      <c r="C138">
        <v>340</v>
      </c>
      <c r="D138">
        <v>141</v>
      </c>
      <c r="E138">
        <v>199</v>
      </c>
      <c r="F138">
        <v>0</v>
      </c>
      <c r="G138">
        <v>20</v>
      </c>
      <c r="H138">
        <v>347</v>
      </c>
      <c r="I138">
        <v>241</v>
      </c>
      <c r="J138">
        <v>106</v>
      </c>
      <c r="K138">
        <v>2</v>
      </c>
      <c r="L138">
        <f t="shared" si="10"/>
        <v>-6</v>
      </c>
      <c r="M138">
        <f t="shared" si="11"/>
        <v>-7</v>
      </c>
      <c r="N138">
        <f t="shared" si="12"/>
        <v>-100</v>
      </c>
      <c r="O138">
        <f t="shared" si="13"/>
        <v>93</v>
      </c>
      <c r="P138">
        <f t="shared" si="14"/>
        <v>-2</v>
      </c>
      <c r="Q138" t="s">
        <v>7</v>
      </c>
    </row>
    <row r="139" spans="1:17" x14ac:dyDescent="0.35">
      <c r="A139" t="s">
        <v>12</v>
      </c>
      <c r="B139">
        <v>19</v>
      </c>
      <c r="C139">
        <v>371</v>
      </c>
      <c r="D139">
        <v>146</v>
      </c>
      <c r="E139">
        <v>225</v>
      </c>
      <c r="F139">
        <v>1</v>
      </c>
      <c r="G139">
        <v>28</v>
      </c>
      <c r="H139">
        <v>530</v>
      </c>
      <c r="I139">
        <v>433</v>
      </c>
      <c r="J139">
        <v>97</v>
      </c>
      <c r="K139">
        <v>1</v>
      </c>
      <c r="L139">
        <f t="shared" si="10"/>
        <v>-9</v>
      </c>
      <c r="M139">
        <f t="shared" si="11"/>
        <v>-159</v>
      </c>
      <c r="N139">
        <f t="shared" si="12"/>
        <v>-287</v>
      </c>
      <c r="O139">
        <f t="shared" si="13"/>
        <v>128</v>
      </c>
      <c r="P139">
        <f t="shared" si="14"/>
        <v>0</v>
      </c>
      <c r="Q139" t="s">
        <v>7</v>
      </c>
    </row>
    <row r="140" spans="1:17" x14ac:dyDescent="0.35">
      <c r="A140" t="s">
        <v>11</v>
      </c>
      <c r="B140">
        <v>15</v>
      </c>
      <c r="C140">
        <v>331</v>
      </c>
      <c r="D140">
        <v>157</v>
      </c>
      <c r="E140">
        <v>174</v>
      </c>
      <c r="F140">
        <v>1</v>
      </c>
      <c r="G140">
        <v>21</v>
      </c>
      <c r="H140">
        <v>283</v>
      </c>
      <c r="I140">
        <v>105</v>
      </c>
      <c r="J140">
        <v>178</v>
      </c>
      <c r="K140">
        <v>1</v>
      </c>
      <c r="L140">
        <f t="shared" si="10"/>
        <v>-6</v>
      </c>
      <c r="M140">
        <f t="shared" si="11"/>
        <v>48</v>
      </c>
      <c r="N140">
        <f t="shared" si="12"/>
        <v>52</v>
      </c>
      <c r="O140">
        <f t="shared" si="13"/>
        <v>-4</v>
      </c>
      <c r="P140">
        <f t="shared" si="14"/>
        <v>0</v>
      </c>
      <c r="Q140" t="s">
        <v>5</v>
      </c>
    </row>
    <row r="141" spans="1:17" x14ac:dyDescent="0.35">
      <c r="A141" t="s">
        <v>11</v>
      </c>
      <c r="B141">
        <v>26</v>
      </c>
      <c r="C141">
        <v>315</v>
      </c>
      <c r="D141">
        <v>169</v>
      </c>
      <c r="E141">
        <v>146</v>
      </c>
      <c r="F141">
        <v>3</v>
      </c>
      <c r="G141">
        <v>18</v>
      </c>
      <c r="H141">
        <v>278</v>
      </c>
      <c r="I141">
        <v>200</v>
      </c>
      <c r="J141">
        <v>78</v>
      </c>
      <c r="K141">
        <v>0</v>
      </c>
      <c r="L141">
        <f t="shared" si="10"/>
        <v>8</v>
      </c>
      <c r="M141">
        <f t="shared" si="11"/>
        <v>37</v>
      </c>
      <c r="N141">
        <f t="shared" si="12"/>
        <v>-31</v>
      </c>
      <c r="O141">
        <f t="shared" si="13"/>
        <v>68</v>
      </c>
      <c r="P141">
        <f t="shared" si="14"/>
        <v>3</v>
      </c>
      <c r="Q141" t="s">
        <v>5</v>
      </c>
    </row>
    <row r="142" spans="1:17" x14ac:dyDescent="0.35">
      <c r="A142" t="s">
        <v>11</v>
      </c>
      <c r="B142">
        <v>22</v>
      </c>
      <c r="C142">
        <v>331</v>
      </c>
      <c r="D142">
        <v>232</v>
      </c>
      <c r="E142">
        <v>99</v>
      </c>
      <c r="F142">
        <v>2</v>
      </c>
      <c r="G142">
        <v>10</v>
      </c>
      <c r="H142">
        <v>157</v>
      </c>
      <c r="I142">
        <v>48</v>
      </c>
      <c r="J142">
        <v>109</v>
      </c>
      <c r="K142">
        <v>1</v>
      </c>
      <c r="L142">
        <f t="shared" si="10"/>
        <v>12</v>
      </c>
      <c r="M142">
        <f t="shared" si="11"/>
        <v>174</v>
      </c>
      <c r="N142">
        <f t="shared" si="12"/>
        <v>184</v>
      </c>
      <c r="O142">
        <f t="shared" si="13"/>
        <v>-10</v>
      </c>
      <c r="P142">
        <f t="shared" si="14"/>
        <v>1</v>
      </c>
      <c r="Q142" t="s">
        <v>7</v>
      </c>
    </row>
    <row r="143" spans="1:17" x14ac:dyDescent="0.35">
      <c r="A143" t="s">
        <v>12</v>
      </c>
      <c r="B143">
        <v>16</v>
      </c>
      <c r="C143">
        <v>396</v>
      </c>
      <c r="D143">
        <v>297</v>
      </c>
      <c r="E143">
        <v>99</v>
      </c>
      <c r="F143">
        <v>1</v>
      </c>
      <c r="G143">
        <v>19</v>
      </c>
      <c r="H143">
        <v>296</v>
      </c>
      <c r="I143">
        <v>121</v>
      </c>
      <c r="J143">
        <v>175</v>
      </c>
      <c r="K143">
        <v>0</v>
      </c>
      <c r="L143">
        <f t="shared" si="10"/>
        <v>-3</v>
      </c>
      <c r="M143">
        <f t="shared" si="11"/>
        <v>100</v>
      </c>
      <c r="N143">
        <f t="shared" si="12"/>
        <v>176</v>
      </c>
      <c r="O143">
        <f t="shared" si="13"/>
        <v>-76</v>
      </c>
      <c r="P143">
        <f t="shared" si="14"/>
        <v>1</v>
      </c>
      <c r="Q143" t="s">
        <v>7</v>
      </c>
    </row>
    <row r="144" spans="1:17" x14ac:dyDescent="0.35">
      <c r="A144" t="s">
        <v>11</v>
      </c>
      <c r="B144">
        <v>25</v>
      </c>
      <c r="C144">
        <v>393</v>
      </c>
      <c r="D144">
        <v>241</v>
      </c>
      <c r="E144">
        <v>152</v>
      </c>
      <c r="F144">
        <v>2</v>
      </c>
      <c r="G144">
        <v>26</v>
      </c>
      <c r="H144">
        <v>445</v>
      </c>
      <c r="I144">
        <v>219</v>
      </c>
      <c r="J144">
        <v>226</v>
      </c>
      <c r="K144">
        <v>1</v>
      </c>
      <c r="L144">
        <f t="shared" si="10"/>
        <v>-1</v>
      </c>
      <c r="M144">
        <f t="shared" si="11"/>
        <v>-52</v>
      </c>
      <c r="N144">
        <f t="shared" si="12"/>
        <v>22</v>
      </c>
      <c r="O144">
        <f t="shared" si="13"/>
        <v>-74</v>
      </c>
      <c r="P144">
        <f t="shared" si="14"/>
        <v>1</v>
      </c>
      <c r="Q144" t="s">
        <v>5</v>
      </c>
    </row>
    <row r="145" spans="1:17" x14ac:dyDescent="0.35">
      <c r="A145" t="s">
        <v>12</v>
      </c>
      <c r="B145">
        <v>11</v>
      </c>
      <c r="C145">
        <v>184</v>
      </c>
      <c r="D145">
        <v>142</v>
      </c>
      <c r="E145">
        <v>42</v>
      </c>
      <c r="F145">
        <v>4</v>
      </c>
      <c r="G145">
        <v>27</v>
      </c>
      <c r="H145">
        <v>379</v>
      </c>
      <c r="I145">
        <v>255</v>
      </c>
      <c r="J145">
        <v>124</v>
      </c>
      <c r="K145">
        <v>1</v>
      </c>
      <c r="L145">
        <f t="shared" si="10"/>
        <v>-16</v>
      </c>
      <c r="M145">
        <f t="shared" si="11"/>
        <v>-195</v>
      </c>
      <c r="N145">
        <f t="shared" si="12"/>
        <v>-113</v>
      </c>
      <c r="O145">
        <f t="shared" si="13"/>
        <v>-82</v>
      </c>
      <c r="P145">
        <f t="shared" si="14"/>
        <v>3</v>
      </c>
      <c r="Q145" t="s">
        <v>5</v>
      </c>
    </row>
    <row r="146" spans="1:17" x14ac:dyDescent="0.35">
      <c r="A146" t="s">
        <v>12</v>
      </c>
      <c r="B146">
        <v>13</v>
      </c>
      <c r="C146">
        <v>226</v>
      </c>
      <c r="D146">
        <v>145</v>
      </c>
      <c r="E146">
        <v>81</v>
      </c>
      <c r="F146">
        <v>0</v>
      </c>
      <c r="G146">
        <v>21</v>
      </c>
      <c r="H146">
        <v>357</v>
      </c>
      <c r="I146">
        <v>259</v>
      </c>
      <c r="J146">
        <v>98</v>
      </c>
      <c r="K146">
        <v>1</v>
      </c>
      <c r="L146">
        <f t="shared" si="10"/>
        <v>-8</v>
      </c>
      <c r="M146">
        <f t="shared" si="11"/>
        <v>-131</v>
      </c>
      <c r="N146">
        <f t="shared" si="12"/>
        <v>-114</v>
      </c>
      <c r="O146">
        <f t="shared" si="13"/>
        <v>-17</v>
      </c>
      <c r="P146">
        <f t="shared" si="14"/>
        <v>-1</v>
      </c>
      <c r="Q146" t="s">
        <v>7</v>
      </c>
    </row>
    <row r="147" spans="1:17" x14ac:dyDescent="0.35">
      <c r="A147" t="s">
        <v>11</v>
      </c>
      <c r="B147">
        <v>24</v>
      </c>
      <c r="C147">
        <v>425</v>
      </c>
      <c r="D147">
        <v>253</v>
      </c>
      <c r="E147">
        <v>172</v>
      </c>
      <c r="F147">
        <v>1</v>
      </c>
      <c r="G147">
        <v>19</v>
      </c>
      <c r="H147">
        <v>360</v>
      </c>
      <c r="I147">
        <v>219</v>
      </c>
      <c r="J147">
        <v>141</v>
      </c>
      <c r="K147">
        <v>1</v>
      </c>
      <c r="L147">
        <f t="shared" si="10"/>
        <v>5</v>
      </c>
      <c r="M147">
        <f t="shared" si="11"/>
        <v>65</v>
      </c>
      <c r="N147">
        <f t="shared" si="12"/>
        <v>34</v>
      </c>
      <c r="O147">
        <f t="shared" si="13"/>
        <v>31</v>
      </c>
      <c r="P147">
        <f t="shared" si="14"/>
        <v>0</v>
      </c>
      <c r="Q147" t="s">
        <v>5</v>
      </c>
    </row>
    <row r="148" spans="1:17" x14ac:dyDescent="0.35">
      <c r="A148" t="s">
        <v>12</v>
      </c>
      <c r="B148">
        <v>21</v>
      </c>
      <c r="C148">
        <v>370</v>
      </c>
      <c r="D148">
        <v>262</v>
      </c>
      <c r="E148">
        <v>108</v>
      </c>
      <c r="F148">
        <v>0</v>
      </c>
      <c r="G148">
        <v>26</v>
      </c>
      <c r="H148">
        <v>514</v>
      </c>
      <c r="I148">
        <v>248</v>
      </c>
      <c r="J148">
        <v>266</v>
      </c>
      <c r="K148">
        <v>0</v>
      </c>
      <c r="L148">
        <f t="shared" si="10"/>
        <v>-5</v>
      </c>
      <c r="M148">
        <f t="shared" si="11"/>
        <v>-144</v>
      </c>
      <c r="N148">
        <f t="shared" si="12"/>
        <v>14</v>
      </c>
      <c r="O148">
        <f t="shared" si="13"/>
        <v>-158</v>
      </c>
      <c r="P148">
        <f t="shared" si="14"/>
        <v>0</v>
      </c>
      <c r="Q148" t="s">
        <v>5</v>
      </c>
    </row>
    <row r="149" spans="1:17" x14ac:dyDescent="0.35">
      <c r="A149" t="s">
        <v>11</v>
      </c>
      <c r="B149">
        <v>15</v>
      </c>
      <c r="C149">
        <v>229</v>
      </c>
      <c r="D149">
        <v>161</v>
      </c>
      <c r="E149">
        <v>68</v>
      </c>
      <c r="F149">
        <v>2</v>
      </c>
      <c r="G149">
        <v>19</v>
      </c>
      <c r="H149">
        <v>435</v>
      </c>
      <c r="I149">
        <v>329</v>
      </c>
      <c r="J149">
        <v>106</v>
      </c>
      <c r="K149">
        <v>5</v>
      </c>
      <c r="L149">
        <f t="shared" si="10"/>
        <v>-4</v>
      </c>
      <c r="M149">
        <f t="shared" si="11"/>
        <v>-206</v>
      </c>
      <c r="N149">
        <f t="shared" si="12"/>
        <v>-168</v>
      </c>
      <c r="O149">
        <f t="shared" si="13"/>
        <v>-38</v>
      </c>
      <c r="P149">
        <f t="shared" si="14"/>
        <v>-3</v>
      </c>
      <c r="Q149" t="s">
        <v>7</v>
      </c>
    </row>
    <row r="150" spans="1:17" x14ac:dyDescent="0.35">
      <c r="A150" t="s">
        <v>11</v>
      </c>
      <c r="B150">
        <v>22</v>
      </c>
      <c r="C150">
        <v>284</v>
      </c>
      <c r="D150">
        <v>192</v>
      </c>
      <c r="E150">
        <v>92</v>
      </c>
      <c r="F150">
        <v>2</v>
      </c>
      <c r="G150">
        <v>30</v>
      </c>
      <c r="H150">
        <v>467</v>
      </c>
      <c r="I150">
        <v>320</v>
      </c>
      <c r="J150">
        <v>147</v>
      </c>
      <c r="K150">
        <v>1</v>
      </c>
      <c r="L150">
        <f t="shared" si="10"/>
        <v>-8</v>
      </c>
      <c r="M150">
        <f t="shared" si="11"/>
        <v>-183</v>
      </c>
      <c r="N150">
        <f t="shared" si="12"/>
        <v>-128</v>
      </c>
      <c r="O150">
        <f t="shared" si="13"/>
        <v>-55</v>
      </c>
      <c r="P150">
        <f t="shared" si="14"/>
        <v>1</v>
      </c>
      <c r="Q150" t="s">
        <v>5</v>
      </c>
    </row>
    <row r="151" spans="1:17" x14ac:dyDescent="0.35">
      <c r="A151" t="s">
        <v>11</v>
      </c>
      <c r="B151">
        <v>23</v>
      </c>
      <c r="C151">
        <v>386</v>
      </c>
      <c r="D151">
        <v>294</v>
      </c>
      <c r="E151">
        <v>92</v>
      </c>
      <c r="F151">
        <v>1</v>
      </c>
      <c r="G151">
        <v>26</v>
      </c>
      <c r="H151">
        <v>409</v>
      </c>
      <c r="I151">
        <v>351</v>
      </c>
      <c r="J151">
        <v>58</v>
      </c>
      <c r="K151">
        <v>1</v>
      </c>
      <c r="L151">
        <f t="shared" si="10"/>
        <v>-3</v>
      </c>
      <c r="M151">
        <f t="shared" si="11"/>
        <v>-23</v>
      </c>
      <c r="N151">
        <f t="shared" si="12"/>
        <v>-57</v>
      </c>
      <c r="O151">
        <f t="shared" si="13"/>
        <v>34</v>
      </c>
      <c r="P151">
        <f t="shared" si="14"/>
        <v>0</v>
      </c>
      <c r="Q151" t="s">
        <v>5</v>
      </c>
    </row>
    <row r="152" spans="1:17" x14ac:dyDescent="0.35">
      <c r="A152" t="s">
        <v>11</v>
      </c>
      <c r="B152">
        <v>20</v>
      </c>
      <c r="C152">
        <v>310</v>
      </c>
      <c r="D152">
        <v>161</v>
      </c>
      <c r="E152">
        <v>149</v>
      </c>
      <c r="F152">
        <v>3</v>
      </c>
      <c r="G152">
        <v>16</v>
      </c>
      <c r="H152">
        <v>312</v>
      </c>
      <c r="I152">
        <v>235</v>
      </c>
      <c r="J152">
        <v>77</v>
      </c>
      <c r="K152">
        <v>0</v>
      </c>
      <c r="L152">
        <f t="shared" si="10"/>
        <v>4</v>
      </c>
      <c r="M152">
        <f t="shared" si="11"/>
        <v>-2</v>
      </c>
      <c r="N152">
        <f t="shared" si="12"/>
        <v>-74</v>
      </c>
      <c r="O152">
        <f t="shared" si="13"/>
        <v>72</v>
      </c>
      <c r="P152">
        <f t="shared" si="14"/>
        <v>3</v>
      </c>
      <c r="Q152" t="s">
        <v>5</v>
      </c>
    </row>
    <row r="153" spans="1:17" x14ac:dyDescent="0.35">
      <c r="A153" t="s">
        <v>12</v>
      </c>
      <c r="B153">
        <v>19</v>
      </c>
      <c r="C153">
        <v>324</v>
      </c>
      <c r="D153">
        <v>227</v>
      </c>
      <c r="E153">
        <v>97</v>
      </c>
      <c r="F153">
        <v>2</v>
      </c>
      <c r="G153">
        <v>22</v>
      </c>
      <c r="H153">
        <v>362</v>
      </c>
      <c r="I153">
        <v>226</v>
      </c>
      <c r="J153">
        <v>136</v>
      </c>
      <c r="K153">
        <v>1</v>
      </c>
      <c r="L153">
        <f t="shared" si="10"/>
        <v>-3</v>
      </c>
      <c r="M153">
        <f t="shared" si="11"/>
        <v>-38</v>
      </c>
      <c r="N153">
        <f t="shared" si="12"/>
        <v>1</v>
      </c>
      <c r="O153">
        <f t="shared" si="13"/>
        <v>-39</v>
      </c>
      <c r="P153">
        <f t="shared" si="14"/>
        <v>1</v>
      </c>
      <c r="Q153" t="s">
        <v>5</v>
      </c>
    </row>
    <row r="154" spans="1:17" x14ac:dyDescent="0.35">
      <c r="A154" t="s">
        <v>11</v>
      </c>
      <c r="B154">
        <v>14</v>
      </c>
      <c r="C154">
        <v>268</v>
      </c>
      <c r="D154">
        <v>176</v>
      </c>
      <c r="E154">
        <v>92</v>
      </c>
      <c r="F154">
        <v>0</v>
      </c>
      <c r="G154">
        <v>23</v>
      </c>
      <c r="H154">
        <v>414</v>
      </c>
      <c r="I154">
        <v>271</v>
      </c>
      <c r="J154">
        <v>143</v>
      </c>
      <c r="K154">
        <v>1</v>
      </c>
      <c r="L154">
        <f t="shared" si="10"/>
        <v>-9</v>
      </c>
      <c r="M154">
        <f t="shared" si="11"/>
        <v>-146</v>
      </c>
      <c r="N154">
        <f t="shared" si="12"/>
        <v>-95</v>
      </c>
      <c r="O154">
        <f t="shared" si="13"/>
        <v>-51</v>
      </c>
      <c r="P154">
        <f t="shared" si="14"/>
        <v>-1</v>
      </c>
      <c r="Q154" t="s">
        <v>5</v>
      </c>
    </row>
    <row r="155" spans="1:17" x14ac:dyDescent="0.35">
      <c r="A155" t="s">
        <v>12</v>
      </c>
      <c r="B155">
        <v>18</v>
      </c>
      <c r="C155">
        <v>269</v>
      </c>
      <c r="D155">
        <v>97</v>
      </c>
      <c r="E155">
        <v>172</v>
      </c>
      <c r="F155">
        <v>0</v>
      </c>
      <c r="G155">
        <v>27</v>
      </c>
      <c r="H155">
        <v>345</v>
      </c>
      <c r="I155">
        <v>272</v>
      </c>
      <c r="J155">
        <v>73</v>
      </c>
      <c r="K155">
        <v>3</v>
      </c>
      <c r="L155">
        <f t="shared" si="10"/>
        <v>-9</v>
      </c>
      <c r="M155">
        <f t="shared" si="11"/>
        <v>-76</v>
      </c>
      <c r="N155">
        <f t="shared" si="12"/>
        <v>-175</v>
      </c>
      <c r="O155">
        <f t="shared" si="13"/>
        <v>99</v>
      </c>
      <c r="P155">
        <f t="shared" si="14"/>
        <v>-3</v>
      </c>
      <c r="Q155" t="s">
        <v>7</v>
      </c>
    </row>
    <row r="156" spans="1:17" x14ac:dyDescent="0.35">
      <c r="A156" t="s">
        <v>12</v>
      </c>
      <c r="B156">
        <v>18</v>
      </c>
      <c r="C156">
        <v>264</v>
      </c>
      <c r="D156">
        <v>128</v>
      </c>
      <c r="E156">
        <v>136</v>
      </c>
      <c r="F156">
        <v>2</v>
      </c>
      <c r="G156">
        <v>19</v>
      </c>
      <c r="H156">
        <v>297</v>
      </c>
      <c r="I156">
        <v>203</v>
      </c>
      <c r="J156">
        <v>94</v>
      </c>
      <c r="K156">
        <v>3</v>
      </c>
      <c r="L156">
        <f t="shared" si="10"/>
        <v>-1</v>
      </c>
      <c r="M156">
        <f t="shared" si="11"/>
        <v>-33</v>
      </c>
      <c r="N156">
        <f t="shared" si="12"/>
        <v>-75</v>
      </c>
      <c r="O156">
        <f t="shared" si="13"/>
        <v>42</v>
      </c>
      <c r="P156">
        <f t="shared" si="14"/>
        <v>-1</v>
      </c>
      <c r="Q156" t="s">
        <v>5</v>
      </c>
    </row>
    <row r="157" spans="1:17" x14ac:dyDescent="0.35">
      <c r="A157" t="s">
        <v>11</v>
      </c>
      <c r="B157">
        <v>9</v>
      </c>
      <c r="C157">
        <v>128</v>
      </c>
      <c r="D157">
        <v>61</v>
      </c>
      <c r="E157">
        <v>67</v>
      </c>
      <c r="F157">
        <v>3</v>
      </c>
      <c r="G157">
        <v>17</v>
      </c>
      <c r="H157">
        <v>265</v>
      </c>
      <c r="I157">
        <v>181</v>
      </c>
      <c r="J157">
        <v>84</v>
      </c>
      <c r="K157">
        <v>1</v>
      </c>
      <c r="L157">
        <f t="shared" si="10"/>
        <v>-8</v>
      </c>
      <c r="M157">
        <f t="shared" si="11"/>
        <v>-137</v>
      </c>
      <c r="N157">
        <f t="shared" si="12"/>
        <v>-120</v>
      </c>
      <c r="O157">
        <f t="shared" si="13"/>
        <v>-17</v>
      </c>
      <c r="P157">
        <f t="shared" si="14"/>
        <v>2</v>
      </c>
      <c r="Q157" t="s">
        <v>5</v>
      </c>
    </row>
    <row r="158" spans="1:17" x14ac:dyDescent="0.35">
      <c r="A158" t="s">
        <v>12</v>
      </c>
      <c r="B158">
        <v>17</v>
      </c>
      <c r="C158">
        <v>345</v>
      </c>
      <c r="D158">
        <v>283</v>
      </c>
      <c r="E158">
        <v>62</v>
      </c>
      <c r="F158">
        <v>7</v>
      </c>
      <c r="G158">
        <v>18</v>
      </c>
      <c r="H158">
        <v>344</v>
      </c>
      <c r="I158">
        <v>207</v>
      </c>
      <c r="J158">
        <v>137</v>
      </c>
      <c r="K158">
        <v>1</v>
      </c>
      <c r="L158">
        <f t="shared" si="10"/>
        <v>-1</v>
      </c>
      <c r="M158">
        <f t="shared" si="11"/>
        <v>1</v>
      </c>
      <c r="N158">
        <f t="shared" si="12"/>
        <v>76</v>
      </c>
      <c r="O158">
        <f t="shared" si="13"/>
        <v>-75</v>
      </c>
      <c r="P158">
        <f t="shared" si="14"/>
        <v>6</v>
      </c>
      <c r="Q158" t="s">
        <v>5</v>
      </c>
    </row>
    <row r="159" spans="1:17" x14ac:dyDescent="0.35">
      <c r="A159" t="s">
        <v>12</v>
      </c>
      <c r="B159">
        <v>22</v>
      </c>
      <c r="C159">
        <v>445</v>
      </c>
      <c r="D159">
        <v>160</v>
      </c>
      <c r="E159">
        <v>285</v>
      </c>
      <c r="F159">
        <v>0</v>
      </c>
      <c r="G159">
        <v>28</v>
      </c>
      <c r="H159">
        <v>507</v>
      </c>
      <c r="I159">
        <v>358</v>
      </c>
      <c r="J159">
        <v>149</v>
      </c>
      <c r="K159">
        <v>3</v>
      </c>
      <c r="L159">
        <f t="shared" si="10"/>
        <v>-6</v>
      </c>
      <c r="M159">
        <f t="shared" si="11"/>
        <v>-62</v>
      </c>
      <c r="N159">
        <f t="shared" si="12"/>
        <v>-198</v>
      </c>
      <c r="O159">
        <f t="shared" si="13"/>
        <v>136</v>
      </c>
      <c r="P159">
        <f t="shared" si="14"/>
        <v>-3</v>
      </c>
      <c r="Q159" t="s">
        <v>7</v>
      </c>
    </row>
    <row r="160" spans="1:17" x14ac:dyDescent="0.35">
      <c r="A160" t="s">
        <v>11</v>
      </c>
      <c r="B160">
        <v>20</v>
      </c>
      <c r="C160">
        <v>290</v>
      </c>
      <c r="D160">
        <v>201</v>
      </c>
      <c r="E160">
        <v>89</v>
      </c>
      <c r="F160">
        <v>1</v>
      </c>
      <c r="G160">
        <v>20</v>
      </c>
      <c r="H160">
        <v>313</v>
      </c>
      <c r="I160">
        <v>193</v>
      </c>
      <c r="J160">
        <v>120</v>
      </c>
      <c r="K160">
        <v>2</v>
      </c>
      <c r="L160">
        <f t="shared" si="10"/>
        <v>0</v>
      </c>
      <c r="M160">
        <f t="shared" si="11"/>
        <v>-23</v>
      </c>
      <c r="N160">
        <f t="shared" si="12"/>
        <v>8</v>
      </c>
      <c r="O160">
        <f t="shared" si="13"/>
        <v>-31</v>
      </c>
      <c r="P160">
        <f t="shared" si="14"/>
        <v>-1</v>
      </c>
      <c r="Q160" t="s">
        <v>7</v>
      </c>
    </row>
    <row r="161" spans="1:17" x14ac:dyDescent="0.35">
      <c r="A161" t="s">
        <v>11</v>
      </c>
      <c r="B161">
        <v>19</v>
      </c>
      <c r="C161">
        <v>279</v>
      </c>
      <c r="D161">
        <v>173</v>
      </c>
      <c r="E161">
        <v>106</v>
      </c>
      <c r="F161">
        <v>2</v>
      </c>
      <c r="G161">
        <v>18</v>
      </c>
      <c r="H161">
        <v>323</v>
      </c>
      <c r="I161">
        <v>199</v>
      </c>
      <c r="J161">
        <v>124</v>
      </c>
      <c r="K161">
        <v>1</v>
      </c>
      <c r="L161">
        <f t="shared" si="10"/>
        <v>1</v>
      </c>
      <c r="M161">
        <f t="shared" si="11"/>
        <v>-44</v>
      </c>
      <c r="N161">
        <f t="shared" si="12"/>
        <v>-26</v>
      </c>
      <c r="O161">
        <f t="shared" si="13"/>
        <v>-18</v>
      </c>
      <c r="P161">
        <f t="shared" si="14"/>
        <v>1</v>
      </c>
      <c r="Q161" t="s">
        <v>5</v>
      </c>
    </row>
    <row r="162" spans="1:17" x14ac:dyDescent="0.35">
      <c r="A162" t="s">
        <v>12</v>
      </c>
      <c r="B162">
        <v>23</v>
      </c>
      <c r="C162">
        <v>407</v>
      </c>
      <c r="D162">
        <v>365</v>
      </c>
      <c r="E162">
        <v>42</v>
      </c>
      <c r="F162">
        <v>7</v>
      </c>
      <c r="G162">
        <v>17</v>
      </c>
      <c r="H162">
        <v>268</v>
      </c>
      <c r="I162">
        <v>209</v>
      </c>
      <c r="J162">
        <v>59</v>
      </c>
      <c r="K162">
        <v>1</v>
      </c>
      <c r="L162">
        <f t="shared" si="10"/>
        <v>6</v>
      </c>
      <c r="M162">
        <f t="shared" si="11"/>
        <v>139</v>
      </c>
      <c r="N162">
        <f t="shared" si="12"/>
        <v>156</v>
      </c>
      <c r="O162">
        <f t="shared" si="13"/>
        <v>-17</v>
      </c>
      <c r="P162">
        <f t="shared" si="14"/>
        <v>6</v>
      </c>
      <c r="Q162" t="s">
        <v>5</v>
      </c>
    </row>
    <row r="163" spans="1:17" x14ac:dyDescent="0.35">
      <c r="A163" t="s">
        <v>12</v>
      </c>
      <c r="B163">
        <v>31</v>
      </c>
      <c r="C163">
        <v>491</v>
      </c>
      <c r="D163">
        <v>414</v>
      </c>
      <c r="E163">
        <v>77</v>
      </c>
      <c r="F163">
        <v>2</v>
      </c>
      <c r="G163">
        <v>24</v>
      </c>
      <c r="H163">
        <v>336</v>
      </c>
      <c r="I163">
        <v>160</v>
      </c>
      <c r="J163">
        <v>176</v>
      </c>
      <c r="K163">
        <v>0</v>
      </c>
      <c r="L163">
        <f t="shared" si="10"/>
        <v>7</v>
      </c>
      <c r="M163">
        <f t="shared" si="11"/>
        <v>155</v>
      </c>
      <c r="N163">
        <f t="shared" si="12"/>
        <v>254</v>
      </c>
      <c r="O163">
        <f t="shared" si="13"/>
        <v>-99</v>
      </c>
      <c r="P163">
        <f t="shared" si="14"/>
        <v>2</v>
      </c>
      <c r="Q163" t="s">
        <v>5</v>
      </c>
    </row>
    <row r="164" spans="1:17" x14ac:dyDescent="0.35">
      <c r="A164" t="s">
        <v>12</v>
      </c>
      <c r="B164">
        <v>17</v>
      </c>
      <c r="C164">
        <v>309</v>
      </c>
      <c r="D164">
        <v>236</v>
      </c>
      <c r="E164">
        <v>73</v>
      </c>
      <c r="F164">
        <v>3</v>
      </c>
      <c r="G164">
        <v>18</v>
      </c>
      <c r="H164">
        <v>271</v>
      </c>
      <c r="I164">
        <v>185</v>
      </c>
      <c r="J164">
        <v>86</v>
      </c>
      <c r="K164">
        <v>1</v>
      </c>
      <c r="L164">
        <f t="shared" si="10"/>
        <v>-1</v>
      </c>
      <c r="M164">
        <f t="shared" si="11"/>
        <v>38</v>
      </c>
      <c r="N164">
        <f t="shared" si="12"/>
        <v>51</v>
      </c>
      <c r="O164">
        <f t="shared" si="13"/>
        <v>-13</v>
      </c>
      <c r="P164">
        <f t="shared" si="14"/>
        <v>2</v>
      </c>
      <c r="Q164" t="s">
        <v>5</v>
      </c>
    </row>
    <row r="165" spans="1:17" x14ac:dyDescent="0.35">
      <c r="A165" t="s">
        <v>12</v>
      </c>
      <c r="B165">
        <v>21</v>
      </c>
      <c r="C165">
        <v>248</v>
      </c>
      <c r="D165">
        <v>127</v>
      </c>
      <c r="E165">
        <v>121</v>
      </c>
      <c r="F165">
        <v>2</v>
      </c>
      <c r="G165">
        <v>21</v>
      </c>
      <c r="H165">
        <v>413</v>
      </c>
      <c r="I165">
        <v>240</v>
      </c>
      <c r="J165">
        <v>173</v>
      </c>
      <c r="K165">
        <v>1</v>
      </c>
      <c r="L165">
        <f t="shared" si="10"/>
        <v>0</v>
      </c>
      <c r="M165">
        <f t="shared" si="11"/>
        <v>-165</v>
      </c>
      <c r="N165">
        <f t="shared" si="12"/>
        <v>-113</v>
      </c>
      <c r="O165">
        <f t="shared" si="13"/>
        <v>-52</v>
      </c>
      <c r="P165">
        <f t="shared" si="14"/>
        <v>1</v>
      </c>
      <c r="Q165" t="s">
        <v>5</v>
      </c>
    </row>
    <row r="166" spans="1:17" x14ac:dyDescent="0.35">
      <c r="A166" t="s">
        <v>11</v>
      </c>
      <c r="B166">
        <v>21</v>
      </c>
      <c r="C166">
        <v>364</v>
      </c>
      <c r="D166">
        <v>189</v>
      </c>
      <c r="E166">
        <v>175</v>
      </c>
      <c r="F166">
        <v>4</v>
      </c>
      <c r="G166">
        <v>13</v>
      </c>
      <c r="H166">
        <v>230</v>
      </c>
      <c r="I166">
        <v>144</v>
      </c>
      <c r="J166">
        <v>86</v>
      </c>
      <c r="K166">
        <v>2</v>
      </c>
      <c r="L166">
        <f t="shared" si="10"/>
        <v>8</v>
      </c>
      <c r="M166">
        <f t="shared" si="11"/>
        <v>134</v>
      </c>
      <c r="N166">
        <f t="shared" si="12"/>
        <v>45</v>
      </c>
      <c r="O166">
        <f t="shared" si="13"/>
        <v>89</v>
      </c>
      <c r="P166">
        <f t="shared" si="14"/>
        <v>2</v>
      </c>
      <c r="Q166" t="s">
        <v>5</v>
      </c>
    </row>
    <row r="167" spans="1:17" x14ac:dyDescent="0.35">
      <c r="A167" t="s">
        <v>11</v>
      </c>
      <c r="B167">
        <v>8</v>
      </c>
      <c r="C167">
        <v>176</v>
      </c>
      <c r="D167">
        <v>121</v>
      </c>
      <c r="E167">
        <v>55</v>
      </c>
      <c r="F167">
        <v>4</v>
      </c>
      <c r="G167">
        <v>24</v>
      </c>
      <c r="H167">
        <v>389</v>
      </c>
      <c r="I167">
        <v>225</v>
      </c>
      <c r="J167">
        <v>164</v>
      </c>
      <c r="K167">
        <v>4</v>
      </c>
      <c r="L167">
        <f t="shared" si="10"/>
        <v>-16</v>
      </c>
      <c r="M167">
        <f t="shared" si="11"/>
        <v>-213</v>
      </c>
      <c r="N167">
        <f t="shared" si="12"/>
        <v>-104</v>
      </c>
      <c r="O167">
        <f t="shared" si="13"/>
        <v>-109</v>
      </c>
      <c r="P167">
        <f t="shared" si="14"/>
        <v>0</v>
      </c>
      <c r="Q167" t="s">
        <v>5</v>
      </c>
    </row>
    <row r="168" spans="1:17" x14ac:dyDescent="0.35">
      <c r="A168" t="s">
        <v>12</v>
      </c>
      <c r="B168">
        <v>17</v>
      </c>
      <c r="C168">
        <v>273</v>
      </c>
      <c r="D168">
        <v>183</v>
      </c>
      <c r="E168">
        <v>90</v>
      </c>
      <c r="F168">
        <v>2</v>
      </c>
      <c r="G168">
        <v>22</v>
      </c>
      <c r="H168">
        <v>328</v>
      </c>
      <c r="I168">
        <v>189</v>
      </c>
      <c r="J168">
        <v>139</v>
      </c>
      <c r="K168">
        <v>3</v>
      </c>
      <c r="L168">
        <f t="shared" si="10"/>
        <v>-5</v>
      </c>
      <c r="M168">
        <f t="shared" si="11"/>
        <v>-55</v>
      </c>
      <c r="N168">
        <f t="shared" si="12"/>
        <v>-6</v>
      </c>
      <c r="O168">
        <f t="shared" si="13"/>
        <v>-49</v>
      </c>
      <c r="P168">
        <f t="shared" si="14"/>
        <v>-1</v>
      </c>
      <c r="Q168" t="s">
        <v>7</v>
      </c>
    </row>
    <row r="169" spans="1:17" x14ac:dyDescent="0.35">
      <c r="A169" t="s">
        <v>11</v>
      </c>
      <c r="B169">
        <v>19</v>
      </c>
      <c r="C169">
        <v>400</v>
      </c>
      <c r="D169">
        <v>292</v>
      </c>
      <c r="E169">
        <v>108</v>
      </c>
      <c r="F169">
        <v>3</v>
      </c>
      <c r="G169">
        <v>26</v>
      </c>
      <c r="H169">
        <v>447</v>
      </c>
      <c r="I169">
        <v>325</v>
      </c>
      <c r="J169">
        <v>122</v>
      </c>
      <c r="K169">
        <v>2</v>
      </c>
      <c r="L169">
        <f t="shared" si="10"/>
        <v>-7</v>
      </c>
      <c r="M169">
        <f t="shared" si="11"/>
        <v>-47</v>
      </c>
      <c r="N169">
        <f t="shared" si="12"/>
        <v>-33</v>
      </c>
      <c r="O169">
        <f t="shared" si="13"/>
        <v>-14</v>
      </c>
      <c r="P169">
        <f t="shared" si="14"/>
        <v>1</v>
      </c>
      <c r="Q169" t="s">
        <v>5</v>
      </c>
    </row>
    <row r="170" spans="1:17" x14ac:dyDescent="0.35">
      <c r="A170" t="s">
        <v>11</v>
      </c>
      <c r="B170">
        <v>20</v>
      </c>
      <c r="C170">
        <v>379</v>
      </c>
      <c r="D170">
        <v>243</v>
      </c>
      <c r="E170">
        <v>136</v>
      </c>
      <c r="F170">
        <v>1</v>
      </c>
      <c r="G170">
        <v>21</v>
      </c>
      <c r="H170">
        <v>307</v>
      </c>
      <c r="I170">
        <v>150</v>
      </c>
      <c r="J170">
        <v>157</v>
      </c>
      <c r="K170">
        <v>3</v>
      </c>
      <c r="L170">
        <f t="shared" si="10"/>
        <v>-1</v>
      </c>
      <c r="M170">
        <f t="shared" si="11"/>
        <v>72</v>
      </c>
      <c r="N170">
        <f t="shared" si="12"/>
        <v>93</v>
      </c>
      <c r="O170">
        <f t="shared" si="13"/>
        <v>-21</v>
      </c>
      <c r="P170">
        <f t="shared" si="14"/>
        <v>-2</v>
      </c>
      <c r="Q170" t="s">
        <v>7</v>
      </c>
    </row>
    <row r="171" spans="1:17" x14ac:dyDescent="0.35">
      <c r="A171" t="s">
        <v>12</v>
      </c>
      <c r="B171">
        <v>19</v>
      </c>
      <c r="C171">
        <v>315</v>
      </c>
      <c r="D171">
        <v>151</v>
      </c>
      <c r="E171">
        <v>164</v>
      </c>
      <c r="F171">
        <v>5</v>
      </c>
      <c r="G171">
        <v>19</v>
      </c>
      <c r="H171">
        <v>291</v>
      </c>
      <c r="I171">
        <v>116</v>
      </c>
      <c r="J171">
        <v>175</v>
      </c>
      <c r="K171">
        <v>0</v>
      </c>
      <c r="L171">
        <f t="shared" si="10"/>
        <v>0</v>
      </c>
      <c r="M171">
        <f t="shared" si="11"/>
        <v>24</v>
      </c>
      <c r="N171">
        <f t="shared" si="12"/>
        <v>35</v>
      </c>
      <c r="O171">
        <f t="shared" si="13"/>
        <v>-11</v>
      </c>
      <c r="P171">
        <f t="shared" si="14"/>
        <v>5</v>
      </c>
      <c r="Q171" t="s">
        <v>5</v>
      </c>
    </row>
    <row r="172" spans="1:17" x14ac:dyDescent="0.35">
      <c r="A172" t="s">
        <v>12</v>
      </c>
      <c r="B172">
        <v>22</v>
      </c>
      <c r="C172">
        <v>259</v>
      </c>
      <c r="D172">
        <v>163</v>
      </c>
      <c r="E172">
        <v>96</v>
      </c>
      <c r="F172">
        <v>0</v>
      </c>
      <c r="G172">
        <v>19</v>
      </c>
      <c r="H172">
        <v>332</v>
      </c>
      <c r="I172">
        <v>210</v>
      </c>
      <c r="J172">
        <v>122</v>
      </c>
      <c r="K172">
        <v>3</v>
      </c>
      <c r="L172">
        <f t="shared" si="10"/>
        <v>3</v>
      </c>
      <c r="M172">
        <f t="shared" si="11"/>
        <v>-73</v>
      </c>
      <c r="N172">
        <f t="shared" si="12"/>
        <v>-47</v>
      </c>
      <c r="O172">
        <f t="shared" si="13"/>
        <v>-26</v>
      </c>
      <c r="P172">
        <f t="shared" si="14"/>
        <v>-3</v>
      </c>
      <c r="Q172" t="s">
        <v>7</v>
      </c>
    </row>
    <row r="173" spans="1:17" x14ac:dyDescent="0.35">
      <c r="A173" t="s">
        <v>12</v>
      </c>
      <c r="B173">
        <v>20</v>
      </c>
      <c r="C173">
        <v>321</v>
      </c>
      <c r="D173">
        <v>206</v>
      </c>
      <c r="E173">
        <v>115</v>
      </c>
      <c r="F173">
        <v>1</v>
      </c>
      <c r="G173">
        <v>21</v>
      </c>
      <c r="H173">
        <v>340</v>
      </c>
      <c r="I173">
        <v>225</v>
      </c>
      <c r="J173">
        <v>115</v>
      </c>
      <c r="K173">
        <v>0</v>
      </c>
      <c r="L173">
        <f t="shared" si="10"/>
        <v>-1</v>
      </c>
      <c r="M173">
        <f t="shared" si="11"/>
        <v>-19</v>
      </c>
      <c r="N173">
        <f t="shared" si="12"/>
        <v>-19</v>
      </c>
      <c r="O173">
        <f t="shared" si="13"/>
        <v>0</v>
      </c>
      <c r="P173">
        <f t="shared" si="14"/>
        <v>1</v>
      </c>
      <c r="Q173" t="s">
        <v>5</v>
      </c>
    </row>
    <row r="174" spans="1:17" x14ac:dyDescent="0.35">
      <c r="A174" t="s">
        <v>11</v>
      </c>
      <c r="B174">
        <v>21</v>
      </c>
      <c r="C174">
        <v>410</v>
      </c>
      <c r="D174">
        <v>194</v>
      </c>
      <c r="E174">
        <v>216</v>
      </c>
      <c r="F174">
        <v>1</v>
      </c>
      <c r="G174">
        <v>21</v>
      </c>
      <c r="H174">
        <v>356</v>
      </c>
      <c r="I174">
        <v>282</v>
      </c>
      <c r="J174">
        <v>74</v>
      </c>
      <c r="K174">
        <v>4</v>
      </c>
      <c r="L174">
        <f t="shared" si="10"/>
        <v>0</v>
      </c>
      <c r="M174">
        <f t="shared" si="11"/>
        <v>54</v>
      </c>
      <c r="N174">
        <f t="shared" si="12"/>
        <v>-88</v>
      </c>
      <c r="O174">
        <f t="shared" si="13"/>
        <v>142</v>
      </c>
      <c r="P174">
        <f t="shared" si="14"/>
        <v>-3</v>
      </c>
      <c r="Q174" t="s">
        <v>7</v>
      </c>
    </row>
    <row r="175" spans="1:17" x14ac:dyDescent="0.35">
      <c r="A175" t="s">
        <v>12</v>
      </c>
      <c r="B175">
        <v>29</v>
      </c>
      <c r="C175">
        <v>542</v>
      </c>
      <c r="D175">
        <v>467</v>
      </c>
      <c r="E175">
        <v>75</v>
      </c>
      <c r="F175">
        <v>4</v>
      </c>
      <c r="G175">
        <v>16</v>
      </c>
      <c r="H175">
        <v>309</v>
      </c>
      <c r="I175">
        <v>243</v>
      </c>
      <c r="J175">
        <v>66</v>
      </c>
      <c r="K175">
        <v>1</v>
      </c>
      <c r="L175">
        <f t="shared" si="10"/>
        <v>13</v>
      </c>
      <c r="M175">
        <f t="shared" si="11"/>
        <v>233</v>
      </c>
      <c r="N175">
        <f t="shared" si="12"/>
        <v>224</v>
      </c>
      <c r="O175">
        <f t="shared" si="13"/>
        <v>9</v>
      </c>
      <c r="P175">
        <f t="shared" si="14"/>
        <v>3</v>
      </c>
      <c r="Q175" t="s">
        <v>7</v>
      </c>
    </row>
    <row r="176" spans="1:17" x14ac:dyDescent="0.35">
      <c r="A176" t="s">
        <v>12</v>
      </c>
      <c r="B176">
        <v>29</v>
      </c>
      <c r="C176">
        <v>502</v>
      </c>
      <c r="D176">
        <v>406</v>
      </c>
      <c r="E176">
        <v>96</v>
      </c>
      <c r="F176">
        <v>1</v>
      </c>
      <c r="G176">
        <v>25</v>
      </c>
      <c r="H176">
        <v>430</v>
      </c>
      <c r="I176">
        <v>371</v>
      </c>
      <c r="J176">
        <v>59</v>
      </c>
      <c r="K176">
        <v>1</v>
      </c>
      <c r="L176">
        <f t="shared" si="10"/>
        <v>4</v>
      </c>
      <c r="M176">
        <f t="shared" si="11"/>
        <v>72</v>
      </c>
      <c r="N176">
        <f t="shared" si="12"/>
        <v>35</v>
      </c>
      <c r="O176">
        <f t="shared" si="13"/>
        <v>37</v>
      </c>
      <c r="P176">
        <f t="shared" si="14"/>
        <v>0</v>
      </c>
      <c r="Q176" t="s">
        <v>7</v>
      </c>
    </row>
    <row r="177" spans="1:17" x14ac:dyDescent="0.35">
      <c r="A177" t="s">
        <v>12</v>
      </c>
      <c r="B177">
        <v>21</v>
      </c>
      <c r="C177">
        <v>295</v>
      </c>
      <c r="D177">
        <v>174</v>
      </c>
      <c r="E177">
        <v>121</v>
      </c>
      <c r="F177">
        <v>4</v>
      </c>
      <c r="G177">
        <v>17</v>
      </c>
      <c r="H177">
        <v>256</v>
      </c>
      <c r="I177">
        <v>158</v>
      </c>
      <c r="J177">
        <v>98</v>
      </c>
      <c r="K177">
        <v>2</v>
      </c>
      <c r="L177">
        <f t="shared" si="10"/>
        <v>4</v>
      </c>
      <c r="M177">
        <f t="shared" si="11"/>
        <v>39</v>
      </c>
      <c r="N177">
        <f t="shared" si="12"/>
        <v>16</v>
      </c>
      <c r="O177">
        <f t="shared" si="13"/>
        <v>23</v>
      </c>
      <c r="P177">
        <f t="shared" si="14"/>
        <v>2</v>
      </c>
      <c r="Q177" t="s">
        <v>5</v>
      </c>
    </row>
    <row r="178" spans="1:17" x14ac:dyDescent="0.35">
      <c r="A178" t="s">
        <v>11</v>
      </c>
      <c r="B178">
        <v>11</v>
      </c>
      <c r="C178">
        <v>231</v>
      </c>
      <c r="D178">
        <v>195</v>
      </c>
      <c r="E178">
        <v>36</v>
      </c>
      <c r="F178">
        <v>1</v>
      </c>
      <c r="G178">
        <v>26</v>
      </c>
      <c r="H178">
        <v>388</v>
      </c>
      <c r="I178">
        <v>226</v>
      </c>
      <c r="J178">
        <v>162</v>
      </c>
      <c r="K178">
        <v>2</v>
      </c>
      <c r="L178">
        <f t="shared" si="10"/>
        <v>-15</v>
      </c>
      <c r="M178">
        <f t="shared" si="11"/>
        <v>-157</v>
      </c>
      <c r="N178">
        <f t="shared" si="12"/>
        <v>-31</v>
      </c>
      <c r="O178">
        <f t="shared" si="13"/>
        <v>-126</v>
      </c>
      <c r="P178">
        <f t="shared" si="14"/>
        <v>-1</v>
      </c>
      <c r="Q178" t="s">
        <v>7</v>
      </c>
    </row>
    <row r="179" spans="1:17" x14ac:dyDescent="0.35">
      <c r="A179" t="s">
        <v>12</v>
      </c>
      <c r="B179">
        <v>17</v>
      </c>
      <c r="C179">
        <v>377</v>
      </c>
      <c r="D179">
        <v>230</v>
      </c>
      <c r="E179">
        <v>147</v>
      </c>
      <c r="F179">
        <v>1</v>
      </c>
      <c r="G179">
        <v>17</v>
      </c>
      <c r="H179">
        <v>308</v>
      </c>
      <c r="I179">
        <v>212</v>
      </c>
      <c r="J179">
        <v>96</v>
      </c>
      <c r="K179">
        <v>0</v>
      </c>
      <c r="L179">
        <f t="shared" si="10"/>
        <v>0</v>
      </c>
      <c r="M179">
        <f t="shared" si="11"/>
        <v>69</v>
      </c>
      <c r="N179">
        <f t="shared" si="12"/>
        <v>18</v>
      </c>
      <c r="O179">
        <f t="shared" si="13"/>
        <v>51</v>
      </c>
      <c r="P179">
        <f t="shared" si="14"/>
        <v>1</v>
      </c>
      <c r="Q179" t="s">
        <v>7</v>
      </c>
    </row>
    <row r="180" spans="1:17" x14ac:dyDescent="0.35">
      <c r="A180" t="s">
        <v>12</v>
      </c>
      <c r="B180">
        <v>25</v>
      </c>
      <c r="C180">
        <v>416</v>
      </c>
      <c r="D180">
        <v>241</v>
      </c>
      <c r="E180">
        <v>175</v>
      </c>
      <c r="F180">
        <v>2</v>
      </c>
      <c r="G180">
        <v>17</v>
      </c>
      <c r="H180">
        <v>306</v>
      </c>
      <c r="I180">
        <v>240</v>
      </c>
      <c r="J180">
        <v>66</v>
      </c>
      <c r="K180">
        <v>4</v>
      </c>
      <c r="L180">
        <f t="shared" si="10"/>
        <v>8</v>
      </c>
      <c r="M180">
        <f t="shared" si="11"/>
        <v>110</v>
      </c>
      <c r="N180">
        <f t="shared" si="12"/>
        <v>1</v>
      </c>
      <c r="O180">
        <f t="shared" si="13"/>
        <v>109</v>
      </c>
      <c r="P180">
        <f t="shared" si="14"/>
        <v>-2</v>
      </c>
      <c r="Q180" t="s">
        <v>7</v>
      </c>
    </row>
    <row r="181" spans="1:17" x14ac:dyDescent="0.35">
      <c r="A181" t="s">
        <v>11</v>
      </c>
      <c r="B181">
        <v>20</v>
      </c>
      <c r="C181">
        <v>446</v>
      </c>
      <c r="D181">
        <v>313</v>
      </c>
      <c r="E181">
        <v>133</v>
      </c>
      <c r="F181">
        <v>2</v>
      </c>
      <c r="G181">
        <v>22</v>
      </c>
      <c r="H181">
        <v>337</v>
      </c>
      <c r="I181">
        <v>280</v>
      </c>
      <c r="J181">
        <v>57</v>
      </c>
      <c r="K181">
        <v>2</v>
      </c>
      <c r="L181">
        <f t="shared" si="10"/>
        <v>-2</v>
      </c>
      <c r="M181">
        <f t="shared" si="11"/>
        <v>109</v>
      </c>
      <c r="N181">
        <f t="shared" si="12"/>
        <v>33</v>
      </c>
      <c r="O181">
        <f t="shared" si="13"/>
        <v>76</v>
      </c>
      <c r="P181">
        <f t="shared" si="14"/>
        <v>0</v>
      </c>
      <c r="Q181" t="s">
        <v>7</v>
      </c>
    </row>
    <row r="182" spans="1:17" x14ac:dyDescent="0.35">
      <c r="A182" t="s">
        <v>12</v>
      </c>
      <c r="B182">
        <v>27</v>
      </c>
      <c r="C182">
        <v>419</v>
      </c>
      <c r="D182">
        <v>327</v>
      </c>
      <c r="E182">
        <v>92</v>
      </c>
      <c r="F182">
        <v>1</v>
      </c>
      <c r="G182">
        <v>15</v>
      </c>
      <c r="H182">
        <v>251</v>
      </c>
      <c r="I182">
        <v>199</v>
      </c>
      <c r="J182">
        <v>52</v>
      </c>
      <c r="K182">
        <v>1</v>
      </c>
      <c r="L182">
        <f t="shared" si="10"/>
        <v>12</v>
      </c>
      <c r="M182">
        <f t="shared" si="11"/>
        <v>168</v>
      </c>
      <c r="N182">
        <f t="shared" si="12"/>
        <v>128</v>
      </c>
      <c r="O182">
        <f t="shared" si="13"/>
        <v>40</v>
      </c>
      <c r="P182">
        <f t="shared" si="14"/>
        <v>0</v>
      </c>
      <c r="Q182" t="s">
        <v>7</v>
      </c>
    </row>
    <row r="183" spans="1:17" x14ac:dyDescent="0.35">
      <c r="A183" t="s">
        <v>11</v>
      </c>
      <c r="B183">
        <v>15</v>
      </c>
      <c r="C183">
        <v>421</v>
      </c>
      <c r="D183">
        <v>223</v>
      </c>
      <c r="E183">
        <v>198</v>
      </c>
      <c r="F183">
        <v>4</v>
      </c>
      <c r="G183">
        <v>20</v>
      </c>
      <c r="H183">
        <v>335</v>
      </c>
      <c r="I183">
        <v>191</v>
      </c>
      <c r="J183">
        <v>144</v>
      </c>
      <c r="K183">
        <v>2</v>
      </c>
      <c r="L183">
        <f t="shared" si="10"/>
        <v>-5</v>
      </c>
      <c r="M183">
        <f t="shared" si="11"/>
        <v>86</v>
      </c>
      <c r="N183">
        <f t="shared" si="12"/>
        <v>32</v>
      </c>
      <c r="O183">
        <f t="shared" si="13"/>
        <v>54</v>
      </c>
      <c r="P183">
        <f t="shared" si="14"/>
        <v>2</v>
      </c>
      <c r="Q183" t="s">
        <v>5</v>
      </c>
    </row>
    <row r="184" spans="1:17" x14ac:dyDescent="0.35">
      <c r="A184" t="s">
        <v>12</v>
      </c>
      <c r="B184">
        <v>22</v>
      </c>
      <c r="C184">
        <v>370</v>
      </c>
      <c r="D184">
        <v>214</v>
      </c>
      <c r="E184">
        <v>156</v>
      </c>
      <c r="F184">
        <v>1</v>
      </c>
      <c r="G184">
        <v>24</v>
      </c>
      <c r="H184">
        <v>431</v>
      </c>
      <c r="I184">
        <v>310</v>
      </c>
      <c r="J184">
        <v>121</v>
      </c>
      <c r="K184">
        <v>3</v>
      </c>
      <c r="L184">
        <f t="shared" si="10"/>
        <v>-2</v>
      </c>
      <c r="M184">
        <f t="shared" si="11"/>
        <v>-61</v>
      </c>
      <c r="N184">
        <f t="shared" si="12"/>
        <v>-96</v>
      </c>
      <c r="O184">
        <f t="shared" si="13"/>
        <v>35</v>
      </c>
      <c r="P184">
        <f t="shared" si="14"/>
        <v>-2</v>
      </c>
      <c r="Q184" t="s">
        <v>7</v>
      </c>
    </row>
    <row r="185" spans="1:17" x14ac:dyDescent="0.35">
      <c r="A185" t="s">
        <v>11</v>
      </c>
      <c r="B185">
        <v>23</v>
      </c>
      <c r="C185">
        <v>442</v>
      </c>
      <c r="D185">
        <v>312</v>
      </c>
      <c r="E185">
        <v>130</v>
      </c>
      <c r="F185">
        <v>1</v>
      </c>
      <c r="G185">
        <v>11</v>
      </c>
      <c r="H185">
        <v>223</v>
      </c>
      <c r="I185">
        <v>78</v>
      </c>
      <c r="J185">
        <v>145</v>
      </c>
      <c r="K185">
        <v>2</v>
      </c>
      <c r="L185">
        <f t="shared" si="10"/>
        <v>12</v>
      </c>
      <c r="M185">
        <f t="shared" si="11"/>
        <v>219</v>
      </c>
      <c r="N185">
        <f t="shared" si="12"/>
        <v>234</v>
      </c>
      <c r="O185">
        <f t="shared" si="13"/>
        <v>-15</v>
      </c>
      <c r="P185">
        <f t="shared" si="14"/>
        <v>-1</v>
      </c>
      <c r="Q185" t="s">
        <v>7</v>
      </c>
    </row>
    <row r="186" spans="1:17" x14ac:dyDescent="0.35">
      <c r="A186" t="s">
        <v>12</v>
      </c>
      <c r="B186">
        <v>32</v>
      </c>
      <c r="C186">
        <v>563</v>
      </c>
      <c r="D186">
        <v>441</v>
      </c>
      <c r="E186">
        <v>122</v>
      </c>
      <c r="F186">
        <v>3</v>
      </c>
      <c r="G186">
        <v>24</v>
      </c>
      <c r="H186">
        <v>335</v>
      </c>
      <c r="I186">
        <v>215</v>
      </c>
      <c r="J186">
        <v>120</v>
      </c>
      <c r="K186">
        <v>0</v>
      </c>
      <c r="L186">
        <f t="shared" si="10"/>
        <v>8</v>
      </c>
      <c r="M186">
        <f t="shared" si="11"/>
        <v>228</v>
      </c>
      <c r="N186">
        <f t="shared" si="12"/>
        <v>226</v>
      </c>
      <c r="O186">
        <f t="shared" si="13"/>
        <v>2</v>
      </c>
      <c r="P186">
        <f t="shared" si="14"/>
        <v>3</v>
      </c>
      <c r="Q186" t="s">
        <v>5</v>
      </c>
    </row>
    <row r="187" spans="1:17" x14ac:dyDescent="0.35">
      <c r="A187" t="s">
        <v>11</v>
      </c>
      <c r="B187">
        <v>20</v>
      </c>
      <c r="C187">
        <v>346</v>
      </c>
      <c r="D187">
        <v>271</v>
      </c>
      <c r="E187">
        <v>75</v>
      </c>
      <c r="F187">
        <v>2</v>
      </c>
      <c r="G187">
        <v>17</v>
      </c>
      <c r="H187">
        <v>278</v>
      </c>
      <c r="I187">
        <v>184</v>
      </c>
      <c r="J187">
        <v>94</v>
      </c>
      <c r="K187">
        <v>1</v>
      </c>
      <c r="L187">
        <f t="shared" si="10"/>
        <v>3</v>
      </c>
      <c r="M187">
        <f t="shared" si="11"/>
        <v>68</v>
      </c>
      <c r="N187">
        <f t="shared" si="12"/>
        <v>87</v>
      </c>
      <c r="O187">
        <f t="shared" si="13"/>
        <v>-19</v>
      </c>
      <c r="P187">
        <f t="shared" si="14"/>
        <v>1</v>
      </c>
      <c r="Q187" t="s">
        <v>7</v>
      </c>
    </row>
    <row r="188" spans="1:17" x14ac:dyDescent="0.35">
      <c r="A188" t="s">
        <v>12</v>
      </c>
      <c r="B188">
        <v>28</v>
      </c>
      <c r="C188">
        <v>518</v>
      </c>
      <c r="D188">
        <v>383</v>
      </c>
      <c r="E188">
        <v>135</v>
      </c>
      <c r="F188">
        <v>2</v>
      </c>
      <c r="G188">
        <v>17</v>
      </c>
      <c r="H188">
        <v>288</v>
      </c>
      <c r="I188">
        <v>173</v>
      </c>
      <c r="J188">
        <v>115</v>
      </c>
      <c r="K188">
        <v>1</v>
      </c>
      <c r="L188">
        <f t="shared" si="10"/>
        <v>11</v>
      </c>
      <c r="M188">
        <f t="shared" si="11"/>
        <v>230</v>
      </c>
      <c r="N188">
        <f t="shared" si="12"/>
        <v>210</v>
      </c>
      <c r="O188">
        <f t="shared" si="13"/>
        <v>20</v>
      </c>
      <c r="P188">
        <f t="shared" si="14"/>
        <v>1</v>
      </c>
      <c r="Q188" t="s">
        <v>7</v>
      </c>
    </row>
    <row r="189" spans="1:17" x14ac:dyDescent="0.35">
      <c r="A189" t="s">
        <v>12</v>
      </c>
      <c r="B189">
        <v>23</v>
      </c>
      <c r="C189">
        <v>418</v>
      </c>
      <c r="D189">
        <v>300</v>
      </c>
      <c r="E189">
        <v>118</v>
      </c>
      <c r="F189">
        <v>1</v>
      </c>
      <c r="G189">
        <v>26</v>
      </c>
      <c r="H189">
        <v>351</v>
      </c>
      <c r="I189">
        <v>230</v>
      </c>
      <c r="J189">
        <v>121</v>
      </c>
      <c r="K189">
        <v>1</v>
      </c>
      <c r="L189">
        <f t="shared" si="10"/>
        <v>-3</v>
      </c>
      <c r="M189">
        <f t="shared" si="11"/>
        <v>67</v>
      </c>
      <c r="N189">
        <f t="shared" si="12"/>
        <v>70</v>
      </c>
      <c r="O189">
        <f t="shared" si="13"/>
        <v>-3</v>
      </c>
      <c r="P189">
        <f t="shared" si="14"/>
        <v>0</v>
      </c>
      <c r="Q189" t="s">
        <v>7</v>
      </c>
    </row>
    <row r="190" spans="1:17" x14ac:dyDescent="0.35">
      <c r="A190" t="s">
        <v>11</v>
      </c>
      <c r="B190">
        <v>19</v>
      </c>
      <c r="C190">
        <v>332</v>
      </c>
      <c r="D190">
        <v>210</v>
      </c>
      <c r="E190">
        <v>122</v>
      </c>
      <c r="F190">
        <v>3</v>
      </c>
      <c r="G190">
        <v>22</v>
      </c>
      <c r="H190">
        <v>259</v>
      </c>
      <c r="I190">
        <v>163</v>
      </c>
      <c r="J190">
        <v>96</v>
      </c>
      <c r="K190">
        <v>0</v>
      </c>
      <c r="L190">
        <f t="shared" si="10"/>
        <v>-3</v>
      </c>
      <c r="M190">
        <f t="shared" si="11"/>
        <v>73</v>
      </c>
      <c r="N190">
        <f t="shared" si="12"/>
        <v>47</v>
      </c>
      <c r="O190">
        <f t="shared" si="13"/>
        <v>26</v>
      </c>
      <c r="P190">
        <f t="shared" si="14"/>
        <v>3</v>
      </c>
      <c r="Q190" t="s">
        <v>5</v>
      </c>
    </row>
    <row r="191" spans="1:17" x14ac:dyDescent="0.35">
      <c r="A191" t="s">
        <v>11</v>
      </c>
      <c r="B191">
        <v>16</v>
      </c>
      <c r="C191">
        <v>308</v>
      </c>
      <c r="D191">
        <v>202</v>
      </c>
      <c r="E191">
        <v>106</v>
      </c>
      <c r="F191">
        <v>1</v>
      </c>
      <c r="G191">
        <v>26</v>
      </c>
      <c r="H191">
        <v>455</v>
      </c>
      <c r="I191">
        <v>293</v>
      </c>
      <c r="J191">
        <v>162</v>
      </c>
      <c r="K191">
        <v>2</v>
      </c>
      <c r="L191">
        <f t="shared" si="10"/>
        <v>-10</v>
      </c>
      <c r="M191">
        <f t="shared" si="11"/>
        <v>-147</v>
      </c>
      <c r="N191">
        <f t="shared" si="12"/>
        <v>-91</v>
      </c>
      <c r="O191">
        <f t="shared" si="13"/>
        <v>-56</v>
      </c>
      <c r="P191">
        <f t="shared" si="14"/>
        <v>-1</v>
      </c>
      <c r="Q191" t="s">
        <v>5</v>
      </c>
    </row>
    <row r="192" spans="1:17" x14ac:dyDescent="0.35">
      <c r="A192" t="s">
        <v>12</v>
      </c>
      <c r="B192">
        <v>12</v>
      </c>
      <c r="C192">
        <v>292</v>
      </c>
      <c r="D192">
        <v>192</v>
      </c>
      <c r="E192">
        <v>100</v>
      </c>
      <c r="F192">
        <v>0</v>
      </c>
      <c r="G192">
        <v>20</v>
      </c>
      <c r="H192">
        <v>415</v>
      </c>
      <c r="I192">
        <v>319</v>
      </c>
      <c r="J192">
        <v>96</v>
      </c>
      <c r="K192">
        <v>3</v>
      </c>
      <c r="L192">
        <f t="shared" si="10"/>
        <v>-8</v>
      </c>
      <c r="M192">
        <f t="shared" si="11"/>
        <v>-123</v>
      </c>
      <c r="N192">
        <f t="shared" si="12"/>
        <v>-127</v>
      </c>
      <c r="O192">
        <f t="shared" si="13"/>
        <v>4</v>
      </c>
      <c r="P192">
        <f t="shared" si="14"/>
        <v>-3</v>
      </c>
      <c r="Q192" t="s">
        <v>7</v>
      </c>
    </row>
    <row r="193" spans="1:17" x14ac:dyDescent="0.35">
      <c r="A193" t="s">
        <v>11</v>
      </c>
      <c r="B193">
        <v>15</v>
      </c>
      <c r="C193">
        <v>271</v>
      </c>
      <c r="D193">
        <v>209</v>
      </c>
      <c r="E193">
        <v>62</v>
      </c>
      <c r="F193">
        <v>0</v>
      </c>
      <c r="G193">
        <v>18</v>
      </c>
      <c r="H193">
        <v>277</v>
      </c>
      <c r="I193">
        <v>233</v>
      </c>
      <c r="J193">
        <v>44</v>
      </c>
      <c r="K193">
        <v>0</v>
      </c>
      <c r="L193">
        <f t="shared" si="10"/>
        <v>-3</v>
      </c>
      <c r="M193">
        <f t="shared" si="11"/>
        <v>-6</v>
      </c>
      <c r="N193">
        <f t="shared" si="12"/>
        <v>-24</v>
      </c>
      <c r="O193">
        <f t="shared" si="13"/>
        <v>18</v>
      </c>
      <c r="P193">
        <f t="shared" si="14"/>
        <v>0</v>
      </c>
      <c r="Q193" t="s">
        <v>5</v>
      </c>
    </row>
    <row r="194" spans="1:17" x14ac:dyDescent="0.35">
      <c r="A194" t="s">
        <v>12</v>
      </c>
      <c r="B194">
        <v>25</v>
      </c>
      <c r="C194">
        <v>475</v>
      </c>
      <c r="D194">
        <v>212</v>
      </c>
      <c r="E194">
        <v>263</v>
      </c>
      <c r="F194">
        <v>0</v>
      </c>
      <c r="G194">
        <v>23</v>
      </c>
      <c r="H194">
        <v>289</v>
      </c>
      <c r="I194">
        <v>267</v>
      </c>
      <c r="J194">
        <v>22</v>
      </c>
      <c r="K194">
        <v>1</v>
      </c>
      <c r="L194">
        <f t="shared" ref="L194:L257" si="15">B194-G194</f>
        <v>2</v>
      </c>
      <c r="M194">
        <f t="shared" ref="M194:M257" si="16">C194-H194</f>
        <v>186</v>
      </c>
      <c r="N194">
        <f t="shared" ref="N194:N257" si="17">D194-I194</f>
        <v>-55</v>
      </c>
      <c r="O194">
        <f t="shared" ref="O194:O257" si="18">E194-J194</f>
        <v>241</v>
      </c>
      <c r="P194">
        <f t="shared" ref="P194:P257" si="19">F194-K194</f>
        <v>-1</v>
      </c>
      <c r="Q194" t="s">
        <v>7</v>
      </c>
    </row>
    <row r="195" spans="1:17" x14ac:dyDescent="0.35">
      <c r="A195" t="s">
        <v>11</v>
      </c>
      <c r="B195">
        <v>21</v>
      </c>
      <c r="C195">
        <v>351</v>
      </c>
      <c r="D195">
        <v>261</v>
      </c>
      <c r="E195">
        <v>90</v>
      </c>
      <c r="F195">
        <v>0</v>
      </c>
      <c r="G195">
        <v>13</v>
      </c>
      <c r="H195">
        <v>302</v>
      </c>
      <c r="I195">
        <v>175</v>
      </c>
      <c r="J195">
        <v>127</v>
      </c>
      <c r="K195">
        <v>1</v>
      </c>
      <c r="L195">
        <f t="shared" si="15"/>
        <v>8</v>
      </c>
      <c r="M195">
        <f t="shared" si="16"/>
        <v>49</v>
      </c>
      <c r="N195">
        <f t="shared" si="17"/>
        <v>86</v>
      </c>
      <c r="O195">
        <f t="shared" si="18"/>
        <v>-37</v>
      </c>
      <c r="P195">
        <f t="shared" si="19"/>
        <v>-1</v>
      </c>
      <c r="Q195" t="s">
        <v>5</v>
      </c>
    </row>
    <row r="196" spans="1:17" x14ac:dyDescent="0.35">
      <c r="A196" t="s">
        <v>11</v>
      </c>
      <c r="B196">
        <v>24</v>
      </c>
      <c r="C196">
        <v>317</v>
      </c>
      <c r="D196">
        <v>174</v>
      </c>
      <c r="E196">
        <v>143</v>
      </c>
      <c r="F196">
        <v>1</v>
      </c>
      <c r="G196">
        <v>18</v>
      </c>
      <c r="H196">
        <v>310</v>
      </c>
      <c r="I196">
        <v>258</v>
      </c>
      <c r="J196">
        <v>52</v>
      </c>
      <c r="K196">
        <v>0</v>
      </c>
      <c r="L196">
        <f t="shared" si="15"/>
        <v>6</v>
      </c>
      <c r="M196">
        <f t="shared" si="16"/>
        <v>7</v>
      </c>
      <c r="N196">
        <f t="shared" si="17"/>
        <v>-84</v>
      </c>
      <c r="O196">
        <f t="shared" si="18"/>
        <v>91</v>
      </c>
      <c r="P196">
        <f t="shared" si="19"/>
        <v>1</v>
      </c>
      <c r="Q196" t="s">
        <v>7</v>
      </c>
    </row>
    <row r="197" spans="1:17" x14ac:dyDescent="0.35">
      <c r="A197" t="s">
        <v>12</v>
      </c>
      <c r="B197">
        <v>23</v>
      </c>
      <c r="C197">
        <v>414</v>
      </c>
      <c r="D197">
        <v>271</v>
      </c>
      <c r="E197">
        <v>143</v>
      </c>
      <c r="F197">
        <v>1</v>
      </c>
      <c r="G197">
        <v>14</v>
      </c>
      <c r="H197">
        <v>268</v>
      </c>
      <c r="I197">
        <v>176</v>
      </c>
      <c r="J197">
        <v>92</v>
      </c>
      <c r="K197">
        <v>0</v>
      </c>
      <c r="L197">
        <f t="shared" si="15"/>
        <v>9</v>
      </c>
      <c r="M197">
        <f t="shared" si="16"/>
        <v>146</v>
      </c>
      <c r="N197">
        <f t="shared" si="17"/>
        <v>95</v>
      </c>
      <c r="O197">
        <f t="shared" si="18"/>
        <v>51</v>
      </c>
      <c r="P197">
        <f t="shared" si="19"/>
        <v>1</v>
      </c>
      <c r="Q197" t="s">
        <v>7</v>
      </c>
    </row>
    <row r="198" spans="1:17" x14ac:dyDescent="0.35">
      <c r="A198" t="s">
        <v>12</v>
      </c>
      <c r="B198">
        <v>22</v>
      </c>
      <c r="C198">
        <v>361</v>
      </c>
      <c r="D198">
        <v>182</v>
      </c>
      <c r="E198">
        <v>179</v>
      </c>
      <c r="F198">
        <v>1</v>
      </c>
      <c r="G198">
        <v>15</v>
      </c>
      <c r="H198">
        <v>313</v>
      </c>
      <c r="I198">
        <v>239</v>
      </c>
      <c r="J198">
        <v>74</v>
      </c>
      <c r="K198">
        <v>3</v>
      </c>
      <c r="L198">
        <f t="shared" si="15"/>
        <v>7</v>
      </c>
      <c r="M198">
        <f t="shared" si="16"/>
        <v>48</v>
      </c>
      <c r="N198">
        <f t="shared" si="17"/>
        <v>-57</v>
      </c>
      <c r="O198">
        <f t="shared" si="18"/>
        <v>105</v>
      </c>
      <c r="P198">
        <f t="shared" si="19"/>
        <v>-2</v>
      </c>
      <c r="Q198" t="s">
        <v>7</v>
      </c>
    </row>
    <row r="199" spans="1:17" x14ac:dyDescent="0.35">
      <c r="A199" t="s">
        <v>11</v>
      </c>
      <c r="B199">
        <v>17</v>
      </c>
      <c r="C199">
        <v>283</v>
      </c>
      <c r="D199">
        <v>146</v>
      </c>
      <c r="E199">
        <v>137</v>
      </c>
      <c r="F199">
        <v>1</v>
      </c>
      <c r="G199">
        <v>10</v>
      </c>
      <c r="H199">
        <v>154</v>
      </c>
      <c r="I199">
        <v>50</v>
      </c>
      <c r="J199">
        <v>104</v>
      </c>
      <c r="K199">
        <v>1</v>
      </c>
      <c r="L199">
        <f t="shared" si="15"/>
        <v>7</v>
      </c>
      <c r="M199">
        <f t="shared" si="16"/>
        <v>129</v>
      </c>
      <c r="N199">
        <f t="shared" si="17"/>
        <v>96</v>
      </c>
      <c r="O199">
        <f t="shared" si="18"/>
        <v>33</v>
      </c>
      <c r="P199">
        <f t="shared" si="19"/>
        <v>0</v>
      </c>
      <c r="Q199" t="s">
        <v>7</v>
      </c>
    </row>
    <row r="200" spans="1:17" x14ac:dyDescent="0.35">
      <c r="A200" t="s">
        <v>11</v>
      </c>
      <c r="B200">
        <v>20</v>
      </c>
      <c r="C200">
        <v>362</v>
      </c>
      <c r="D200">
        <v>114</v>
      </c>
      <c r="E200">
        <v>248</v>
      </c>
      <c r="F200">
        <v>0</v>
      </c>
      <c r="G200">
        <v>22</v>
      </c>
      <c r="H200">
        <v>278</v>
      </c>
      <c r="I200">
        <v>213</v>
      </c>
      <c r="J200">
        <v>65</v>
      </c>
      <c r="K200">
        <v>2</v>
      </c>
      <c r="L200">
        <f t="shared" si="15"/>
        <v>-2</v>
      </c>
      <c r="M200">
        <f t="shared" si="16"/>
        <v>84</v>
      </c>
      <c r="N200">
        <f t="shared" si="17"/>
        <v>-99</v>
      </c>
      <c r="O200">
        <f t="shared" si="18"/>
        <v>183</v>
      </c>
      <c r="P200">
        <f t="shared" si="19"/>
        <v>-2</v>
      </c>
      <c r="Q200" t="s">
        <v>7</v>
      </c>
    </row>
    <row r="201" spans="1:17" x14ac:dyDescent="0.35">
      <c r="A201" t="s">
        <v>12</v>
      </c>
      <c r="B201">
        <v>18</v>
      </c>
      <c r="C201">
        <v>269</v>
      </c>
      <c r="D201">
        <v>192</v>
      </c>
      <c r="E201">
        <v>77</v>
      </c>
      <c r="F201">
        <v>2</v>
      </c>
      <c r="G201">
        <v>22</v>
      </c>
      <c r="H201">
        <v>277</v>
      </c>
      <c r="I201">
        <v>139</v>
      </c>
      <c r="J201">
        <v>138</v>
      </c>
      <c r="K201">
        <v>3</v>
      </c>
      <c r="L201">
        <f t="shared" si="15"/>
        <v>-4</v>
      </c>
      <c r="M201">
        <f t="shared" si="16"/>
        <v>-8</v>
      </c>
      <c r="N201">
        <f t="shared" si="17"/>
        <v>53</v>
      </c>
      <c r="O201">
        <f t="shared" si="18"/>
        <v>-61</v>
      </c>
      <c r="P201">
        <f t="shared" si="19"/>
        <v>-1</v>
      </c>
      <c r="Q201" t="s">
        <v>5</v>
      </c>
    </row>
    <row r="202" spans="1:17" x14ac:dyDescent="0.35">
      <c r="A202" t="s">
        <v>11</v>
      </c>
      <c r="B202">
        <v>27</v>
      </c>
      <c r="C202">
        <v>549</v>
      </c>
      <c r="D202">
        <v>417</v>
      </c>
      <c r="E202">
        <v>132</v>
      </c>
      <c r="F202">
        <v>0</v>
      </c>
      <c r="G202">
        <v>13</v>
      </c>
      <c r="H202">
        <v>198</v>
      </c>
      <c r="I202">
        <v>124</v>
      </c>
      <c r="J202">
        <v>74</v>
      </c>
      <c r="K202">
        <v>1</v>
      </c>
      <c r="L202">
        <f t="shared" si="15"/>
        <v>14</v>
      </c>
      <c r="M202">
        <f t="shared" si="16"/>
        <v>351</v>
      </c>
      <c r="N202">
        <f t="shared" si="17"/>
        <v>293</v>
      </c>
      <c r="O202">
        <f t="shared" si="18"/>
        <v>58</v>
      </c>
      <c r="P202">
        <f t="shared" si="19"/>
        <v>-1</v>
      </c>
      <c r="Q202" t="s">
        <v>7</v>
      </c>
    </row>
    <row r="203" spans="1:17" x14ac:dyDescent="0.35">
      <c r="A203" t="s">
        <v>12</v>
      </c>
      <c r="B203">
        <v>25</v>
      </c>
      <c r="C203">
        <v>356</v>
      </c>
      <c r="D203">
        <v>287</v>
      </c>
      <c r="E203">
        <v>69</v>
      </c>
      <c r="F203">
        <v>5</v>
      </c>
      <c r="G203">
        <v>21</v>
      </c>
      <c r="H203">
        <v>298</v>
      </c>
      <c r="I203">
        <v>208</v>
      </c>
      <c r="J203">
        <v>90</v>
      </c>
      <c r="K203">
        <v>1</v>
      </c>
      <c r="L203">
        <f t="shared" si="15"/>
        <v>4</v>
      </c>
      <c r="M203">
        <f t="shared" si="16"/>
        <v>58</v>
      </c>
      <c r="N203">
        <f t="shared" si="17"/>
        <v>79</v>
      </c>
      <c r="O203">
        <f t="shared" si="18"/>
        <v>-21</v>
      </c>
      <c r="P203">
        <f t="shared" si="19"/>
        <v>4</v>
      </c>
      <c r="Q203" t="s">
        <v>5</v>
      </c>
    </row>
    <row r="204" spans="1:17" x14ac:dyDescent="0.35">
      <c r="A204" t="s">
        <v>12</v>
      </c>
      <c r="B204">
        <v>21</v>
      </c>
      <c r="C204">
        <v>343</v>
      </c>
      <c r="D204">
        <v>216</v>
      </c>
      <c r="E204">
        <v>127</v>
      </c>
      <c r="F204">
        <v>3</v>
      </c>
      <c r="G204">
        <v>22</v>
      </c>
      <c r="H204">
        <v>349</v>
      </c>
      <c r="I204">
        <v>183</v>
      </c>
      <c r="J204">
        <v>166</v>
      </c>
      <c r="K204">
        <v>1</v>
      </c>
      <c r="L204">
        <f t="shared" si="15"/>
        <v>-1</v>
      </c>
      <c r="M204">
        <f t="shared" si="16"/>
        <v>-6</v>
      </c>
      <c r="N204">
        <f t="shared" si="17"/>
        <v>33</v>
      </c>
      <c r="O204">
        <f t="shared" si="18"/>
        <v>-39</v>
      </c>
      <c r="P204">
        <f t="shared" si="19"/>
        <v>2</v>
      </c>
      <c r="Q204" t="s">
        <v>5</v>
      </c>
    </row>
    <row r="205" spans="1:17" x14ac:dyDescent="0.35">
      <c r="A205" t="s">
        <v>12</v>
      </c>
      <c r="B205">
        <v>21</v>
      </c>
      <c r="C205">
        <v>337</v>
      </c>
      <c r="D205">
        <v>249</v>
      </c>
      <c r="E205">
        <v>88</v>
      </c>
      <c r="F205">
        <v>1</v>
      </c>
      <c r="G205">
        <v>21</v>
      </c>
      <c r="H205">
        <v>374</v>
      </c>
      <c r="I205">
        <v>256</v>
      </c>
      <c r="J205">
        <v>118</v>
      </c>
      <c r="K205">
        <v>0</v>
      </c>
      <c r="L205">
        <f t="shared" si="15"/>
        <v>0</v>
      </c>
      <c r="M205">
        <f t="shared" si="16"/>
        <v>-37</v>
      </c>
      <c r="N205">
        <f t="shared" si="17"/>
        <v>-7</v>
      </c>
      <c r="O205">
        <f t="shared" si="18"/>
        <v>-30</v>
      </c>
      <c r="P205">
        <f t="shared" si="19"/>
        <v>1</v>
      </c>
      <c r="Q205" t="s">
        <v>5</v>
      </c>
    </row>
    <row r="206" spans="1:17" x14ac:dyDescent="0.35">
      <c r="A206" t="s">
        <v>11</v>
      </c>
      <c r="B206">
        <v>25</v>
      </c>
      <c r="C206">
        <v>366</v>
      </c>
      <c r="D206">
        <v>258</v>
      </c>
      <c r="E206">
        <v>108</v>
      </c>
      <c r="F206">
        <v>2</v>
      </c>
      <c r="G206">
        <v>16</v>
      </c>
      <c r="H206">
        <v>336</v>
      </c>
      <c r="I206">
        <v>174</v>
      </c>
      <c r="J206">
        <v>162</v>
      </c>
      <c r="K206">
        <v>1</v>
      </c>
      <c r="L206">
        <f t="shared" si="15"/>
        <v>9</v>
      </c>
      <c r="M206">
        <f t="shared" si="16"/>
        <v>30</v>
      </c>
      <c r="N206">
        <f t="shared" si="17"/>
        <v>84</v>
      </c>
      <c r="O206">
        <f t="shared" si="18"/>
        <v>-54</v>
      </c>
      <c r="P206">
        <f t="shared" si="19"/>
        <v>1</v>
      </c>
      <c r="Q206" t="s">
        <v>5</v>
      </c>
    </row>
    <row r="207" spans="1:17" x14ac:dyDescent="0.35">
      <c r="A207" t="s">
        <v>12</v>
      </c>
      <c r="B207">
        <v>20</v>
      </c>
      <c r="C207">
        <v>271</v>
      </c>
      <c r="D207">
        <v>171</v>
      </c>
      <c r="E207">
        <v>100</v>
      </c>
      <c r="F207">
        <v>3</v>
      </c>
      <c r="G207">
        <v>24</v>
      </c>
      <c r="H207">
        <v>429</v>
      </c>
      <c r="I207">
        <v>257</v>
      </c>
      <c r="J207">
        <v>172</v>
      </c>
      <c r="K207">
        <v>2</v>
      </c>
      <c r="L207">
        <f t="shared" si="15"/>
        <v>-4</v>
      </c>
      <c r="M207">
        <f t="shared" si="16"/>
        <v>-158</v>
      </c>
      <c r="N207">
        <f t="shared" si="17"/>
        <v>-86</v>
      </c>
      <c r="O207">
        <f t="shared" si="18"/>
        <v>-72</v>
      </c>
      <c r="P207">
        <f t="shared" si="19"/>
        <v>1</v>
      </c>
      <c r="Q207" t="s">
        <v>5</v>
      </c>
    </row>
    <row r="208" spans="1:17" x14ac:dyDescent="0.35">
      <c r="A208" t="s">
        <v>12</v>
      </c>
      <c r="B208">
        <v>21</v>
      </c>
      <c r="C208">
        <v>263</v>
      </c>
      <c r="D208">
        <v>156</v>
      </c>
      <c r="E208">
        <v>107</v>
      </c>
      <c r="F208">
        <v>3</v>
      </c>
      <c r="G208">
        <v>18</v>
      </c>
      <c r="H208">
        <v>245</v>
      </c>
      <c r="I208">
        <v>89</v>
      </c>
      <c r="J208">
        <v>156</v>
      </c>
      <c r="K208">
        <v>0</v>
      </c>
      <c r="L208">
        <f t="shared" si="15"/>
        <v>3</v>
      </c>
      <c r="M208">
        <f t="shared" si="16"/>
        <v>18</v>
      </c>
      <c r="N208">
        <f t="shared" si="17"/>
        <v>67</v>
      </c>
      <c r="O208">
        <f t="shared" si="18"/>
        <v>-49</v>
      </c>
      <c r="P208">
        <f t="shared" si="19"/>
        <v>3</v>
      </c>
      <c r="Q208" t="s">
        <v>5</v>
      </c>
    </row>
    <row r="209" spans="1:17" x14ac:dyDescent="0.35">
      <c r="A209" t="s">
        <v>11</v>
      </c>
      <c r="B209">
        <v>23</v>
      </c>
      <c r="C209">
        <v>374</v>
      </c>
      <c r="D209">
        <v>234</v>
      </c>
      <c r="E209">
        <v>140</v>
      </c>
      <c r="F209">
        <v>2</v>
      </c>
      <c r="G209">
        <v>24</v>
      </c>
      <c r="H209">
        <v>432</v>
      </c>
      <c r="I209">
        <v>269</v>
      </c>
      <c r="J209">
        <v>163</v>
      </c>
      <c r="K209">
        <v>1</v>
      </c>
      <c r="L209">
        <f t="shared" si="15"/>
        <v>-1</v>
      </c>
      <c r="M209">
        <f t="shared" si="16"/>
        <v>-58</v>
      </c>
      <c r="N209">
        <f t="shared" si="17"/>
        <v>-35</v>
      </c>
      <c r="O209">
        <f t="shared" si="18"/>
        <v>-23</v>
      </c>
      <c r="P209">
        <f t="shared" si="19"/>
        <v>1</v>
      </c>
      <c r="Q209" t="s">
        <v>7</v>
      </c>
    </row>
    <row r="210" spans="1:17" x14ac:dyDescent="0.35">
      <c r="A210" t="s">
        <v>12</v>
      </c>
      <c r="B210">
        <v>10</v>
      </c>
      <c r="C210">
        <v>154</v>
      </c>
      <c r="D210">
        <v>50</v>
      </c>
      <c r="E210">
        <v>104</v>
      </c>
      <c r="F210">
        <v>1</v>
      </c>
      <c r="G210">
        <v>17</v>
      </c>
      <c r="H210">
        <v>283</v>
      </c>
      <c r="I210">
        <v>146</v>
      </c>
      <c r="J210">
        <v>137</v>
      </c>
      <c r="K210">
        <v>1</v>
      </c>
      <c r="L210">
        <f t="shared" si="15"/>
        <v>-7</v>
      </c>
      <c r="M210">
        <f t="shared" si="16"/>
        <v>-129</v>
      </c>
      <c r="N210">
        <f t="shared" si="17"/>
        <v>-96</v>
      </c>
      <c r="O210">
        <f t="shared" si="18"/>
        <v>-33</v>
      </c>
      <c r="P210">
        <f t="shared" si="19"/>
        <v>0</v>
      </c>
      <c r="Q210" t="s">
        <v>5</v>
      </c>
    </row>
    <row r="211" spans="1:17" x14ac:dyDescent="0.35">
      <c r="A211" t="s">
        <v>12</v>
      </c>
      <c r="B211">
        <v>19</v>
      </c>
      <c r="C211">
        <v>470</v>
      </c>
      <c r="D211">
        <v>372</v>
      </c>
      <c r="E211">
        <v>98</v>
      </c>
      <c r="F211">
        <v>0</v>
      </c>
      <c r="G211">
        <v>24</v>
      </c>
      <c r="H211">
        <v>401</v>
      </c>
      <c r="I211">
        <v>297</v>
      </c>
      <c r="J211">
        <v>104</v>
      </c>
      <c r="K211">
        <v>0</v>
      </c>
      <c r="L211">
        <f t="shared" si="15"/>
        <v>-5</v>
      </c>
      <c r="M211">
        <f t="shared" si="16"/>
        <v>69</v>
      </c>
      <c r="N211">
        <f t="shared" si="17"/>
        <v>75</v>
      </c>
      <c r="O211">
        <f t="shared" si="18"/>
        <v>-6</v>
      </c>
      <c r="P211">
        <f t="shared" si="19"/>
        <v>0</v>
      </c>
      <c r="Q211" t="s">
        <v>7</v>
      </c>
    </row>
    <row r="212" spans="1:17" x14ac:dyDescent="0.35">
      <c r="A212" t="s">
        <v>11</v>
      </c>
      <c r="B212">
        <v>19</v>
      </c>
      <c r="C212">
        <v>315</v>
      </c>
      <c r="D212">
        <v>241</v>
      </c>
      <c r="E212">
        <v>74</v>
      </c>
      <c r="F212">
        <v>1</v>
      </c>
      <c r="G212">
        <v>14</v>
      </c>
      <c r="H212">
        <v>242</v>
      </c>
      <c r="I212">
        <v>193</v>
      </c>
      <c r="J212">
        <v>49</v>
      </c>
      <c r="K212">
        <v>4</v>
      </c>
      <c r="L212">
        <f t="shared" si="15"/>
        <v>5</v>
      </c>
      <c r="M212">
        <f t="shared" si="16"/>
        <v>73</v>
      </c>
      <c r="N212">
        <f t="shared" si="17"/>
        <v>48</v>
      </c>
      <c r="O212">
        <f t="shared" si="18"/>
        <v>25</v>
      </c>
      <c r="P212">
        <f t="shared" si="19"/>
        <v>-3</v>
      </c>
      <c r="Q212" t="s">
        <v>7</v>
      </c>
    </row>
    <row r="213" spans="1:17" x14ac:dyDescent="0.35">
      <c r="A213" t="s">
        <v>12</v>
      </c>
      <c r="B213">
        <v>19</v>
      </c>
      <c r="C213">
        <v>357</v>
      </c>
      <c r="D213">
        <v>259</v>
      </c>
      <c r="E213">
        <v>98</v>
      </c>
      <c r="F213">
        <v>0</v>
      </c>
      <c r="G213">
        <v>18</v>
      </c>
      <c r="H213">
        <v>344</v>
      </c>
      <c r="I213">
        <v>249</v>
      </c>
      <c r="J213">
        <v>95</v>
      </c>
      <c r="K213">
        <v>0</v>
      </c>
      <c r="L213">
        <f t="shared" si="15"/>
        <v>1</v>
      </c>
      <c r="M213">
        <f t="shared" si="16"/>
        <v>13</v>
      </c>
      <c r="N213">
        <f t="shared" si="17"/>
        <v>10</v>
      </c>
      <c r="O213">
        <f t="shared" si="18"/>
        <v>3</v>
      </c>
      <c r="P213">
        <f t="shared" si="19"/>
        <v>0</v>
      </c>
      <c r="Q213" t="s">
        <v>7</v>
      </c>
    </row>
    <row r="214" spans="1:17" x14ac:dyDescent="0.35">
      <c r="A214" t="s">
        <v>12</v>
      </c>
      <c r="B214">
        <v>19</v>
      </c>
      <c r="C214">
        <v>357</v>
      </c>
      <c r="D214">
        <v>204</v>
      </c>
      <c r="E214">
        <v>153</v>
      </c>
      <c r="F214">
        <v>0</v>
      </c>
      <c r="G214">
        <v>21</v>
      </c>
      <c r="H214">
        <v>411</v>
      </c>
      <c r="I214">
        <v>310</v>
      </c>
      <c r="J214">
        <v>101</v>
      </c>
      <c r="K214">
        <v>0</v>
      </c>
      <c r="L214">
        <f t="shared" si="15"/>
        <v>-2</v>
      </c>
      <c r="M214">
        <f t="shared" si="16"/>
        <v>-54</v>
      </c>
      <c r="N214">
        <f t="shared" si="17"/>
        <v>-106</v>
      </c>
      <c r="O214">
        <f t="shared" si="18"/>
        <v>52</v>
      </c>
      <c r="P214">
        <f t="shared" si="19"/>
        <v>0</v>
      </c>
      <c r="Q214" t="s">
        <v>5</v>
      </c>
    </row>
    <row r="215" spans="1:17" x14ac:dyDescent="0.35">
      <c r="A215" t="s">
        <v>11</v>
      </c>
      <c r="B215">
        <v>16</v>
      </c>
      <c r="C215">
        <v>287</v>
      </c>
      <c r="D215">
        <v>201</v>
      </c>
      <c r="E215">
        <v>86</v>
      </c>
      <c r="F215">
        <v>0</v>
      </c>
      <c r="G215">
        <v>22</v>
      </c>
      <c r="H215">
        <v>373</v>
      </c>
      <c r="I215">
        <v>246</v>
      </c>
      <c r="J215">
        <v>127</v>
      </c>
      <c r="K215">
        <v>2</v>
      </c>
      <c r="L215">
        <f t="shared" si="15"/>
        <v>-6</v>
      </c>
      <c r="M215">
        <f t="shared" si="16"/>
        <v>-86</v>
      </c>
      <c r="N215">
        <f t="shared" si="17"/>
        <v>-45</v>
      </c>
      <c r="O215">
        <f t="shared" si="18"/>
        <v>-41</v>
      </c>
      <c r="P215">
        <f t="shared" si="19"/>
        <v>-2</v>
      </c>
      <c r="Q215" t="s">
        <v>7</v>
      </c>
    </row>
    <row r="216" spans="1:17" x14ac:dyDescent="0.35">
      <c r="A216" t="s">
        <v>11</v>
      </c>
      <c r="B216">
        <v>27</v>
      </c>
      <c r="C216">
        <v>345</v>
      </c>
      <c r="D216">
        <v>272</v>
      </c>
      <c r="E216">
        <v>73</v>
      </c>
      <c r="F216">
        <v>3</v>
      </c>
      <c r="G216">
        <v>18</v>
      </c>
      <c r="H216">
        <v>269</v>
      </c>
      <c r="I216">
        <v>97</v>
      </c>
      <c r="J216">
        <v>172</v>
      </c>
      <c r="K216">
        <v>0</v>
      </c>
      <c r="L216">
        <f t="shared" si="15"/>
        <v>9</v>
      </c>
      <c r="M216">
        <f t="shared" si="16"/>
        <v>76</v>
      </c>
      <c r="N216">
        <f t="shared" si="17"/>
        <v>175</v>
      </c>
      <c r="O216">
        <f t="shared" si="18"/>
        <v>-99</v>
      </c>
      <c r="P216">
        <f t="shared" si="19"/>
        <v>3</v>
      </c>
      <c r="Q216" t="s">
        <v>5</v>
      </c>
    </row>
    <row r="217" spans="1:17" x14ac:dyDescent="0.35">
      <c r="A217" t="s">
        <v>12</v>
      </c>
      <c r="B217">
        <v>25</v>
      </c>
      <c r="C217">
        <v>457</v>
      </c>
      <c r="D217">
        <v>345</v>
      </c>
      <c r="E217">
        <v>112</v>
      </c>
      <c r="F217">
        <v>1</v>
      </c>
      <c r="G217">
        <v>19</v>
      </c>
      <c r="H217">
        <v>252</v>
      </c>
      <c r="I217">
        <v>158</v>
      </c>
      <c r="J217">
        <v>94</v>
      </c>
      <c r="K217">
        <v>0</v>
      </c>
      <c r="L217">
        <f t="shared" si="15"/>
        <v>6</v>
      </c>
      <c r="M217">
        <f t="shared" si="16"/>
        <v>205</v>
      </c>
      <c r="N217">
        <f t="shared" si="17"/>
        <v>187</v>
      </c>
      <c r="O217">
        <f t="shared" si="18"/>
        <v>18</v>
      </c>
      <c r="P217">
        <f t="shared" si="19"/>
        <v>1</v>
      </c>
      <c r="Q217" t="s">
        <v>7</v>
      </c>
    </row>
    <row r="218" spans="1:17" x14ac:dyDescent="0.35">
      <c r="A218" t="s">
        <v>11</v>
      </c>
      <c r="B218">
        <v>19</v>
      </c>
      <c r="C218">
        <v>198</v>
      </c>
      <c r="D218">
        <v>81</v>
      </c>
      <c r="E218">
        <v>117</v>
      </c>
      <c r="F218">
        <v>1</v>
      </c>
      <c r="G218">
        <v>16</v>
      </c>
      <c r="H218">
        <v>339</v>
      </c>
      <c r="I218">
        <v>227</v>
      </c>
      <c r="J218">
        <v>112</v>
      </c>
      <c r="K218">
        <v>0</v>
      </c>
      <c r="L218">
        <f t="shared" si="15"/>
        <v>3</v>
      </c>
      <c r="M218">
        <f t="shared" si="16"/>
        <v>-141</v>
      </c>
      <c r="N218">
        <f t="shared" si="17"/>
        <v>-146</v>
      </c>
      <c r="O218">
        <f t="shared" si="18"/>
        <v>5</v>
      </c>
      <c r="P218">
        <f t="shared" si="19"/>
        <v>1</v>
      </c>
      <c r="Q218" t="s">
        <v>5</v>
      </c>
    </row>
    <row r="219" spans="1:17" x14ac:dyDescent="0.35">
      <c r="A219" t="s">
        <v>11</v>
      </c>
      <c r="B219">
        <v>22</v>
      </c>
      <c r="C219">
        <v>328</v>
      </c>
      <c r="D219">
        <v>189</v>
      </c>
      <c r="E219">
        <v>139</v>
      </c>
      <c r="F219">
        <v>3</v>
      </c>
      <c r="G219">
        <v>17</v>
      </c>
      <c r="H219">
        <v>273</v>
      </c>
      <c r="I219">
        <v>183</v>
      </c>
      <c r="J219">
        <v>90</v>
      </c>
      <c r="K219">
        <v>2</v>
      </c>
      <c r="L219">
        <f t="shared" si="15"/>
        <v>5</v>
      </c>
      <c r="M219">
        <f t="shared" si="16"/>
        <v>55</v>
      </c>
      <c r="N219">
        <f t="shared" si="17"/>
        <v>6</v>
      </c>
      <c r="O219">
        <f t="shared" si="18"/>
        <v>49</v>
      </c>
      <c r="P219">
        <f t="shared" si="19"/>
        <v>1</v>
      </c>
      <c r="Q219" t="s">
        <v>5</v>
      </c>
    </row>
    <row r="220" spans="1:17" x14ac:dyDescent="0.35">
      <c r="A220" t="s">
        <v>12</v>
      </c>
      <c r="B220">
        <v>11</v>
      </c>
      <c r="C220">
        <v>244</v>
      </c>
      <c r="D220">
        <v>158</v>
      </c>
      <c r="E220">
        <v>86</v>
      </c>
      <c r="F220">
        <v>2</v>
      </c>
      <c r="G220">
        <v>16</v>
      </c>
      <c r="H220">
        <v>338</v>
      </c>
      <c r="I220">
        <v>179</v>
      </c>
      <c r="J220">
        <v>159</v>
      </c>
      <c r="K220">
        <v>1</v>
      </c>
      <c r="L220">
        <f t="shared" si="15"/>
        <v>-5</v>
      </c>
      <c r="M220">
        <f t="shared" si="16"/>
        <v>-94</v>
      </c>
      <c r="N220">
        <f t="shared" si="17"/>
        <v>-21</v>
      </c>
      <c r="O220">
        <f t="shared" si="18"/>
        <v>-73</v>
      </c>
      <c r="P220">
        <f t="shared" si="19"/>
        <v>1</v>
      </c>
      <c r="Q220" t="s">
        <v>5</v>
      </c>
    </row>
    <row r="221" spans="1:17" x14ac:dyDescent="0.35">
      <c r="A221" t="s">
        <v>11</v>
      </c>
      <c r="B221">
        <v>19</v>
      </c>
      <c r="C221">
        <v>336</v>
      </c>
      <c r="D221">
        <v>189</v>
      </c>
      <c r="E221">
        <v>147</v>
      </c>
      <c r="F221">
        <v>4</v>
      </c>
      <c r="G221">
        <v>21</v>
      </c>
      <c r="H221">
        <v>302</v>
      </c>
      <c r="I221">
        <v>215</v>
      </c>
      <c r="J221">
        <v>87</v>
      </c>
      <c r="K221">
        <v>3</v>
      </c>
      <c r="L221">
        <f t="shared" si="15"/>
        <v>-2</v>
      </c>
      <c r="M221">
        <f t="shared" si="16"/>
        <v>34</v>
      </c>
      <c r="N221">
        <f t="shared" si="17"/>
        <v>-26</v>
      </c>
      <c r="O221">
        <f t="shared" si="18"/>
        <v>60</v>
      </c>
      <c r="P221">
        <f t="shared" si="19"/>
        <v>1</v>
      </c>
      <c r="Q221" t="s">
        <v>7</v>
      </c>
    </row>
    <row r="222" spans="1:17" x14ac:dyDescent="0.35">
      <c r="A222" t="s">
        <v>11</v>
      </c>
      <c r="B222">
        <v>26</v>
      </c>
      <c r="C222">
        <v>509</v>
      </c>
      <c r="D222">
        <v>434</v>
      </c>
      <c r="E222">
        <v>75</v>
      </c>
      <c r="F222">
        <v>1</v>
      </c>
      <c r="G222">
        <v>19</v>
      </c>
      <c r="H222">
        <v>312</v>
      </c>
      <c r="I222">
        <v>191</v>
      </c>
      <c r="J222">
        <v>121</v>
      </c>
      <c r="K222">
        <v>0</v>
      </c>
      <c r="L222">
        <f t="shared" si="15"/>
        <v>7</v>
      </c>
      <c r="M222">
        <f t="shared" si="16"/>
        <v>197</v>
      </c>
      <c r="N222">
        <f t="shared" si="17"/>
        <v>243</v>
      </c>
      <c r="O222">
        <f t="shared" si="18"/>
        <v>-46</v>
      </c>
      <c r="P222">
        <f t="shared" si="19"/>
        <v>1</v>
      </c>
      <c r="Q222" t="s">
        <v>7</v>
      </c>
    </row>
    <row r="223" spans="1:17" x14ac:dyDescent="0.35">
      <c r="A223" t="s">
        <v>11</v>
      </c>
      <c r="B223">
        <v>21</v>
      </c>
      <c r="C223">
        <v>374</v>
      </c>
      <c r="D223">
        <v>256</v>
      </c>
      <c r="E223">
        <v>118</v>
      </c>
      <c r="F223">
        <v>0</v>
      </c>
      <c r="G223">
        <v>21</v>
      </c>
      <c r="H223">
        <v>337</v>
      </c>
      <c r="I223">
        <v>249</v>
      </c>
      <c r="J223">
        <v>88</v>
      </c>
      <c r="K223">
        <v>1</v>
      </c>
      <c r="L223">
        <f t="shared" si="15"/>
        <v>0</v>
      </c>
      <c r="M223">
        <f t="shared" si="16"/>
        <v>37</v>
      </c>
      <c r="N223">
        <f t="shared" si="17"/>
        <v>7</v>
      </c>
      <c r="O223">
        <f t="shared" si="18"/>
        <v>30</v>
      </c>
      <c r="P223">
        <f t="shared" si="19"/>
        <v>-1</v>
      </c>
      <c r="Q223" t="s">
        <v>7</v>
      </c>
    </row>
    <row r="224" spans="1:17" x14ac:dyDescent="0.35">
      <c r="A224" t="s">
        <v>12</v>
      </c>
      <c r="B224">
        <v>27</v>
      </c>
      <c r="C224">
        <v>427</v>
      </c>
      <c r="D224">
        <v>313</v>
      </c>
      <c r="E224">
        <v>114</v>
      </c>
      <c r="F224">
        <v>2</v>
      </c>
      <c r="G224">
        <v>10</v>
      </c>
      <c r="H224">
        <v>213</v>
      </c>
      <c r="I224">
        <v>161</v>
      </c>
      <c r="J224">
        <v>52</v>
      </c>
      <c r="K224">
        <v>4</v>
      </c>
      <c r="L224">
        <f t="shared" si="15"/>
        <v>17</v>
      </c>
      <c r="M224">
        <f t="shared" si="16"/>
        <v>214</v>
      </c>
      <c r="N224">
        <f t="shared" si="17"/>
        <v>152</v>
      </c>
      <c r="O224">
        <f t="shared" si="18"/>
        <v>62</v>
      </c>
      <c r="P224">
        <f t="shared" si="19"/>
        <v>-2</v>
      </c>
      <c r="Q224" t="s">
        <v>7</v>
      </c>
    </row>
    <row r="225" spans="1:17" x14ac:dyDescent="0.35">
      <c r="A225" t="s">
        <v>12</v>
      </c>
      <c r="B225">
        <v>23</v>
      </c>
      <c r="C225">
        <v>353</v>
      </c>
      <c r="D225">
        <v>286</v>
      </c>
      <c r="E225">
        <v>67</v>
      </c>
      <c r="F225">
        <v>1</v>
      </c>
      <c r="G225">
        <v>17</v>
      </c>
      <c r="H225">
        <v>275</v>
      </c>
      <c r="I225">
        <v>143</v>
      </c>
      <c r="J225">
        <v>132</v>
      </c>
      <c r="K225">
        <v>2</v>
      </c>
      <c r="L225">
        <f t="shared" si="15"/>
        <v>6</v>
      </c>
      <c r="M225">
        <f t="shared" si="16"/>
        <v>78</v>
      </c>
      <c r="N225">
        <f t="shared" si="17"/>
        <v>143</v>
      </c>
      <c r="O225">
        <f t="shared" si="18"/>
        <v>-65</v>
      </c>
      <c r="P225">
        <f t="shared" si="19"/>
        <v>-1</v>
      </c>
      <c r="Q225" t="s">
        <v>7</v>
      </c>
    </row>
    <row r="226" spans="1:17" x14ac:dyDescent="0.35">
      <c r="A226" t="s">
        <v>12</v>
      </c>
      <c r="B226">
        <v>22</v>
      </c>
      <c r="C226">
        <v>481</v>
      </c>
      <c r="D226">
        <v>421</v>
      </c>
      <c r="E226">
        <v>60</v>
      </c>
      <c r="F226">
        <v>0</v>
      </c>
      <c r="G226">
        <v>21</v>
      </c>
      <c r="H226">
        <v>484</v>
      </c>
      <c r="I226">
        <v>329</v>
      </c>
      <c r="J226">
        <v>155</v>
      </c>
      <c r="K226">
        <v>2</v>
      </c>
      <c r="L226">
        <f t="shared" si="15"/>
        <v>1</v>
      </c>
      <c r="M226">
        <f t="shared" si="16"/>
        <v>-3</v>
      </c>
      <c r="N226">
        <f t="shared" si="17"/>
        <v>92</v>
      </c>
      <c r="O226">
        <f t="shared" si="18"/>
        <v>-95</v>
      </c>
      <c r="P226">
        <f t="shared" si="19"/>
        <v>-2</v>
      </c>
      <c r="Q226" t="s">
        <v>7</v>
      </c>
    </row>
    <row r="227" spans="1:17" x14ac:dyDescent="0.35">
      <c r="A227" t="s">
        <v>11</v>
      </c>
      <c r="B227">
        <v>23</v>
      </c>
      <c r="C227">
        <v>442</v>
      </c>
      <c r="D227">
        <v>348</v>
      </c>
      <c r="E227">
        <v>94</v>
      </c>
      <c r="F227">
        <v>1</v>
      </c>
      <c r="G227">
        <v>29</v>
      </c>
      <c r="H227">
        <v>434</v>
      </c>
      <c r="I227">
        <v>316</v>
      </c>
      <c r="J227">
        <v>118</v>
      </c>
      <c r="K227">
        <v>1</v>
      </c>
      <c r="L227">
        <f t="shared" si="15"/>
        <v>-6</v>
      </c>
      <c r="M227">
        <f t="shared" si="16"/>
        <v>8</v>
      </c>
      <c r="N227">
        <f t="shared" si="17"/>
        <v>32</v>
      </c>
      <c r="O227">
        <f t="shared" si="18"/>
        <v>-24</v>
      </c>
      <c r="P227">
        <f t="shared" si="19"/>
        <v>0</v>
      </c>
      <c r="Q227" t="s">
        <v>5</v>
      </c>
    </row>
    <row r="228" spans="1:17" x14ac:dyDescent="0.35">
      <c r="A228" t="s">
        <v>11</v>
      </c>
      <c r="B228">
        <v>18</v>
      </c>
      <c r="C228">
        <v>262</v>
      </c>
      <c r="D228">
        <v>141</v>
      </c>
      <c r="E228">
        <v>121</v>
      </c>
      <c r="F228">
        <v>1</v>
      </c>
      <c r="G228">
        <v>18</v>
      </c>
      <c r="H228">
        <v>341</v>
      </c>
      <c r="I228">
        <v>167</v>
      </c>
      <c r="J228">
        <v>174</v>
      </c>
      <c r="K228">
        <v>1</v>
      </c>
      <c r="L228">
        <f t="shared" si="15"/>
        <v>0</v>
      </c>
      <c r="M228">
        <f t="shared" si="16"/>
        <v>-79</v>
      </c>
      <c r="N228">
        <f t="shared" si="17"/>
        <v>-26</v>
      </c>
      <c r="O228">
        <f t="shared" si="18"/>
        <v>-53</v>
      </c>
      <c r="P228">
        <f t="shared" si="19"/>
        <v>0</v>
      </c>
      <c r="Q228" t="s">
        <v>5</v>
      </c>
    </row>
    <row r="229" spans="1:17" x14ac:dyDescent="0.35">
      <c r="A229" t="s">
        <v>11</v>
      </c>
      <c r="B229">
        <v>17</v>
      </c>
      <c r="C229">
        <v>321</v>
      </c>
      <c r="D229">
        <v>238</v>
      </c>
      <c r="E229">
        <v>83</v>
      </c>
      <c r="F229">
        <v>1</v>
      </c>
      <c r="G229">
        <v>22</v>
      </c>
      <c r="H229">
        <v>316</v>
      </c>
      <c r="I229">
        <v>266</v>
      </c>
      <c r="J229">
        <v>50</v>
      </c>
      <c r="K229">
        <v>0</v>
      </c>
      <c r="L229">
        <f t="shared" si="15"/>
        <v>-5</v>
      </c>
      <c r="M229">
        <f t="shared" si="16"/>
        <v>5</v>
      </c>
      <c r="N229">
        <f t="shared" si="17"/>
        <v>-28</v>
      </c>
      <c r="O229">
        <f t="shared" si="18"/>
        <v>33</v>
      </c>
      <c r="P229">
        <f t="shared" si="19"/>
        <v>1</v>
      </c>
      <c r="Q229" t="s">
        <v>5</v>
      </c>
    </row>
    <row r="230" spans="1:17" x14ac:dyDescent="0.35">
      <c r="A230" t="s">
        <v>11</v>
      </c>
      <c r="B230">
        <v>26</v>
      </c>
      <c r="C230">
        <v>401</v>
      </c>
      <c r="D230">
        <v>281</v>
      </c>
      <c r="E230">
        <v>120</v>
      </c>
      <c r="F230">
        <v>2</v>
      </c>
      <c r="G230">
        <v>23</v>
      </c>
      <c r="H230">
        <v>388</v>
      </c>
      <c r="I230">
        <v>225</v>
      </c>
      <c r="J230">
        <v>163</v>
      </c>
      <c r="K230">
        <v>0</v>
      </c>
      <c r="L230">
        <f t="shared" si="15"/>
        <v>3</v>
      </c>
      <c r="M230">
        <f t="shared" si="16"/>
        <v>13</v>
      </c>
      <c r="N230">
        <f t="shared" si="17"/>
        <v>56</v>
      </c>
      <c r="O230">
        <f t="shared" si="18"/>
        <v>-43</v>
      </c>
      <c r="P230">
        <f t="shared" si="19"/>
        <v>2</v>
      </c>
      <c r="Q230" t="s">
        <v>5</v>
      </c>
    </row>
    <row r="231" spans="1:17" x14ac:dyDescent="0.35">
      <c r="A231" t="s">
        <v>11</v>
      </c>
      <c r="B231">
        <v>16</v>
      </c>
      <c r="C231">
        <v>283</v>
      </c>
      <c r="D231">
        <v>168</v>
      </c>
      <c r="E231">
        <v>115</v>
      </c>
      <c r="F231">
        <v>4</v>
      </c>
      <c r="G231">
        <v>23</v>
      </c>
      <c r="H231">
        <v>402</v>
      </c>
      <c r="I231">
        <v>213</v>
      </c>
      <c r="J231">
        <v>189</v>
      </c>
      <c r="K231">
        <v>1</v>
      </c>
      <c r="L231">
        <f t="shared" si="15"/>
        <v>-7</v>
      </c>
      <c r="M231">
        <f t="shared" si="16"/>
        <v>-119</v>
      </c>
      <c r="N231">
        <f t="shared" si="17"/>
        <v>-45</v>
      </c>
      <c r="O231">
        <f t="shared" si="18"/>
        <v>-74</v>
      </c>
      <c r="P231">
        <f t="shared" si="19"/>
        <v>3</v>
      </c>
      <c r="Q231" t="s">
        <v>5</v>
      </c>
    </row>
    <row r="232" spans="1:17" x14ac:dyDescent="0.35">
      <c r="A232" t="s">
        <v>11</v>
      </c>
      <c r="B232">
        <v>17</v>
      </c>
      <c r="C232">
        <v>288</v>
      </c>
      <c r="D232">
        <v>173</v>
      </c>
      <c r="E232">
        <v>115</v>
      </c>
      <c r="F232">
        <v>1</v>
      </c>
      <c r="G232">
        <v>28</v>
      </c>
      <c r="H232">
        <v>518</v>
      </c>
      <c r="I232">
        <v>383</v>
      </c>
      <c r="J232">
        <v>135</v>
      </c>
      <c r="K232">
        <v>2</v>
      </c>
      <c r="L232">
        <f t="shared" si="15"/>
        <v>-11</v>
      </c>
      <c r="M232">
        <f t="shared" si="16"/>
        <v>-230</v>
      </c>
      <c r="N232">
        <f t="shared" si="17"/>
        <v>-210</v>
      </c>
      <c r="O232">
        <f t="shared" si="18"/>
        <v>-20</v>
      </c>
      <c r="P232">
        <f t="shared" si="19"/>
        <v>-1</v>
      </c>
      <c r="Q232" t="s">
        <v>5</v>
      </c>
    </row>
    <row r="233" spans="1:17" x14ac:dyDescent="0.35">
      <c r="A233" t="s">
        <v>11</v>
      </c>
      <c r="B233">
        <v>15</v>
      </c>
      <c r="C233">
        <v>350</v>
      </c>
      <c r="D233">
        <v>159</v>
      </c>
      <c r="E233">
        <v>191</v>
      </c>
      <c r="F233">
        <v>2</v>
      </c>
      <c r="G233">
        <v>19</v>
      </c>
      <c r="H233">
        <v>246</v>
      </c>
      <c r="I233">
        <v>211</v>
      </c>
      <c r="J233">
        <v>35</v>
      </c>
      <c r="K233">
        <v>3</v>
      </c>
      <c r="L233">
        <f t="shared" si="15"/>
        <v>-4</v>
      </c>
      <c r="M233">
        <f t="shared" si="16"/>
        <v>104</v>
      </c>
      <c r="N233">
        <f t="shared" si="17"/>
        <v>-52</v>
      </c>
      <c r="O233">
        <f t="shared" si="18"/>
        <v>156</v>
      </c>
      <c r="P233">
        <f t="shared" si="19"/>
        <v>-1</v>
      </c>
      <c r="Q233" t="s">
        <v>7</v>
      </c>
    </row>
    <row r="234" spans="1:17" x14ac:dyDescent="0.35">
      <c r="A234" t="s">
        <v>12</v>
      </c>
      <c r="B234">
        <v>17</v>
      </c>
      <c r="C234">
        <v>265</v>
      </c>
      <c r="D234">
        <v>181</v>
      </c>
      <c r="E234">
        <v>84</v>
      </c>
      <c r="F234">
        <v>1</v>
      </c>
      <c r="G234">
        <v>9</v>
      </c>
      <c r="H234">
        <v>128</v>
      </c>
      <c r="I234">
        <v>61</v>
      </c>
      <c r="J234">
        <v>67</v>
      </c>
      <c r="K234">
        <v>3</v>
      </c>
      <c r="L234">
        <f t="shared" si="15"/>
        <v>8</v>
      </c>
      <c r="M234">
        <f t="shared" si="16"/>
        <v>137</v>
      </c>
      <c r="N234">
        <f t="shared" si="17"/>
        <v>120</v>
      </c>
      <c r="O234">
        <f t="shared" si="18"/>
        <v>17</v>
      </c>
      <c r="P234">
        <f t="shared" si="19"/>
        <v>-2</v>
      </c>
      <c r="Q234" t="s">
        <v>7</v>
      </c>
    </row>
    <row r="235" spans="1:17" x14ac:dyDescent="0.35">
      <c r="A235" t="s">
        <v>12</v>
      </c>
      <c r="B235">
        <v>24</v>
      </c>
      <c r="C235">
        <v>382</v>
      </c>
      <c r="D235">
        <v>231</v>
      </c>
      <c r="E235">
        <v>151</v>
      </c>
      <c r="F235">
        <v>2</v>
      </c>
      <c r="G235">
        <v>22</v>
      </c>
      <c r="H235">
        <v>408</v>
      </c>
      <c r="I235">
        <v>326</v>
      </c>
      <c r="J235">
        <v>82</v>
      </c>
      <c r="K235">
        <v>0</v>
      </c>
      <c r="L235">
        <f t="shared" si="15"/>
        <v>2</v>
      </c>
      <c r="M235">
        <f t="shared" si="16"/>
        <v>-26</v>
      </c>
      <c r="N235">
        <f t="shared" si="17"/>
        <v>-95</v>
      </c>
      <c r="O235">
        <f t="shared" si="18"/>
        <v>69</v>
      </c>
      <c r="P235">
        <f t="shared" si="19"/>
        <v>2</v>
      </c>
      <c r="Q235" t="s">
        <v>7</v>
      </c>
    </row>
    <row r="236" spans="1:17" x14ac:dyDescent="0.35">
      <c r="A236" t="s">
        <v>12</v>
      </c>
      <c r="B236">
        <v>24</v>
      </c>
      <c r="C236">
        <v>412</v>
      </c>
      <c r="D236">
        <v>274</v>
      </c>
      <c r="E236">
        <v>138</v>
      </c>
      <c r="F236">
        <v>3</v>
      </c>
      <c r="G236">
        <v>22</v>
      </c>
      <c r="H236">
        <v>384</v>
      </c>
      <c r="I236">
        <v>262</v>
      </c>
      <c r="J236">
        <v>122</v>
      </c>
      <c r="K236">
        <v>1</v>
      </c>
      <c r="L236">
        <f t="shared" si="15"/>
        <v>2</v>
      </c>
      <c r="M236">
        <f t="shared" si="16"/>
        <v>28</v>
      </c>
      <c r="N236">
        <f t="shared" si="17"/>
        <v>12</v>
      </c>
      <c r="O236">
        <f t="shared" si="18"/>
        <v>16</v>
      </c>
      <c r="P236">
        <f t="shared" si="19"/>
        <v>2</v>
      </c>
      <c r="Q236" t="s">
        <v>7</v>
      </c>
    </row>
    <row r="237" spans="1:17" x14ac:dyDescent="0.35">
      <c r="A237" t="s">
        <v>12</v>
      </c>
      <c r="B237">
        <v>11</v>
      </c>
      <c r="C237">
        <v>223</v>
      </c>
      <c r="D237">
        <v>78</v>
      </c>
      <c r="E237">
        <v>145</v>
      </c>
      <c r="F237">
        <v>2</v>
      </c>
      <c r="G237">
        <v>23</v>
      </c>
      <c r="H237">
        <v>442</v>
      </c>
      <c r="I237">
        <v>312</v>
      </c>
      <c r="J237">
        <v>130</v>
      </c>
      <c r="K237">
        <v>1</v>
      </c>
      <c r="L237">
        <f t="shared" si="15"/>
        <v>-12</v>
      </c>
      <c r="M237">
        <f t="shared" si="16"/>
        <v>-219</v>
      </c>
      <c r="N237">
        <f t="shared" si="17"/>
        <v>-234</v>
      </c>
      <c r="O237">
        <f t="shared" si="18"/>
        <v>15</v>
      </c>
      <c r="P237">
        <f t="shared" si="19"/>
        <v>1</v>
      </c>
      <c r="Q237" t="s">
        <v>5</v>
      </c>
    </row>
    <row r="238" spans="1:17" x14ac:dyDescent="0.35">
      <c r="A238" t="s">
        <v>11</v>
      </c>
      <c r="B238">
        <v>13</v>
      </c>
      <c r="C238">
        <v>271</v>
      </c>
      <c r="D238">
        <v>183</v>
      </c>
      <c r="E238">
        <v>88</v>
      </c>
      <c r="F238">
        <v>2</v>
      </c>
      <c r="G238">
        <v>22</v>
      </c>
      <c r="H238">
        <v>517</v>
      </c>
      <c r="I238">
        <v>294</v>
      </c>
      <c r="J238">
        <v>223</v>
      </c>
      <c r="K238">
        <v>1</v>
      </c>
      <c r="L238">
        <f t="shared" si="15"/>
        <v>-9</v>
      </c>
      <c r="M238">
        <f t="shared" si="16"/>
        <v>-246</v>
      </c>
      <c r="N238">
        <f t="shared" si="17"/>
        <v>-111</v>
      </c>
      <c r="O238">
        <f t="shared" si="18"/>
        <v>-135</v>
      </c>
      <c r="P238">
        <f t="shared" si="19"/>
        <v>1</v>
      </c>
      <c r="Q238" t="s">
        <v>5</v>
      </c>
    </row>
    <row r="239" spans="1:17" x14ac:dyDescent="0.35">
      <c r="A239" t="s">
        <v>11</v>
      </c>
      <c r="B239">
        <v>21</v>
      </c>
      <c r="C239">
        <v>288</v>
      </c>
      <c r="D239">
        <v>121</v>
      </c>
      <c r="E239">
        <v>167</v>
      </c>
      <c r="F239">
        <v>2</v>
      </c>
      <c r="G239">
        <v>18</v>
      </c>
      <c r="H239">
        <v>243</v>
      </c>
      <c r="I239">
        <v>119</v>
      </c>
      <c r="J239">
        <v>124</v>
      </c>
      <c r="K239">
        <v>0</v>
      </c>
      <c r="L239">
        <f t="shared" si="15"/>
        <v>3</v>
      </c>
      <c r="M239">
        <f t="shared" si="16"/>
        <v>45</v>
      </c>
      <c r="N239">
        <f t="shared" si="17"/>
        <v>2</v>
      </c>
      <c r="O239">
        <f t="shared" si="18"/>
        <v>43</v>
      </c>
      <c r="P239">
        <f t="shared" si="19"/>
        <v>2</v>
      </c>
      <c r="Q239" t="s">
        <v>7</v>
      </c>
    </row>
    <row r="240" spans="1:17" x14ac:dyDescent="0.35">
      <c r="A240" t="s">
        <v>12</v>
      </c>
      <c r="B240">
        <v>20</v>
      </c>
      <c r="C240">
        <v>326</v>
      </c>
      <c r="D240">
        <v>260</v>
      </c>
      <c r="E240">
        <v>66</v>
      </c>
      <c r="F240">
        <v>1</v>
      </c>
      <c r="G240">
        <v>16</v>
      </c>
      <c r="H240">
        <v>175</v>
      </c>
      <c r="I240">
        <v>102</v>
      </c>
      <c r="J240">
        <v>73</v>
      </c>
      <c r="K240">
        <v>2</v>
      </c>
      <c r="L240">
        <f t="shared" si="15"/>
        <v>4</v>
      </c>
      <c r="M240">
        <f t="shared" si="16"/>
        <v>151</v>
      </c>
      <c r="N240">
        <f t="shared" si="17"/>
        <v>158</v>
      </c>
      <c r="O240">
        <f t="shared" si="18"/>
        <v>-7</v>
      </c>
      <c r="P240">
        <f t="shared" si="19"/>
        <v>-1</v>
      </c>
      <c r="Q240" t="s">
        <v>7</v>
      </c>
    </row>
    <row r="241" spans="1:17" x14ac:dyDescent="0.35">
      <c r="A241" t="s">
        <v>11</v>
      </c>
      <c r="B241">
        <v>24</v>
      </c>
      <c r="C241">
        <v>381</v>
      </c>
      <c r="D241">
        <v>272</v>
      </c>
      <c r="E241">
        <v>109</v>
      </c>
      <c r="F241">
        <v>2</v>
      </c>
      <c r="G241">
        <v>17</v>
      </c>
      <c r="H241">
        <v>305</v>
      </c>
      <c r="I241">
        <v>188</v>
      </c>
      <c r="J241">
        <v>117</v>
      </c>
      <c r="K241">
        <v>0</v>
      </c>
      <c r="L241">
        <f t="shared" si="15"/>
        <v>7</v>
      </c>
      <c r="M241">
        <f t="shared" si="16"/>
        <v>76</v>
      </c>
      <c r="N241">
        <f t="shared" si="17"/>
        <v>84</v>
      </c>
      <c r="O241">
        <f t="shared" si="18"/>
        <v>-8</v>
      </c>
      <c r="P241">
        <f t="shared" si="19"/>
        <v>2</v>
      </c>
      <c r="Q241" t="s">
        <v>5</v>
      </c>
    </row>
    <row r="242" spans="1:17" x14ac:dyDescent="0.35">
      <c r="A242" t="s">
        <v>11</v>
      </c>
      <c r="B242">
        <v>21</v>
      </c>
      <c r="C242">
        <v>377</v>
      </c>
      <c r="D242">
        <v>189</v>
      </c>
      <c r="E242">
        <v>188</v>
      </c>
      <c r="F242">
        <v>1</v>
      </c>
      <c r="G242">
        <v>22</v>
      </c>
      <c r="H242">
        <v>346</v>
      </c>
      <c r="I242">
        <v>265</v>
      </c>
      <c r="J242">
        <v>81</v>
      </c>
      <c r="K242">
        <v>2</v>
      </c>
      <c r="L242">
        <f t="shared" si="15"/>
        <v>-1</v>
      </c>
      <c r="M242">
        <f t="shared" si="16"/>
        <v>31</v>
      </c>
      <c r="N242">
        <f t="shared" si="17"/>
        <v>-76</v>
      </c>
      <c r="O242">
        <f t="shared" si="18"/>
        <v>107</v>
      </c>
      <c r="P242">
        <f t="shared" si="19"/>
        <v>-1</v>
      </c>
      <c r="Q242" t="s">
        <v>7</v>
      </c>
    </row>
    <row r="243" spans="1:17" x14ac:dyDescent="0.35">
      <c r="A243" t="s">
        <v>11</v>
      </c>
      <c r="B243">
        <v>29</v>
      </c>
      <c r="C243">
        <v>452</v>
      </c>
      <c r="D243">
        <v>249</v>
      </c>
      <c r="E243">
        <v>203</v>
      </c>
      <c r="F243">
        <v>0</v>
      </c>
      <c r="G243">
        <v>27</v>
      </c>
      <c r="H243">
        <v>503</v>
      </c>
      <c r="I243">
        <v>363</v>
      </c>
      <c r="J243">
        <v>140</v>
      </c>
      <c r="K243">
        <v>0</v>
      </c>
      <c r="L243">
        <f t="shared" si="15"/>
        <v>2</v>
      </c>
      <c r="M243">
        <f t="shared" si="16"/>
        <v>-51</v>
      </c>
      <c r="N243">
        <f t="shared" si="17"/>
        <v>-114</v>
      </c>
      <c r="O243">
        <f t="shared" si="18"/>
        <v>63</v>
      </c>
      <c r="P243">
        <f t="shared" si="19"/>
        <v>0</v>
      </c>
      <c r="Q243" t="s">
        <v>5</v>
      </c>
    </row>
    <row r="244" spans="1:17" x14ac:dyDescent="0.35">
      <c r="A244" t="s">
        <v>11</v>
      </c>
      <c r="B244">
        <v>15</v>
      </c>
      <c r="C244">
        <v>308</v>
      </c>
      <c r="D244">
        <v>276</v>
      </c>
      <c r="E244">
        <v>32</v>
      </c>
      <c r="F244">
        <v>1</v>
      </c>
      <c r="G244">
        <v>24</v>
      </c>
      <c r="H244">
        <v>465</v>
      </c>
      <c r="I244">
        <v>366</v>
      </c>
      <c r="J244">
        <v>99</v>
      </c>
      <c r="K244">
        <v>0</v>
      </c>
      <c r="L244">
        <f t="shared" si="15"/>
        <v>-9</v>
      </c>
      <c r="M244">
        <f t="shared" si="16"/>
        <v>-157</v>
      </c>
      <c r="N244">
        <f t="shared" si="17"/>
        <v>-90</v>
      </c>
      <c r="O244">
        <f t="shared" si="18"/>
        <v>-67</v>
      </c>
      <c r="P244">
        <f t="shared" si="19"/>
        <v>1</v>
      </c>
      <c r="Q244" t="s">
        <v>5</v>
      </c>
    </row>
    <row r="245" spans="1:17" x14ac:dyDescent="0.35">
      <c r="A245" t="s">
        <v>11</v>
      </c>
      <c r="B245">
        <v>18</v>
      </c>
      <c r="C245">
        <v>344</v>
      </c>
      <c r="D245">
        <v>207</v>
      </c>
      <c r="E245">
        <v>137</v>
      </c>
      <c r="F245">
        <v>1</v>
      </c>
      <c r="G245">
        <v>17</v>
      </c>
      <c r="H245">
        <v>345</v>
      </c>
      <c r="I245">
        <v>283</v>
      </c>
      <c r="J245">
        <v>62</v>
      </c>
      <c r="K245">
        <v>7</v>
      </c>
      <c r="L245">
        <f t="shared" si="15"/>
        <v>1</v>
      </c>
      <c r="M245">
        <f t="shared" si="16"/>
        <v>-1</v>
      </c>
      <c r="N245">
        <f t="shared" si="17"/>
        <v>-76</v>
      </c>
      <c r="O245">
        <f t="shared" si="18"/>
        <v>75</v>
      </c>
      <c r="P245">
        <f t="shared" si="19"/>
        <v>-6</v>
      </c>
      <c r="Q245" t="s">
        <v>7</v>
      </c>
    </row>
    <row r="246" spans="1:17" x14ac:dyDescent="0.35">
      <c r="A246" t="s">
        <v>12</v>
      </c>
      <c r="B246">
        <v>28</v>
      </c>
      <c r="C246">
        <v>510</v>
      </c>
      <c r="D246">
        <v>373</v>
      </c>
      <c r="E246">
        <v>137</v>
      </c>
      <c r="F246">
        <v>1</v>
      </c>
      <c r="G246">
        <v>10</v>
      </c>
      <c r="H246">
        <v>237</v>
      </c>
      <c r="I246">
        <v>197</v>
      </c>
      <c r="J246">
        <v>40</v>
      </c>
      <c r="K246">
        <v>0</v>
      </c>
      <c r="L246">
        <f t="shared" si="15"/>
        <v>18</v>
      </c>
      <c r="M246">
        <f t="shared" si="16"/>
        <v>273</v>
      </c>
      <c r="N246">
        <f t="shared" si="17"/>
        <v>176</v>
      </c>
      <c r="O246">
        <f t="shared" si="18"/>
        <v>97</v>
      </c>
      <c r="P246">
        <f t="shared" si="19"/>
        <v>1</v>
      </c>
      <c r="Q246" t="s">
        <v>7</v>
      </c>
    </row>
    <row r="247" spans="1:17" x14ac:dyDescent="0.35">
      <c r="A247" t="s">
        <v>11</v>
      </c>
      <c r="B247">
        <v>19</v>
      </c>
      <c r="C247">
        <v>298</v>
      </c>
      <c r="D247">
        <v>224</v>
      </c>
      <c r="E247">
        <v>74</v>
      </c>
      <c r="F247">
        <v>0</v>
      </c>
      <c r="G247">
        <v>21</v>
      </c>
      <c r="H247">
        <v>255</v>
      </c>
      <c r="I247">
        <v>174</v>
      </c>
      <c r="J247">
        <v>81</v>
      </c>
      <c r="K247">
        <v>1</v>
      </c>
      <c r="L247">
        <f t="shared" si="15"/>
        <v>-2</v>
      </c>
      <c r="M247">
        <f t="shared" si="16"/>
        <v>43</v>
      </c>
      <c r="N247">
        <f t="shared" si="17"/>
        <v>50</v>
      </c>
      <c r="O247">
        <f t="shared" si="18"/>
        <v>-7</v>
      </c>
      <c r="P247">
        <f t="shared" si="19"/>
        <v>-1</v>
      </c>
      <c r="Q247" t="s">
        <v>7</v>
      </c>
    </row>
    <row r="248" spans="1:17" x14ac:dyDescent="0.35">
      <c r="A248" t="s">
        <v>11</v>
      </c>
      <c r="B248">
        <v>18</v>
      </c>
      <c r="C248">
        <v>257</v>
      </c>
      <c r="D248">
        <v>139</v>
      </c>
      <c r="E248">
        <v>118</v>
      </c>
      <c r="F248">
        <v>1</v>
      </c>
      <c r="G248">
        <v>16</v>
      </c>
      <c r="H248">
        <v>209</v>
      </c>
      <c r="I248">
        <v>105</v>
      </c>
      <c r="J248">
        <v>104</v>
      </c>
      <c r="K248">
        <v>1</v>
      </c>
      <c r="L248">
        <f t="shared" si="15"/>
        <v>2</v>
      </c>
      <c r="M248">
        <f t="shared" si="16"/>
        <v>48</v>
      </c>
      <c r="N248">
        <f t="shared" si="17"/>
        <v>34</v>
      </c>
      <c r="O248">
        <f t="shared" si="18"/>
        <v>14</v>
      </c>
      <c r="P248">
        <f t="shared" si="19"/>
        <v>0</v>
      </c>
      <c r="Q248" t="s">
        <v>7</v>
      </c>
    </row>
    <row r="249" spans="1:17" x14ac:dyDescent="0.35">
      <c r="A249" t="s">
        <v>12</v>
      </c>
      <c r="B249">
        <v>24</v>
      </c>
      <c r="C249">
        <v>422</v>
      </c>
      <c r="D249">
        <v>364</v>
      </c>
      <c r="E249">
        <v>58</v>
      </c>
      <c r="F249">
        <v>1</v>
      </c>
      <c r="G249">
        <v>22</v>
      </c>
      <c r="H249">
        <v>365</v>
      </c>
      <c r="I249">
        <v>227</v>
      </c>
      <c r="J249">
        <v>138</v>
      </c>
      <c r="K249">
        <v>0</v>
      </c>
      <c r="L249">
        <f t="shared" si="15"/>
        <v>2</v>
      </c>
      <c r="M249">
        <f t="shared" si="16"/>
        <v>57</v>
      </c>
      <c r="N249">
        <f t="shared" si="17"/>
        <v>137</v>
      </c>
      <c r="O249">
        <f t="shared" si="18"/>
        <v>-80</v>
      </c>
      <c r="P249">
        <f t="shared" si="19"/>
        <v>1</v>
      </c>
      <c r="Q249" t="s">
        <v>5</v>
      </c>
    </row>
    <row r="250" spans="1:17" x14ac:dyDescent="0.35">
      <c r="A250" t="s">
        <v>11</v>
      </c>
      <c r="B250">
        <v>35</v>
      </c>
      <c r="C250">
        <v>472</v>
      </c>
      <c r="D250">
        <v>280</v>
      </c>
      <c r="E250">
        <v>192</v>
      </c>
      <c r="F250">
        <v>3</v>
      </c>
      <c r="G250">
        <v>20</v>
      </c>
      <c r="H250">
        <v>309</v>
      </c>
      <c r="I250">
        <v>256</v>
      </c>
      <c r="J250">
        <v>53</v>
      </c>
      <c r="K250">
        <v>2</v>
      </c>
      <c r="L250">
        <f t="shared" si="15"/>
        <v>15</v>
      </c>
      <c r="M250">
        <f t="shared" si="16"/>
        <v>163</v>
      </c>
      <c r="N250">
        <f t="shared" si="17"/>
        <v>24</v>
      </c>
      <c r="O250">
        <f t="shared" si="18"/>
        <v>139</v>
      </c>
      <c r="P250">
        <f t="shared" si="19"/>
        <v>1</v>
      </c>
      <c r="Q250" t="s">
        <v>7</v>
      </c>
    </row>
    <row r="251" spans="1:17" x14ac:dyDescent="0.35">
      <c r="A251" t="s">
        <v>11</v>
      </c>
      <c r="B251">
        <v>25</v>
      </c>
      <c r="C251">
        <v>432</v>
      </c>
      <c r="D251">
        <v>312</v>
      </c>
      <c r="E251">
        <v>120</v>
      </c>
      <c r="F251">
        <v>1</v>
      </c>
      <c r="G251">
        <v>17</v>
      </c>
      <c r="H251">
        <v>305</v>
      </c>
      <c r="I251">
        <v>134</v>
      </c>
      <c r="J251">
        <v>171</v>
      </c>
      <c r="K251">
        <v>1</v>
      </c>
      <c r="L251">
        <f t="shared" si="15"/>
        <v>8</v>
      </c>
      <c r="M251">
        <f t="shared" si="16"/>
        <v>127</v>
      </c>
      <c r="N251">
        <f t="shared" si="17"/>
        <v>178</v>
      </c>
      <c r="O251">
        <f t="shared" si="18"/>
        <v>-51</v>
      </c>
      <c r="P251">
        <f t="shared" si="19"/>
        <v>0</v>
      </c>
      <c r="Q251" t="s">
        <v>7</v>
      </c>
    </row>
    <row r="252" spans="1:17" x14ac:dyDescent="0.35">
      <c r="A252" t="s">
        <v>11</v>
      </c>
      <c r="B252">
        <v>24</v>
      </c>
      <c r="C252">
        <v>401</v>
      </c>
      <c r="D252">
        <v>297</v>
      </c>
      <c r="E252">
        <v>104</v>
      </c>
      <c r="F252">
        <v>0</v>
      </c>
      <c r="G252">
        <v>19</v>
      </c>
      <c r="H252">
        <v>470</v>
      </c>
      <c r="I252">
        <v>372</v>
      </c>
      <c r="J252">
        <v>98</v>
      </c>
      <c r="K252">
        <v>0</v>
      </c>
      <c r="L252">
        <f t="shared" si="15"/>
        <v>5</v>
      </c>
      <c r="M252">
        <f t="shared" si="16"/>
        <v>-69</v>
      </c>
      <c r="N252">
        <f t="shared" si="17"/>
        <v>-75</v>
      </c>
      <c r="O252">
        <f t="shared" si="18"/>
        <v>6</v>
      </c>
      <c r="P252">
        <f t="shared" si="19"/>
        <v>0</v>
      </c>
      <c r="Q252" t="s">
        <v>5</v>
      </c>
    </row>
    <row r="253" spans="1:17" x14ac:dyDescent="0.35">
      <c r="A253" t="s">
        <v>11</v>
      </c>
      <c r="B253">
        <v>22</v>
      </c>
      <c r="C253">
        <v>376</v>
      </c>
      <c r="D253">
        <v>173</v>
      </c>
      <c r="E253">
        <v>203</v>
      </c>
      <c r="F253">
        <v>0</v>
      </c>
      <c r="G253">
        <v>25</v>
      </c>
      <c r="H253">
        <v>435</v>
      </c>
      <c r="I253">
        <v>310</v>
      </c>
      <c r="J253">
        <v>125</v>
      </c>
      <c r="K253">
        <v>2</v>
      </c>
      <c r="L253">
        <f t="shared" si="15"/>
        <v>-3</v>
      </c>
      <c r="M253">
        <f t="shared" si="16"/>
        <v>-59</v>
      </c>
      <c r="N253">
        <f t="shared" si="17"/>
        <v>-137</v>
      </c>
      <c r="O253">
        <f t="shared" si="18"/>
        <v>78</v>
      </c>
      <c r="P253">
        <f t="shared" si="19"/>
        <v>-2</v>
      </c>
      <c r="Q253" t="s">
        <v>5</v>
      </c>
    </row>
    <row r="254" spans="1:17" x14ac:dyDescent="0.35">
      <c r="A254" t="s">
        <v>11</v>
      </c>
      <c r="B254">
        <v>20</v>
      </c>
      <c r="C254">
        <v>415</v>
      </c>
      <c r="D254">
        <v>319</v>
      </c>
      <c r="E254">
        <v>96</v>
      </c>
      <c r="F254">
        <v>3</v>
      </c>
      <c r="G254">
        <v>12</v>
      </c>
      <c r="H254">
        <v>292</v>
      </c>
      <c r="I254">
        <v>192</v>
      </c>
      <c r="J254">
        <v>100</v>
      </c>
      <c r="K254">
        <v>0</v>
      </c>
      <c r="L254">
        <f t="shared" si="15"/>
        <v>8</v>
      </c>
      <c r="M254">
        <f t="shared" si="16"/>
        <v>123</v>
      </c>
      <c r="N254">
        <f t="shared" si="17"/>
        <v>127</v>
      </c>
      <c r="O254">
        <f t="shared" si="18"/>
        <v>-4</v>
      </c>
      <c r="P254">
        <f t="shared" si="19"/>
        <v>3</v>
      </c>
      <c r="Q254" t="s">
        <v>5</v>
      </c>
    </row>
    <row r="255" spans="1:17" x14ac:dyDescent="0.35">
      <c r="A255" t="s">
        <v>12</v>
      </c>
      <c r="B255">
        <v>22</v>
      </c>
      <c r="C255">
        <v>278</v>
      </c>
      <c r="D255">
        <v>213</v>
      </c>
      <c r="E255">
        <v>65</v>
      </c>
      <c r="F255">
        <v>2</v>
      </c>
      <c r="G255">
        <v>20</v>
      </c>
      <c r="H255">
        <v>362</v>
      </c>
      <c r="I255">
        <v>114</v>
      </c>
      <c r="J255">
        <v>248</v>
      </c>
      <c r="K255">
        <v>0</v>
      </c>
      <c r="L255">
        <f t="shared" si="15"/>
        <v>2</v>
      </c>
      <c r="M255">
        <f t="shared" si="16"/>
        <v>-84</v>
      </c>
      <c r="N255">
        <f t="shared" si="17"/>
        <v>99</v>
      </c>
      <c r="O255">
        <f t="shared" si="18"/>
        <v>-183</v>
      </c>
      <c r="P255">
        <f t="shared" si="19"/>
        <v>2</v>
      </c>
      <c r="Q255" t="s">
        <v>5</v>
      </c>
    </row>
    <row r="256" spans="1:17" x14ac:dyDescent="0.35">
      <c r="A256" t="s">
        <v>11</v>
      </c>
      <c r="B256">
        <v>25</v>
      </c>
      <c r="C256">
        <v>331</v>
      </c>
      <c r="D256">
        <v>151</v>
      </c>
      <c r="E256">
        <v>180</v>
      </c>
      <c r="F256">
        <v>1</v>
      </c>
      <c r="G256">
        <v>18</v>
      </c>
      <c r="H256">
        <v>324</v>
      </c>
      <c r="I256">
        <v>288</v>
      </c>
      <c r="J256">
        <v>36</v>
      </c>
      <c r="K256">
        <v>1</v>
      </c>
      <c r="L256">
        <f t="shared" si="15"/>
        <v>7</v>
      </c>
      <c r="M256">
        <f t="shared" si="16"/>
        <v>7</v>
      </c>
      <c r="N256">
        <f t="shared" si="17"/>
        <v>-137</v>
      </c>
      <c r="O256">
        <f t="shared" si="18"/>
        <v>144</v>
      </c>
      <c r="P256">
        <f t="shared" si="19"/>
        <v>0</v>
      </c>
      <c r="Q256" t="s">
        <v>7</v>
      </c>
    </row>
    <row r="257" spans="1:17" x14ac:dyDescent="0.35">
      <c r="A257" t="s">
        <v>12</v>
      </c>
      <c r="B257">
        <v>26</v>
      </c>
      <c r="C257">
        <v>397</v>
      </c>
      <c r="D257">
        <v>268</v>
      </c>
      <c r="E257">
        <v>129</v>
      </c>
      <c r="F257">
        <v>2</v>
      </c>
      <c r="G257">
        <v>21</v>
      </c>
      <c r="H257">
        <v>351</v>
      </c>
      <c r="I257">
        <v>210</v>
      </c>
      <c r="J257">
        <v>141</v>
      </c>
      <c r="K257">
        <v>2</v>
      </c>
      <c r="L257">
        <f t="shared" si="15"/>
        <v>5</v>
      </c>
      <c r="M257">
        <f t="shared" si="16"/>
        <v>46</v>
      </c>
      <c r="N257">
        <f t="shared" si="17"/>
        <v>58</v>
      </c>
      <c r="O257">
        <f t="shared" si="18"/>
        <v>-12</v>
      </c>
      <c r="P257">
        <f t="shared" si="19"/>
        <v>0</v>
      </c>
      <c r="Q257" t="s">
        <v>7</v>
      </c>
    </row>
    <row r="258" spans="1:17" x14ac:dyDescent="0.35">
      <c r="A258" t="s">
        <v>11</v>
      </c>
      <c r="B258">
        <v>17</v>
      </c>
      <c r="C258">
        <v>308</v>
      </c>
      <c r="D258">
        <v>212</v>
      </c>
      <c r="E258">
        <v>96</v>
      </c>
      <c r="F258">
        <v>0</v>
      </c>
      <c r="G258">
        <v>17</v>
      </c>
      <c r="H258">
        <v>377</v>
      </c>
      <c r="I258">
        <v>230</v>
      </c>
      <c r="J258">
        <v>147</v>
      </c>
      <c r="K258">
        <v>1</v>
      </c>
      <c r="L258">
        <f t="shared" ref="L258:L321" si="20">B258-G258</f>
        <v>0</v>
      </c>
      <c r="M258">
        <f t="shared" ref="M258:M321" si="21">C258-H258</f>
        <v>-69</v>
      </c>
      <c r="N258">
        <f t="shared" ref="N258:N321" si="22">D258-I258</f>
        <v>-18</v>
      </c>
      <c r="O258">
        <f t="shared" ref="O258:O321" si="23">E258-J258</f>
        <v>-51</v>
      </c>
      <c r="P258">
        <f t="shared" ref="P258:P321" si="24">F258-K258</f>
        <v>-1</v>
      </c>
      <c r="Q258" t="s">
        <v>5</v>
      </c>
    </row>
    <row r="259" spans="1:17" x14ac:dyDescent="0.35">
      <c r="A259" t="s">
        <v>12</v>
      </c>
      <c r="B259">
        <v>18</v>
      </c>
      <c r="C259">
        <v>266</v>
      </c>
      <c r="D259">
        <v>149</v>
      </c>
      <c r="E259">
        <v>117</v>
      </c>
      <c r="F259">
        <v>1</v>
      </c>
      <c r="G259">
        <v>15</v>
      </c>
      <c r="H259">
        <v>257</v>
      </c>
      <c r="I259">
        <v>212</v>
      </c>
      <c r="J259">
        <v>45</v>
      </c>
      <c r="K259">
        <v>3</v>
      </c>
      <c r="L259">
        <f t="shared" si="20"/>
        <v>3</v>
      </c>
      <c r="M259">
        <f t="shared" si="21"/>
        <v>9</v>
      </c>
      <c r="N259">
        <f t="shared" si="22"/>
        <v>-63</v>
      </c>
      <c r="O259">
        <f t="shared" si="23"/>
        <v>72</v>
      </c>
      <c r="P259">
        <f t="shared" si="24"/>
        <v>-2</v>
      </c>
      <c r="Q259" t="s">
        <v>7</v>
      </c>
    </row>
    <row r="260" spans="1:17" x14ac:dyDescent="0.35">
      <c r="A260" t="s">
        <v>12</v>
      </c>
      <c r="B260">
        <v>24</v>
      </c>
      <c r="C260">
        <v>443</v>
      </c>
      <c r="D260">
        <v>393</v>
      </c>
      <c r="E260">
        <v>50</v>
      </c>
      <c r="F260">
        <v>1</v>
      </c>
      <c r="G260">
        <v>27</v>
      </c>
      <c r="H260">
        <v>364</v>
      </c>
      <c r="I260">
        <v>211</v>
      </c>
      <c r="J260">
        <v>153</v>
      </c>
      <c r="K260">
        <v>0</v>
      </c>
      <c r="L260">
        <f t="shared" si="20"/>
        <v>-3</v>
      </c>
      <c r="M260">
        <f t="shared" si="21"/>
        <v>79</v>
      </c>
      <c r="N260">
        <f t="shared" si="22"/>
        <v>182</v>
      </c>
      <c r="O260">
        <f t="shared" si="23"/>
        <v>-103</v>
      </c>
      <c r="P260">
        <f t="shared" si="24"/>
        <v>1</v>
      </c>
      <c r="Q260" t="s">
        <v>5</v>
      </c>
    </row>
    <row r="261" spans="1:17" x14ac:dyDescent="0.35">
      <c r="A261" t="s">
        <v>11</v>
      </c>
      <c r="B261">
        <v>19</v>
      </c>
      <c r="C261">
        <v>366</v>
      </c>
      <c r="D261">
        <v>267</v>
      </c>
      <c r="E261">
        <v>99</v>
      </c>
      <c r="F261">
        <v>0</v>
      </c>
      <c r="G261">
        <v>21</v>
      </c>
      <c r="H261">
        <v>284</v>
      </c>
      <c r="I261">
        <v>265</v>
      </c>
      <c r="J261">
        <v>19</v>
      </c>
      <c r="K261">
        <v>0</v>
      </c>
      <c r="L261">
        <f t="shared" si="20"/>
        <v>-2</v>
      </c>
      <c r="M261">
        <f t="shared" si="21"/>
        <v>82</v>
      </c>
      <c r="N261">
        <f t="shared" si="22"/>
        <v>2</v>
      </c>
      <c r="O261">
        <f t="shared" si="23"/>
        <v>80</v>
      </c>
      <c r="P261">
        <f t="shared" si="24"/>
        <v>0</v>
      </c>
      <c r="Q261" t="s">
        <v>7</v>
      </c>
    </row>
    <row r="262" spans="1:17" x14ac:dyDescent="0.35">
      <c r="A262" t="s">
        <v>12</v>
      </c>
      <c r="B262">
        <v>30</v>
      </c>
      <c r="C262">
        <v>510</v>
      </c>
      <c r="D262">
        <v>441</v>
      </c>
      <c r="E262">
        <v>69</v>
      </c>
      <c r="F262">
        <v>3</v>
      </c>
      <c r="G262">
        <v>18</v>
      </c>
      <c r="H262">
        <v>322</v>
      </c>
      <c r="I262">
        <v>171</v>
      </c>
      <c r="J262">
        <v>151</v>
      </c>
      <c r="K262">
        <v>0</v>
      </c>
      <c r="L262">
        <f t="shared" si="20"/>
        <v>12</v>
      </c>
      <c r="M262">
        <f t="shared" si="21"/>
        <v>188</v>
      </c>
      <c r="N262">
        <f t="shared" si="22"/>
        <v>270</v>
      </c>
      <c r="O262">
        <f t="shared" si="23"/>
        <v>-82</v>
      </c>
      <c r="P262">
        <f t="shared" si="24"/>
        <v>3</v>
      </c>
      <c r="Q262" t="s">
        <v>5</v>
      </c>
    </row>
    <row r="263" spans="1:17" x14ac:dyDescent="0.35">
      <c r="A263" t="s">
        <v>11</v>
      </c>
      <c r="B263">
        <v>19</v>
      </c>
      <c r="C263">
        <v>297</v>
      </c>
      <c r="D263">
        <v>203</v>
      </c>
      <c r="E263">
        <v>94</v>
      </c>
      <c r="F263">
        <v>3</v>
      </c>
      <c r="G263">
        <v>18</v>
      </c>
      <c r="H263">
        <v>264</v>
      </c>
      <c r="I263">
        <v>128</v>
      </c>
      <c r="J263">
        <v>136</v>
      </c>
      <c r="K263">
        <v>2</v>
      </c>
      <c r="L263">
        <f t="shared" si="20"/>
        <v>1</v>
      </c>
      <c r="M263">
        <f t="shared" si="21"/>
        <v>33</v>
      </c>
      <c r="N263">
        <f t="shared" si="22"/>
        <v>75</v>
      </c>
      <c r="O263">
        <f t="shared" si="23"/>
        <v>-42</v>
      </c>
      <c r="P263">
        <f t="shared" si="24"/>
        <v>1</v>
      </c>
      <c r="Q263" t="s">
        <v>7</v>
      </c>
    </row>
    <row r="264" spans="1:17" x14ac:dyDescent="0.35">
      <c r="A264" t="s">
        <v>12</v>
      </c>
      <c r="B264">
        <v>22</v>
      </c>
      <c r="C264">
        <v>434</v>
      </c>
      <c r="D264">
        <v>273</v>
      </c>
      <c r="E264">
        <v>161</v>
      </c>
      <c r="F264">
        <v>1</v>
      </c>
      <c r="G264">
        <v>14</v>
      </c>
      <c r="H264">
        <v>216</v>
      </c>
      <c r="I264">
        <v>131</v>
      </c>
      <c r="J264">
        <v>85</v>
      </c>
      <c r="K264">
        <v>2</v>
      </c>
      <c r="L264">
        <f t="shared" si="20"/>
        <v>8</v>
      </c>
      <c r="M264">
        <f t="shared" si="21"/>
        <v>218</v>
      </c>
      <c r="N264">
        <f t="shared" si="22"/>
        <v>142</v>
      </c>
      <c r="O264">
        <f t="shared" si="23"/>
        <v>76</v>
      </c>
      <c r="P264">
        <f t="shared" si="24"/>
        <v>-1</v>
      </c>
      <c r="Q264" t="s">
        <v>7</v>
      </c>
    </row>
    <row r="265" spans="1:17" x14ac:dyDescent="0.35">
      <c r="A265" t="s">
        <v>12</v>
      </c>
      <c r="B265">
        <v>19</v>
      </c>
      <c r="C265">
        <v>371</v>
      </c>
      <c r="D265">
        <v>303</v>
      </c>
      <c r="E265">
        <v>68</v>
      </c>
      <c r="F265">
        <v>1</v>
      </c>
      <c r="G265">
        <v>25</v>
      </c>
      <c r="H265">
        <v>455</v>
      </c>
      <c r="I265">
        <v>186</v>
      </c>
      <c r="J265">
        <v>269</v>
      </c>
      <c r="K265">
        <v>0</v>
      </c>
      <c r="L265">
        <f t="shared" si="20"/>
        <v>-6</v>
      </c>
      <c r="M265">
        <f t="shared" si="21"/>
        <v>-84</v>
      </c>
      <c r="N265">
        <f t="shared" si="22"/>
        <v>117</v>
      </c>
      <c r="O265">
        <f t="shared" si="23"/>
        <v>-201</v>
      </c>
      <c r="P265">
        <f t="shared" si="24"/>
        <v>1</v>
      </c>
      <c r="Q265" t="s">
        <v>5</v>
      </c>
    </row>
    <row r="266" spans="1:17" x14ac:dyDescent="0.35">
      <c r="A266" t="s">
        <v>11</v>
      </c>
      <c r="B266">
        <v>22</v>
      </c>
      <c r="C266">
        <v>429</v>
      </c>
      <c r="D266">
        <v>395</v>
      </c>
      <c r="E266">
        <v>34</v>
      </c>
      <c r="F266">
        <v>3</v>
      </c>
      <c r="G266">
        <v>12</v>
      </c>
      <c r="H266">
        <v>232</v>
      </c>
      <c r="I266">
        <v>160</v>
      </c>
      <c r="J266">
        <v>72</v>
      </c>
      <c r="K266">
        <v>1</v>
      </c>
      <c r="L266">
        <f t="shared" si="20"/>
        <v>10</v>
      </c>
      <c r="M266">
        <f t="shared" si="21"/>
        <v>197</v>
      </c>
      <c r="N266">
        <f t="shared" si="22"/>
        <v>235</v>
      </c>
      <c r="O266">
        <f t="shared" si="23"/>
        <v>-38</v>
      </c>
      <c r="P266">
        <f t="shared" si="24"/>
        <v>2</v>
      </c>
      <c r="Q266" t="s">
        <v>5</v>
      </c>
    </row>
    <row r="267" spans="1:17" x14ac:dyDescent="0.35">
      <c r="A267" t="s">
        <v>12</v>
      </c>
      <c r="B267">
        <v>27</v>
      </c>
      <c r="C267">
        <v>372</v>
      </c>
      <c r="D267">
        <v>282</v>
      </c>
      <c r="E267">
        <v>90</v>
      </c>
      <c r="F267">
        <v>1</v>
      </c>
      <c r="G267">
        <v>18</v>
      </c>
      <c r="H267">
        <v>273</v>
      </c>
      <c r="I267">
        <v>120</v>
      </c>
      <c r="J267">
        <v>153</v>
      </c>
      <c r="K267">
        <v>0</v>
      </c>
      <c r="L267">
        <f t="shared" si="20"/>
        <v>9</v>
      </c>
      <c r="M267">
        <f t="shared" si="21"/>
        <v>99</v>
      </c>
      <c r="N267">
        <f t="shared" si="22"/>
        <v>162</v>
      </c>
      <c r="O267">
        <f t="shared" si="23"/>
        <v>-63</v>
      </c>
      <c r="P267">
        <f t="shared" si="24"/>
        <v>1</v>
      </c>
      <c r="Q267" t="s">
        <v>5</v>
      </c>
    </row>
    <row r="268" spans="1:17" x14ac:dyDescent="0.35">
      <c r="A268" t="s">
        <v>11</v>
      </c>
      <c r="B268">
        <v>22</v>
      </c>
      <c r="C268">
        <v>362</v>
      </c>
      <c r="D268">
        <v>240</v>
      </c>
      <c r="E268">
        <v>122</v>
      </c>
      <c r="F268">
        <v>1</v>
      </c>
      <c r="G268">
        <v>22</v>
      </c>
      <c r="H268">
        <v>374</v>
      </c>
      <c r="I268">
        <v>262</v>
      </c>
      <c r="J268">
        <v>112</v>
      </c>
      <c r="K268">
        <v>1</v>
      </c>
      <c r="L268">
        <f t="shared" si="20"/>
        <v>0</v>
      </c>
      <c r="M268">
        <f t="shared" si="21"/>
        <v>-12</v>
      </c>
      <c r="N268">
        <f t="shared" si="22"/>
        <v>-22</v>
      </c>
      <c r="O268">
        <f t="shared" si="23"/>
        <v>10</v>
      </c>
      <c r="P268">
        <f t="shared" si="24"/>
        <v>0</v>
      </c>
      <c r="Q268" t="s">
        <v>5</v>
      </c>
    </row>
    <row r="269" spans="1:17" x14ac:dyDescent="0.35">
      <c r="A269" t="s">
        <v>12</v>
      </c>
      <c r="B269">
        <v>14</v>
      </c>
      <c r="C269">
        <v>221</v>
      </c>
      <c r="D269">
        <v>199</v>
      </c>
      <c r="E269">
        <v>22</v>
      </c>
      <c r="F269">
        <v>2</v>
      </c>
      <c r="G269">
        <v>31</v>
      </c>
      <c r="H269">
        <v>480</v>
      </c>
      <c r="I269">
        <v>195</v>
      </c>
      <c r="J269">
        <v>285</v>
      </c>
      <c r="K269">
        <v>0</v>
      </c>
      <c r="L269">
        <f t="shared" si="20"/>
        <v>-17</v>
      </c>
      <c r="M269">
        <f t="shared" si="21"/>
        <v>-259</v>
      </c>
      <c r="N269">
        <f t="shared" si="22"/>
        <v>4</v>
      </c>
      <c r="O269">
        <f t="shared" si="23"/>
        <v>-263</v>
      </c>
      <c r="P269">
        <f t="shared" si="24"/>
        <v>2</v>
      </c>
      <c r="Q269" t="s">
        <v>5</v>
      </c>
    </row>
    <row r="270" spans="1:17" x14ac:dyDescent="0.35">
      <c r="A270" t="s">
        <v>11</v>
      </c>
      <c r="B270">
        <v>19</v>
      </c>
      <c r="C270">
        <v>252</v>
      </c>
      <c r="D270">
        <v>158</v>
      </c>
      <c r="E270">
        <v>94</v>
      </c>
      <c r="F270">
        <v>0</v>
      </c>
      <c r="G270">
        <v>25</v>
      </c>
      <c r="H270">
        <v>457</v>
      </c>
      <c r="I270">
        <v>345</v>
      </c>
      <c r="J270">
        <v>112</v>
      </c>
      <c r="K270">
        <v>1</v>
      </c>
      <c r="L270">
        <f t="shared" si="20"/>
        <v>-6</v>
      </c>
      <c r="M270">
        <f t="shared" si="21"/>
        <v>-205</v>
      </c>
      <c r="N270">
        <f t="shared" si="22"/>
        <v>-187</v>
      </c>
      <c r="O270">
        <f t="shared" si="23"/>
        <v>-18</v>
      </c>
      <c r="P270">
        <f t="shared" si="24"/>
        <v>-1</v>
      </c>
      <c r="Q270" t="s">
        <v>5</v>
      </c>
    </row>
    <row r="271" spans="1:17" x14ac:dyDescent="0.35">
      <c r="A271" t="s">
        <v>11</v>
      </c>
      <c r="B271">
        <v>20</v>
      </c>
      <c r="C271">
        <v>295</v>
      </c>
      <c r="D271">
        <v>210</v>
      </c>
      <c r="E271">
        <v>85</v>
      </c>
      <c r="F271">
        <v>0</v>
      </c>
      <c r="G271">
        <v>27</v>
      </c>
      <c r="H271">
        <v>404</v>
      </c>
      <c r="I271">
        <v>292</v>
      </c>
      <c r="J271">
        <v>112</v>
      </c>
      <c r="K271">
        <v>0</v>
      </c>
      <c r="L271">
        <f t="shared" si="20"/>
        <v>-7</v>
      </c>
      <c r="M271">
        <f t="shared" si="21"/>
        <v>-109</v>
      </c>
      <c r="N271">
        <f t="shared" si="22"/>
        <v>-82</v>
      </c>
      <c r="O271">
        <f t="shared" si="23"/>
        <v>-27</v>
      </c>
      <c r="P271">
        <f t="shared" si="24"/>
        <v>0</v>
      </c>
      <c r="Q271" t="s">
        <v>5</v>
      </c>
    </row>
    <row r="272" spans="1:17" x14ac:dyDescent="0.35">
      <c r="A272" t="s">
        <v>11</v>
      </c>
      <c r="B272">
        <v>22</v>
      </c>
      <c r="C272">
        <v>424</v>
      </c>
      <c r="D272">
        <v>256</v>
      </c>
      <c r="E272">
        <v>168</v>
      </c>
      <c r="F272">
        <v>0</v>
      </c>
      <c r="G272">
        <v>19</v>
      </c>
      <c r="H272">
        <v>303</v>
      </c>
      <c r="I272">
        <v>280</v>
      </c>
      <c r="J272">
        <v>23</v>
      </c>
      <c r="K272">
        <v>1</v>
      </c>
      <c r="L272">
        <f t="shared" si="20"/>
        <v>3</v>
      </c>
      <c r="M272">
        <f t="shared" si="21"/>
        <v>121</v>
      </c>
      <c r="N272">
        <f t="shared" si="22"/>
        <v>-24</v>
      </c>
      <c r="O272">
        <f t="shared" si="23"/>
        <v>145</v>
      </c>
      <c r="P272">
        <f t="shared" si="24"/>
        <v>-1</v>
      </c>
      <c r="Q272" t="s">
        <v>7</v>
      </c>
    </row>
    <row r="273" spans="1:17" x14ac:dyDescent="0.35">
      <c r="A273" t="s">
        <v>11</v>
      </c>
      <c r="B273">
        <v>24</v>
      </c>
      <c r="C273">
        <v>370</v>
      </c>
      <c r="D273">
        <v>290</v>
      </c>
      <c r="E273">
        <v>80</v>
      </c>
      <c r="F273">
        <v>1</v>
      </c>
      <c r="G273">
        <v>17</v>
      </c>
      <c r="H273">
        <v>375</v>
      </c>
      <c r="I273">
        <v>316</v>
      </c>
      <c r="J273">
        <v>59</v>
      </c>
      <c r="K273">
        <v>2</v>
      </c>
      <c r="L273">
        <f t="shared" si="20"/>
        <v>7</v>
      </c>
      <c r="M273">
        <f t="shared" si="21"/>
        <v>-5</v>
      </c>
      <c r="N273">
        <f t="shared" si="22"/>
        <v>-26</v>
      </c>
      <c r="O273">
        <f t="shared" si="23"/>
        <v>21</v>
      </c>
      <c r="P273">
        <f t="shared" si="24"/>
        <v>-1</v>
      </c>
      <c r="Q273" t="s">
        <v>5</v>
      </c>
    </row>
    <row r="274" spans="1:17" x14ac:dyDescent="0.35">
      <c r="A274" t="s">
        <v>12</v>
      </c>
      <c r="B274">
        <v>17</v>
      </c>
      <c r="C274">
        <v>269</v>
      </c>
      <c r="D274">
        <v>197</v>
      </c>
      <c r="E274">
        <v>72</v>
      </c>
      <c r="F274">
        <v>0</v>
      </c>
      <c r="G274">
        <v>15</v>
      </c>
      <c r="H274">
        <v>222</v>
      </c>
      <c r="I274">
        <v>182</v>
      </c>
      <c r="J274">
        <v>40</v>
      </c>
      <c r="K274">
        <v>2</v>
      </c>
      <c r="L274">
        <f t="shared" si="20"/>
        <v>2</v>
      </c>
      <c r="M274">
        <f t="shared" si="21"/>
        <v>47</v>
      </c>
      <c r="N274">
        <f t="shared" si="22"/>
        <v>15</v>
      </c>
      <c r="O274">
        <f t="shared" si="23"/>
        <v>32</v>
      </c>
      <c r="P274">
        <f t="shared" si="24"/>
        <v>-2</v>
      </c>
      <c r="Q274" t="s">
        <v>7</v>
      </c>
    </row>
    <row r="275" spans="1:17" x14ac:dyDescent="0.35">
      <c r="A275" t="s">
        <v>11</v>
      </c>
      <c r="B275">
        <v>31</v>
      </c>
      <c r="C275">
        <v>643</v>
      </c>
      <c r="D275">
        <v>378</v>
      </c>
      <c r="E275">
        <v>265</v>
      </c>
      <c r="F275">
        <v>0</v>
      </c>
      <c r="G275">
        <v>12</v>
      </c>
      <c r="H275">
        <v>200</v>
      </c>
      <c r="I275">
        <v>179</v>
      </c>
      <c r="J275">
        <v>21</v>
      </c>
      <c r="K275">
        <v>3</v>
      </c>
      <c r="L275">
        <f t="shared" si="20"/>
        <v>19</v>
      </c>
      <c r="M275">
        <f t="shared" si="21"/>
        <v>443</v>
      </c>
      <c r="N275">
        <f t="shared" si="22"/>
        <v>199</v>
      </c>
      <c r="O275">
        <f t="shared" si="23"/>
        <v>244</v>
      </c>
      <c r="P275">
        <f t="shared" si="24"/>
        <v>-3</v>
      </c>
      <c r="Q275" t="s">
        <v>7</v>
      </c>
    </row>
    <row r="276" spans="1:17" x14ac:dyDescent="0.35">
      <c r="A276" t="s">
        <v>12</v>
      </c>
      <c r="B276">
        <v>22</v>
      </c>
      <c r="C276">
        <v>316</v>
      </c>
      <c r="D276">
        <v>266</v>
      </c>
      <c r="E276">
        <v>50</v>
      </c>
      <c r="F276">
        <v>0</v>
      </c>
      <c r="G276">
        <v>17</v>
      </c>
      <c r="H276">
        <v>321</v>
      </c>
      <c r="I276">
        <v>238</v>
      </c>
      <c r="J276">
        <v>83</v>
      </c>
      <c r="K276">
        <v>1</v>
      </c>
      <c r="L276">
        <f t="shared" si="20"/>
        <v>5</v>
      </c>
      <c r="M276">
        <f t="shared" si="21"/>
        <v>-5</v>
      </c>
      <c r="N276">
        <f t="shared" si="22"/>
        <v>28</v>
      </c>
      <c r="O276">
        <f t="shared" si="23"/>
        <v>-33</v>
      </c>
      <c r="P276">
        <f t="shared" si="24"/>
        <v>-1</v>
      </c>
      <c r="Q276" t="s">
        <v>7</v>
      </c>
    </row>
    <row r="277" spans="1:17" x14ac:dyDescent="0.35">
      <c r="A277" t="s">
        <v>11</v>
      </c>
      <c r="B277">
        <v>18</v>
      </c>
      <c r="C277">
        <v>326</v>
      </c>
      <c r="D277">
        <v>222</v>
      </c>
      <c r="E277">
        <v>104</v>
      </c>
      <c r="F277">
        <v>0</v>
      </c>
      <c r="G277">
        <v>11</v>
      </c>
      <c r="H277">
        <v>226</v>
      </c>
      <c r="I277">
        <v>151</v>
      </c>
      <c r="J277">
        <v>75</v>
      </c>
      <c r="K277">
        <v>1</v>
      </c>
      <c r="L277">
        <f t="shared" si="20"/>
        <v>7</v>
      </c>
      <c r="M277">
        <f t="shared" si="21"/>
        <v>100</v>
      </c>
      <c r="N277">
        <f t="shared" si="22"/>
        <v>71</v>
      </c>
      <c r="O277">
        <f t="shared" si="23"/>
        <v>29</v>
      </c>
      <c r="P277">
        <f t="shared" si="24"/>
        <v>-1</v>
      </c>
      <c r="Q277" t="s">
        <v>7</v>
      </c>
    </row>
    <row r="278" spans="1:17" x14ac:dyDescent="0.35">
      <c r="A278" t="s">
        <v>11</v>
      </c>
      <c r="B278">
        <v>28</v>
      </c>
      <c r="C278">
        <v>552</v>
      </c>
      <c r="D278">
        <v>346</v>
      </c>
      <c r="E278">
        <v>206</v>
      </c>
      <c r="F278">
        <v>0</v>
      </c>
      <c r="G278">
        <v>25</v>
      </c>
      <c r="H278">
        <v>361</v>
      </c>
      <c r="I278">
        <v>281</v>
      </c>
      <c r="J278">
        <v>80</v>
      </c>
      <c r="K278">
        <v>0</v>
      </c>
      <c r="L278">
        <f t="shared" si="20"/>
        <v>3</v>
      </c>
      <c r="M278">
        <f t="shared" si="21"/>
        <v>191</v>
      </c>
      <c r="N278">
        <f t="shared" si="22"/>
        <v>65</v>
      </c>
      <c r="O278">
        <f t="shared" si="23"/>
        <v>126</v>
      </c>
      <c r="P278">
        <f t="shared" si="24"/>
        <v>0</v>
      </c>
      <c r="Q278" t="s">
        <v>7</v>
      </c>
    </row>
    <row r="279" spans="1:17" x14ac:dyDescent="0.35">
      <c r="A279" t="s">
        <v>11</v>
      </c>
      <c r="B279">
        <v>9</v>
      </c>
      <c r="C279">
        <v>180</v>
      </c>
      <c r="D279">
        <v>78</v>
      </c>
      <c r="E279">
        <v>102</v>
      </c>
      <c r="F279">
        <v>4</v>
      </c>
      <c r="G279">
        <v>22</v>
      </c>
      <c r="H279">
        <v>446</v>
      </c>
      <c r="I279">
        <v>171</v>
      </c>
      <c r="J279">
        <v>275</v>
      </c>
      <c r="K279">
        <v>0</v>
      </c>
      <c r="L279">
        <f t="shared" si="20"/>
        <v>-13</v>
      </c>
      <c r="M279">
        <f t="shared" si="21"/>
        <v>-266</v>
      </c>
      <c r="N279">
        <f t="shared" si="22"/>
        <v>-93</v>
      </c>
      <c r="O279">
        <f t="shared" si="23"/>
        <v>-173</v>
      </c>
      <c r="P279">
        <f t="shared" si="24"/>
        <v>4</v>
      </c>
      <c r="Q279" t="s">
        <v>5</v>
      </c>
    </row>
    <row r="280" spans="1:17" x14ac:dyDescent="0.35">
      <c r="A280" t="s">
        <v>11</v>
      </c>
      <c r="B280">
        <v>25</v>
      </c>
      <c r="C280">
        <v>470</v>
      </c>
      <c r="D280">
        <v>319</v>
      </c>
      <c r="E280">
        <v>151</v>
      </c>
      <c r="F280">
        <v>2</v>
      </c>
      <c r="G280">
        <v>23</v>
      </c>
      <c r="H280">
        <v>494</v>
      </c>
      <c r="I280">
        <v>405</v>
      </c>
      <c r="J280">
        <v>89</v>
      </c>
      <c r="K280">
        <v>0</v>
      </c>
      <c r="L280">
        <f t="shared" si="20"/>
        <v>2</v>
      </c>
      <c r="M280">
        <f t="shared" si="21"/>
        <v>-24</v>
      </c>
      <c r="N280">
        <f t="shared" si="22"/>
        <v>-86</v>
      </c>
      <c r="O280">
        <f t="shared" si="23"/>
        <v>62</v>
      </c>
      <c r="P280">
        <f t="shared" si="24"/>
        <v>2</v>
      </c>
      <c r="Q280" t="s">
        <v>5</v>
      </c>
    </row>
    <row r="281" spans="1:17" x14ac:dyDescent="0.35">
      <c r="A281" t="s">
        <v>11</v>
      </c>
      <c r="B281">
        <v>25</v>
      </c>
      <c r="C281">
        <v>474</v>
      </c>
      <c r="D281">
        <v>261</v>
      </c>
      <c r="E281">
        <v>213</v>
      </c>
      <c r="F281">
        <v>1</v>
      </c>
      <c r="G281">
        <v>19</v>
      </c>
      <c r="H281">
        <v>255</v>
      </c>
      <c r="I281">
        <v>208</v>
      </c>
      <c r="J281">
        <v>47</v>
      </c>
      <c r="K281">
        <v>0</v>
      </c>
      <c r="L281">
        <f t="shared" si="20"/>
        <v>6</v>
      </c>
      <c r="M281">
        <f t="shared" si="21"/>
        <v>219</v>
      </c>
      <c r="N281">
        <f t="shared" si="22"/>
        <v>53</v>
      </c>
      <c r="O281">
        <f t="shared" si="23"/>
        <v>166</v>
      </c>
      <c r="P281">
        <f t="shared" si="24"/>
        <v>1</v>
      </c>
      <c r="Q281" t="s">
        <v>7</v>
      </c>
    </row>
    <row r="282" spans="1:17" x14ac:dyDescent="0.35">
      <c r="A282" t="s">
        <v>11</v>
      </c>
      <c r="B282">
        <v>25</v>
      </c>
      <c r="C282">
        <v>516</v>
      </c>
      <c r="D282">
        <v>354</v>
      </c>
      <c r="E282">
        <v>162</v>
      </c>
      <c r="F282">
        <v>1</v>
      </c>
      <c r="G282">
        <v>28</v>
      </c>
      <c r="H282">
        <v>465</v>
      </c>
      <c r="I282">
        <v>349</v>
      </c>
      <c r="J282">
        <v>116</v>
      </c>
      <c r="K282">
        <v>1</v>
      </c>
      <c r="L282">
        <f t="shared" si="20"/>
        <v>-3</v>
      </c>
      <c r="M282">
        <f t="shared" si="21"/>
        <v>51</v>
      </c>
      <c r="N282">
        <f t="shared" si="22"/>
        <v>5</v>
      </c>
      <c r="O282">
        <f t="shared" si="23"/>
        <v>46</v>
      </c>
      <c r="P282">
        <f t="shared" si="24"/>
        <v>0</v>
      </c>
      <c r="Q282" t="s">
        <v>7</v>
      </c>
    </row>
    <row r="283" spans="1:17" x14ac:dyDescent="0.35">
      <c r="A283" t="s">
        <v>12</v>
      </c>
      <c r="B283">
        <v>25</v>
      </c>
      <c r="C283">
        <v>435</v>
      </c>
      <c r="D283">
        <v>310</v>
      </c>
      <c r="E283">
        <v>125</v>
      </c>
      <c r="F283">
        <v>2</v>
      </c>
      <c r="G283">
        <v>22</v>
      </c>
      <c r="H283">
        <v>376</v>
      </c>
      <c r="I283">
        <v>173</v>
      </c>
      <c r="J283">
        <v>203</v>
      </c>
      <c r="K283">
        <v>0</v>
      </c>
      <c r="L283">
        <f t="shared" si="20"/>
        <v>3</v>
      </c>
      <c r="M283">
        <f t="shared" si="21"/>
        <v>59</v>
      </c>
      <c r="N283">
        <f t="shared" si="22"/>
        <v>137</v>
      </c>
      <c r="O283">
        <f t="shared" si="23"/>
        <v>-78</v>
      </c>
      <c r="P283">
        <f t="shared" si="24"/>
        <v>2</v>
      </c>
      <c r="Q283" t="s">
        <v>7</v>
      </c>
    </row>
    <row r="284" spans="1:17" x14ac:dyDescent="0.35">
      <c r="A284" t="s">
        <v>12</v>
      </c>
      <c r="B284">
        <v>19</v>
      </c>
      <c r="C284">
        <v>246</v>
      </c>
      <c r="D284">
        <v>211</v>
      </c>
      <c r="E284">
        <v>35</v>
      </c>
      <c r="F284">
        <v>3</v>
      </c>
      <c r="G284">
        <v>15</v>
      </c>
      <c r="H284">
        <v>350</v>
      </c>
      <c r="I284">
        <v>159</v>
      </c>
      <c r="J284">
        <v>191</v>
      </c>
      <c r="K284">
        <v>2</v>
      </c>
      <c r="L284">
        <f t="shared" si="20"/>
        <v>4</v>
      </c>
      <c r="M284">
        <f t="shared" si="21"/>
        <v>-104</v>
      </c>
      <c r="N284">
        <f t="shared" si="22"/>
        <v>52</v>
      </c>
      <c r="O284">
        <f t="shared" si="23"/>
        <v>-156</v>
      </c>
      <c r="P284">
        <f t="shared" si="24"/>
        <v>1</v>
      </c>
      <c r="Q284" t="s">
        <v>5</v>
      </c>
    </row>
    <row r="285" spans="1:17" x14ac:dyDescent="0.35">
      <c r="A285" t="s">
        <v>11</v>
      </c>
      <c r="B285">
        <v>21</v>
      </c>
      <c r="C285">
        <v>412</v>
      </c>
      <c r="D285">
        <v>159</v>
      </c>
      <c r="E285">
        <v>253</v>
      </c>
      <c r="F285">
        <v>0</v>
      </c>
      <c r="G285">
        <v>13</v>
      </c>
      <c r="H285">
        <v>224</v>
      </c>
      <c r="I285">
        <v>133</v>
      </c>
      <c r="J285">
        <v>91</v>
      </c>
      <c r="K285">
        <v>1</v>
      </c>
      <c r="L285">
        <f t="shared" si="20"/>
        <v>8</v>
      </c>
      <c r="M285">
        <f t="shared" si="21"/>
        <v>188</v>
      </c>
      <c r="N285">
        <f t="shared" si="22"/>
        <v>26</v>
      </c>
      <c r="O285">
        <f t="shared" si="23"/>
        <v>162</v>
      </c>
      <c r="P285">
        <f t="shared" si="24"/>
        <v>-1</v>
      </c>
      <c r="Q285" t="s">
        <v>7</v>
      </c>
    </row>
    <row r="286" spans="1:17" x14ac:dyDescent="0.35">
      <c r="A286" t="s">
        <v>11</v>
      </c>
      <c r="B286">
        <v>24</v>
      </c>
      <c r="C286">
        <v>335</v>
      </c>
      <c r="D286">
        <v>215</v>
      </c>
      <c r="E286">
        <v>120</v>
      </c>
      <c r="F286">
        <v>0</v>
      </c>
      <c r="G286">
        <v>32</v>
      </c>
      <c r="H286">
        <v>563</v>
      </c>
      <c r="I286">
        <v>441</v>
      </c>
      <c r="J286">
        <v>122</v>
      </c>
      <c r="K286">
        <v>3</v>
      </c>
      <c r="L286">
        <f t="shared" si="20"/>
        <v>-8</v>
      </c>
      <c r="M286">
        <f t="shared" si="21"/>
        <v>-228</v>
      </c>
      <c r="N286">
        <f t="shared" si="22"/>
        <v>-226</v>
      </c>
      <c r="O286">
        <f t="shared" si="23"/>
        <v>-2</v>
      </c>
      <c r="P286">
        <f t="shared" si="24"/>
        <v>-3</v>
      </c>
      <c r="Q286" t="s">
        <v>7</v>
      </c>
    </row>
    <row r="287" spans="1:17" x14ac:dyDescent="0.35">
      <c r="A287" t="s">
        <v>12</v>
      </c>
      <c r="B287">
        <v>27</v>
      </c>
      <c r="C287">
        <v>404</v>
      </c>
      <c r="D287">
        <v>292</v>
      </c>
      <c r="E287">
        <v>112</v>
      </c>
      <c r="F287">
        <v>0</v>
      </c>
      <c r="G287">
        <v>20</v>
      </c>
      <c r="H287">
        <v>295</v>
      </c>
      <c r="I287">
        <v>210</v>
      </c>
      <c r="J287">
        <v>85</v>
      </c>
      <c r="K287">
        <v>0</v>
      </c>
      <c r="L287">
        <f t="shared" si="20"/>
        <v>7</v>
      </c>
      <c r="M287">
        <f t="shared" si="21"/>
        <v>109</v>
      </c>
      <c r="N287">
        <f t="shared" si="22"/>
        <v>82</v>
      </c>
      <c r="O287">
        <f t="shared" si="23"/>
        <v>27</v>
      </c>
      <c r="P287">
        <f t="shared" si="24"/>
        <v>0</v>
      </c>
      <c r="Q287" t="s">
        <v>7</v>
      </c>
    </row>
    <row r="288" spans="1:17" x14ac:dyDescent="0.35">
      <c r="A288" t="s">
        <v>12</v>
      </c>
      <c r="B288">
        <v>17</v>
      </c>
      <c r="C288">
        <v>375</v>
      </c>
      <c r="D288">
        <v>316</v>
      </c>
      <c r="E288">
        <v>59</v>
      </c>
      <c r="F288">
        <v>2</v>
      </c>
      <c r="G288">
        <v>24</v>
      </c>
      <c r="H288">
        <v>370</v>
      </c>
      <c r="I288">
        <v>290</v>
      </c>
      <c r="J288">
        <v>80</v>
      </c>
      <c r="K288">
        <v>1</v>
      </c>
      <c r="L288">
        <f t="shared" si="20"/>
        <v>-7</v>
      </c>
      <c r="M288">
        <f t="shared" si="21"/>
        <v>5</v>
      </c>
      <c r="N288">
        <f t="shared" si="22"/>
        <v>26</v>
      </c>
      <c r="O288">
        <f t="shared" si="23"/>
        <v>-21</v>
      </c>
      <c r="P288">
        <f t="shared" si="24"/>
        <v>1</v>
      </c>
      <c r="Q288" t="s">
        <v>7</v>
      </c>
    </row>
    <row r="289" spans="1:17" x14ac:dyDescent="0.35">
      <c r="A289" t="s">
        <v>11</v>
      </c>
      <c r="B289">
        <v>16</v>
      </c>
      <c r="C289">
        <v>375</v>
      </c>
      <c r="D289">
        <v>305</v>
      </c>
      <c r="E289">
        <v>70</v>
      </c>
      <c r="F289">
        <v>1</v>
      </c>
      <c r="G289">
        <v>13</v>
      </c>
      <c r="H289">
        <v>262</v>
      </c>
      <c r="I289">
        <v>169</v>
      </c>
      <c r="J289">
        <v>93</v>
      </c>
      <c r="K289">
        <v>1</v>
      </c>
      <c r="L289">
        <f t="shared" si="20"/>
        <v>3</v>
      </c>
      <c r="M289">
        <f t="shared" si="21"/>
        <v>113</v>
      </c>
      <c r="N289">
        <f t="shared" si="22"/>
        <v>136</v>
      </c>
      <c r="O289">
        <f t="shared" si="23"/>
        <v>-23</v>
      </c>
      <c r="P289">
        <f t="shared" si="24"/>
        <v>0</v>
      </c>
      <c r="Q289" t="s">
        <v>7</v>
      </c>
    </row>
    <row r="290" spans="1:17" x14ac:dyDescent="0.35">
      <c r="A290" t="s">
        <v>12</v>
      </c>
      <c r="B290">
        <v>20</v>
      </c>
      <c r="C290">
        <v>335</v>
      </c>
      <c r="D290">
        <v>240</v>
      </c>
      <c r="E290">
        <v>95</v>
      </c>
      <c r="F290">
        <v>3</v>
      </c>
      <c r="G290">
        <v>19</v>
      </c>
      <c r="H290">
        <v>322</v>
      </c>
      <c r="I290">
        <v>243</v>
      </c>
      <c r="J290">
        <v>79</v>
      </c>
      <c r="K290">
        <v>0</v>
      </c>
      <c r="L290">
        <f t="shared" si="20"/>
        <v>1</v>
      </c>
      <c r="M290">
        <f t="shared" si="21"/>
        <v>13</v>
      </c>
      <c r="N290">
        <f t="shared" si="22"/>
        <v>-3</v>
      </c>
      <c r="O290">
        <f t="shared" si="23"/>
        <v>16</v>
      </c>
      <c r="P290">
        <f t="shared" si="24"/>
        <v>3</v>
      </c>
      <c r="Q290" t="s">
        <v>5</v>
      </c>
    </row>
    <row r="291" spans="1:17" x14ac:dyDescent="0.35">
      <c r="A291" t="s">
        <v>12</v>
      </c>
      <c r="B291">
        <v>23</v>
      </c>
      <c r="C291">
        <v>348</v>
      </c>
      <c r="D291">
        <v>316</v>
      </c>
      <c r="E291">
        <v>32</v>
      </c>
      <c r="F291">
        <v>3</v>
      </c>
      <c r="G291">
        <v>18</v>
      </c>
      <c r="H291">
        <v>256</v>
      </c>
      <c r="I291">
        <v>132</v>
      </c>
      <c r="J291">
        <v>124</v>
      </c>
      <c r="K291">
        <v>1</v>
      </c>
      <c r="L291">
        <f t="shared" si="20"/>
        <v>5</v>
      </c>
      <c r="M291">
        <f t="shared" si="21"/>
        <v>92</v>
      </c>
      <c r="N291">
        <f t="shared" si="22"/>
        <v>184</v>
      </c>
      <c r="O291">
        <f t="shared" si="23"/>
        <v>-92</v>
      </c>
      <c r="P291">
        <f t="shared" si="24"/>
        <v>2</v>
      </c>
      <c r="Q291" t="s">
        <v>5</v>
      </c>
    </row>
    <row r="292" spans="1:17" x14ac:dyDescent="0.35">
      <c r="A292" t="s">
        <v>11</v>
      </c>
      <c r="B292">
        <v>18</v>
      </c>
      <c r="C292">
        <v>256</v>
      </c>
      <c r="D292">
        <v>132</v>
      </c>
      <c r="E292">
        <v>124</v>
      </c>
      <c r="F292">
        <v>1</v>
      </c>
      <c r="G292">
        <v>23</v>
      </c>
      <c r="H292">
        <v>348</v>
      </c>
      <c r="I292">
        <v>316</v>
      </c>
      <c r="J292">
        <v>32</v>
      </c>
      <c r="K292">
        <v>3</v>
      </c>
      <c r="L292">
        <f t="shared" si="20"/>
        <v>-5</v>
      </c>
      <c r="M292">
        <f t="shared" si="21"/>
        <v>-92</v>
      </c>
      <c r="N292">
        <f t="shared" si="22"/>
        <v>-184</v>
      </c>
      <c r="O292">
        <f t="shared" si="23"/>
        <v>92</v>
      </c>
      <c r="P292">
        <f t="shared" si="24"/>
        <v>-2</v>
      </c>
      <c r="Q292" t="s">
        <v>7</v>
      </c>
    </row>
    <row r="293" spans="1:17" x14ac:dyDescent="0.35">
      <c r="A293" t="s">
        <v>12</v>
      </c>
      <c r="B293">
        <v>21</v>
      </c>
      <c r="C293">
        <v>307</v>
      </c>
      <c r="D293">
        <v>150</v>
      </c>
      <c r="E293">
        <v>157</v>
      </c>
      <c r="F293">
        <v>3</v>
      </c>
      <c r="G293">
        <v>20</v>
      </c>
      <c r="H293">
        <v>379</v>
      </c>
      <c r="I293">
        <v>243</v>
      </c>
      <c r="J293">
        <v>136</v>
      </c>
      <c r="K293">
        <v>1</v>
      </c>
      <c r="L293">
        <f t="shared" si="20"/>
        <v>1</v>
      </c>
      <c r="M293">
        <f t="shared" si="21"/>
        <v>-72</v>
      </c>
      <c r="N293">
        <f t="shared" si="22"/>
        <v>-93</v>
      </c>
      <c r="O293">
        <f t="shared" si="23"/>
        <v>21</v>
      </c>
      <c r="P293">
        <f t="shared" si="24"/>
        <v>2</v>
      </c>
      <c r="Q293" t="s">
        <v>5</v>
      </c>
    </row>
    <row r="294" spans="1:17" x14ac:dyDescent="0.35">
      <c r="A294" t="s">
        <v>12</v>
      </c>
      <c r="B294">
        <v>21</v>
      </c>
      <c r="C294">
        <v>370</v>
      </c>
      <c r="D294">
        <v>241</v>
      </c>
      <c r="E294">
        <v>129</v>
      </c>
      <c r="F294">
        <v>2</v>
      </c>
      <c r="G294">
        <v>24</v>
      </c>
      <c r="H294">
        <v>388</v>
      </c>
      <c r="I294">
        <v>237</v>
      </c>
      <c r="J294">
        <v>151</v>
      </c>
      <c r="K294">
        <v>0</v>
      </c>
      <c r="L294">
        <f t="shared" si="20"/>
        <v>-3</v>
      </c>
      <c r="M294">
        <f t="shared" si="21"/>
        <v>-18</v>
      </c>
      <c r="N294">
        <f t="shared" si="22"/>
        <v>4</v>
      </c>
      <c r="O294">
        <f t="shared" si="23"/>
        <v>-22</v>
      </c>
      <c r="P294">
        <f t="shared" si="24"/>
        <v>2</v>
      </c>
      <c r="Q294" t="s">
        <v>5</v>
      </c>
    </row>
    <row r="295" spans="1:17" x14ac:dyDescent="0.35">
      <c r="A295" t="s">
        <v>11</v>
      </c>
      <c r="B295">
        <v>20</v>
      </c>
      <c r="C295">
        <v>376</v>
      </c>
      <c r="D295">
        <v>337</v>
      </c>
      <c r="E295">
        <v>39</v>
      </c>
      <c r="F295">
        <v>1</v>
      </c>
      <c r="G295">
        <v>22</v>
      </c>
      <c r="H295">
        <v>366</v>
      </c>
      <c r="I295">
        <v>293</v>
      </c>
      <c r="J295">
        <v>73</v>
      </c>
      <c r="K295">
        <v>1</v>
      </c>
      <c r="L295">
        <f t="shared" si="20"/>
        <v>-2</v>
      </c>
      <c r="M295">
        <f t="shared" si="21"/>
        <v>10</v>
      </c>
      <c r="N295">
        <f t="shared" si="22"/>
        <v>44</v>
      </c>
      <c r="O295">
        <f t="shared" si="23"/>
        <v>-34</v>
      </c>
      <c r="P295">
        <f t="shared" si="24"/>
        <v>0</v>
      </c>
      <c r="Q295" t="s">
        <v>7</v>
      </c>
    </row>
    <row r="296" spans="1:17" x14ac:dyDescent="0.35">
      <c r="A296" t="s">
        <v>11</v>
      </c>
      <c r="B296">
        <v>31</v>
      </c>
      <c r="C296">
        <v>481</v>
      </c>
      <c r="D296">
        <v>238</v>
      </c>
      <c r="E296">
        <v>243</v>
      </c>
      <c r="F296">
        <v>1</v>
      </c>
      <c r="G296">
        <v>17</v>
      </c>
      <c r="H296">
        <v>241</v>
      </c>
      <c r="I296">
        <v>184</v>
      </c>
      <c r="J296">
        <v>57</v>
      </c>
      <c r="K296">
        <v>1</v>
      </c>
      <c r="L296">
        <f t="shared" si="20"/>
        <v>14</v>
      </c>
      <c r="M296">
        <f t="shared" si="21"/>
        <v>240</v>
      </c>
      <c r="N296">
        <f t="shared" si="22"/>
        <v>54</v>
      </c>
      <c r="O296">
        <f t="shared" si="23"/>
        <v>186</v>
      </c>
      <c r="P296">
        <f t="shared" si="24"/>
        <v>0</v>
      </c>
      <c r="Q296" t="s">
        <v>7</v>
      </c>
    </row>
    <row r="297" spans="1:17" x14ac:dyDescent="0.35">
      <c r="A297" t="s">
        <v>12</v>
      </c>
      <c r="B297">
        <v>17</v>
      </c>
      <c r="C297">
        <v>263</v>
      </c>
      <c r="D297">
        <v>137</v>
      </c>
      <c r="E297">
        <v>126</v>
      </c>
      <c r="F297">
        <v>0</v>
      </c>
      <c r="G297">
        <v>16</v>
      </c>
      <c r="H297">
        <v>281</v>
      </c>
      <c r="I297">
        <v>178</v>
      </c>
      <c r="J297">
        <v>103</v>
      </c>
      <c r="K297">
        <v>1</v>
      </c>
      <c r="L297">
        <f t="shared" si="20"/>
        <v>1</v>
      </c>
      <c r="M297">
        <f t="shared" si="21"/>
        <v>-18</v>
      </c>
      <c r="N297">
        <f t="shared" si="22"/>
        <v>-41</v>
      </c>
      <c r="O297">
        <f t="shared" si="23"/>
        <v>23</v>
      </c>
      <c r="P297">
        <f t="shared" si="24"/>
        <v>-1</v>
      </c>
      <c r="Q297" t="s">
        <v>7</v>
      </c>
    </row>
    <row r="298" spans="1:17" x14ac:dyDescent="0.35">
      <c r="A298" t="s">
        <v>11</v>
      </c>
      <c r="B298">
        <v>15</v>
      </c>
      <c r="C298">
        <v>308</v>
      </c>
      <c r="D298">
        <v>279</v>
      </c>
      <c r="E298">
        <v>29</v>
      </c>
      <c r="F298">
        <v>1</v>
      </c>
      <c r="G298">
        <v>23</v>
      </c>
      <c r="H298">
        <v>389</v>
      </c>
      <c r="I298">
        <v>125</v>
      </c>
      <c r="J298">
        <v>264</v>
      </c>
      <c r="K298">
        <v>2</v>
      </c>
      <c r="L298">
        <f t="shared" si="20"/>
        <v>-8</v>
      </c>
      <c r="M298">
        <f t="shared" si="21"/>
        <v>-81</v>
      </c>
      <c r="N298">
        <f t="shared" si="22"/>
        <v>154</v>
      </c>
      <c r="O298">
        <f t="shared" si="23"/>
        <v>-235</v>
      </c>
      <c r="P298">
        <f t="shared" si="24"/>
        <v>-1</v>
      </c>
      <c r="Q298" t="s">
        <v>5</v>
      </c>
    </row>
    <row r="299" spans="1:17" x14ac:dyDescent="0.35">
      <c r="A299" t="s">
        <v>11</v>
      </c>
      <c r="B299">
        <v>13</v>
      </c>
      <c r="C299">
        <v>299</v>
      </c>
      <c r="D299">
        <v>243</v>
      </c>
      <c r="E299">
        <v>56</v>
      </c>
      <c r="F299">
        <v>0</v>
      </c>
      <c r="G299">
        <v>22</v>
      </c>
      <c r="H299">
        <v>447</v>
      </c>
      <c r="I299">
        <v>277</v>
      </c>
      <c r="J299">
        <v>170</v>
      </c>
      <c r="K299">
        <v>3</v>
      </c>
      <c r="L299">
        <f t="shared" si="20"/>
        <v>-9</v>
      </c>
      <c r="M299">
        <f t="shared" si="21"/>
        <v>-148</v>
      </c>
      <c r="N299">
        <f t="shared" si="22"/>
        <v>-34</v>
      </c>
      <c r="O299">
        <f t="shared" si="23"/>
        <v>-114</v>
      </c>
      <c r="P299">
        <f t="shared" si="24"/>
        <v>-3</v>
      </c>
      <c r="Q299" t="s">
        <v>5</v>
      </c>
    </row>
    <row r="300" spans="1:17" x14ac:dyDescent="0.35">
      <c r="A300" t="s">
        <v>11</v>
      </c>
      <c r="B300">
        <v>15</v>
      </c>
      <c r="C300">
        <v>236</v>
      </c>
      <c r="D300">
        <v>194</v>
      </c>
      <c r="E300">
        <v>42</v>
      </c>
      <c r="F300">
        <v>2</v>
      </c>
      <c r="G300">
        <v>25</v>
      </c>
      <c r="H300">
        <v>398</v>
      </c>
      <c r="I300">
        <v>229</v>
      </c>
      <c r="J300">
        <v>169</v>
      </c>
      <c r="K300">
        <v>2</v>
      </c>
      <c r="L300">
        <f t="shared" si="20"/>
        <v>-10</v>
      </c>
      <c r="M300">
        <f t="shared" si="21"/>
        <v>-162</v>
      </c>
      <c r="N300">
        <f t="shared" si="22"/>
        <v>-35</v>
      </c>
      <c r="O300">
        <f t="shared" si="23"/>
        <v>-127</v>
      </c>
      <c r="P300">
        <f t="shared" si="24"/>
        <v>0</v>
      </c>
      <c r="Q300" t="s">
        <v>5</v>
      </c>
    </row>
    <row r="301" spans="1:17" x14ac:dyDescent="0.35">
      <c r="A301" t="s">
        <v>12</v>
      </c>
      <c r="B301">
        <v>21</v>
      </c>
      <c r="C301">
        <v>271</v>
      </c>
      <c r="D301">
        <v>187</v>
      </c>
      <c r="E301">
        <v>84</v>
      </c>
      <c r="F301">
        <v>2</v>
      </c>
      <c r="G301">
        <v>13</v>
      </c>
      <c r="H301">
        <v>311</v>
      </c>
      <c r="I301">
        <v>166</v>
      </c>
      <c r="J301">
        <v>145</v>
      </c>
      <c r="K301">
        <v>0</v>
      </c>
      <c r="L301">
        <f t="shared" si="20"/>
        <v>8</v>
      </c>
      <c r="M301">
        <f t="shared" si="21"/>
        <v>-40</v>
      </c>
      <c r="N301">
        <f t="shared" si="22"/>
        <v>21</v>
      </c>
      <c r="O301">
        <f t="shared" si="23"/>
        <v>-61</v>
      </c>
      <c r="P301">
        <f t="shared" si="24"/>
        <v>2</v>
      </c>
      <c r="Q301" t="s">
        <v>5</v>
      </c>
    </row>
    <row r="302" spans="1:17" x14ac:dyDescent="0.35">
      <c r="A302" t="s">
        <v>12</v>
      </c>
      <c r="B302">
        <v>28</v>
      </c>
      <c r="C302">
        <v>465</v>
      </c>
      <c r="D302">
        <v>349</v>
      </c>
      <c r="E302">
        <v>116</v>
      </c>
      <c r="F302">
        <v>1</v>
      </c>
      <c r="G302">
        <v>25</v>
      </c>
      <c r="H302">
        <v>516</v>
      </c>
      <c r="I302">
        <v>354</v>
      </c>
      <c r="J302">
        <v>162</v>
      </c>
      <c r="K302">
        <v>1</v>
      </c>
      <c r="L302">
        <f t="shared" si="20"/>
        <v>3</v>
      </c>
      <c r="M302">
        <f t="shared" si="21"/>
        <v>-51</v>
      </c>
      <c r="N302">
        <f t="shared" si="22"/>
        <v>-5</v>
      </c>
      <c r="O302">
        <f t="shared" si="23"/>
        <v>-46</v>
      </c>
      <c r="P302">
        <f t="shared" si="24"/>
        <v>0</v>
      </c>
      <c r="Q302" t="s">
        <v>5</v>
      </c>
    </row>
    <row r="303" spans="1:17" x14ac:dyDescent="0.35">
      <c r="A303" t="s">
        <v>11</v>
      </c>
      <c r="B303">
        <v>23</v>
      </c>
      <c r="C303">
        <v>389</v>
      </c>
      <c r="D303">
        <v>283</v>
      </c>
      <c r="E303">
        <v>106</v>
      </c>
      <c r="F303">
        <v>4</v>
      </c>
      <c r="G303">
        <v>16</v>
      </c>
      <c r="H303">
        <v>246</v>
      </c>
      <c r="I303">
        <v>174</v>
      </c>
      <c r="J303">
        <v>72</v>
      </c>
      <c r="K303">
        <v>1</v>
      </c>
      <c r="L303">
        <f t="shared" si="20"/>
        <v>7</v>
      </c>
      <c r="M303">
        <f t="shared" si="21"/>
        <v>143</v>
      </c>
      <c r="N303">
        <f t="shared" si="22"/>
        <v>109</v>
      </c>
      <c r="O303">
        <f t="shared" si="23"/>
        <v>34</v>
      </c>
      <c r="P303">
        <f t="shared" si="24"/>
        <v>3</v>
      </c>
      <c r="Q303" t="s">
        <v>5</v>
      </c>
    </row>
    <row r="304" spans="1:17" x14ac:dyDescent="0.35">
      <c r="A304" t="s">
        <v>12</v>
      </c>
      <c r="B304">
        <v>20</v>
      </c>
      <c r="C304">
        <v>309</v>
      </c>
      <c r="D304">
        <v>256</v>
      </c>
      <c r="E304">
        <v>53</v>
      </c>
      <c r="F304">
        <v>2</v>
      </c>
      <c r="G304">
        <v>35</v>
      </c>
      <c r="H304">
        <v>472</v>
      </c>
      <c r="I304">
        <v>280</v>
      </c>
      <c r="J304">
        <v>192</v>
      </c>
      <c r="K304">
        <v>3</v>
      </c>
      <c r="L304">
        <f t="shared" si="20"/>
        <v>-15</v>
      </c>
      <c r="M304">
        <f t="shared" si="21"/>
        <v>-163</v>
      </c>
      <c r="N304">
        <f t="shared" si="22"/>
        <v>-24</v>
      </c>
      <c r="O304">
        <f t="shared" si="23"/>
        <v>-139</v>
      </c>
      <c r="P304">
        <f t="shared" si="24"/>
        <v>-1</v>
      </c>
      <c r="Q304" t="s">
        <v>5</v>
      </c>
    </row>
    <row r="305" spans="1:17" x14ac:dyDescent="0.35">
      <c r="A305" t="s">
        <v>12</v>
      </c>
      <c r="B305">
        <v>13</v>
      </c>
      <c r="C305">
        <v>198</v>
      </c>
      <c r="D305">
        <v>124</v>
      </c>
      <c r="E305">
        <v>74</v>
      </c>
      <c r="F305">
        <v>1</v>
      </c>
      <c r="G305">
        <v>27</v>
      </c>
      <c r="H305">
        <v>549</v>
      </c>
      <c r="I305">
        <v>417</v>
      </c>
      <c r="J305">
        <v>132</v>
      </c>
      <c r="K305">
        <v>0</v>
      </c>
      <c r="L305">
        <f t="shared" si="20"/>
        <v>-14</v>
      </c>
      <c r="M305">
        <f t="shared" si="21"/>
        <v>-351</v>
      </c>
      <c r="N305">
        <f t="shared" si="22"/>
        <v>-293</v>
      </c>
      <c r="O305">
        <f t="shared" si="23"/>
        <v>-58</v>
      </c>
      <c r="P305">
        <f t="shared" si="24"/>
        <v>1</v>
      </c>
      <c r="Q305" t="s">
        <v>5</v>
      </c>
    </row>
    <row r="306" spans="1:17" x14ac:dyDescent="0.35">
      <c r="A306" t="s">
        <v>12</v>
      </c>
      <c r="B306">
        <v>16</v>
      </c>
      <c r="C306">
        <v>295</v>
      </c>
      <c r="D306">
        <v>250</v>
      </c>
      <c r="E306">
        <v>45</v>
      </c>
      <c r="F306">
        <v>3</v>
      </c>
      <c r="G306">
        <v>23</v>
      </c>
      <c r="H306">
        <v>495</v>
      </c>
      <c r="I306">
        <v>446</v>
      </c>
      <c r="J306">
        <v>49</v>
      </c>
      <c r="K306">
        <v>1</v>
      </c>
      <c r="L306">
        <f t="shared" si="20"/>
        <v>-7</v>
      </c>
      <c r="M306">
        <f t="shared" si="21"/>
        <v>-200</v>
      </c>
      <c r="N306">
        <f t="shared" si="22"/>
        <v>-196</v>
      </c>
      <c r="O306">
        <f t="shared" si="23"/>
        <v>-4</v>
      </c>
      <c r="P306">
        <f t="shared" si="24"/>
        <v>2</v>
      </c>
      <c r="Q306" t="s">
        <v>5</v>
      </c>
    </row>
    <row r="307" spans="1:17" x14ac:dyDescent="0.35">
      <c r="A307" t="s">
        <v>11</v>
      </c>
      <c r="B307">
        <v>13</v>
      </c>
      <c r="C307">
        <v>310</v>
      </c>
      <c r="D307">
        <v>207</v>
      </c>
      <c r="E307">
        <v>103</v>
      </c>
      <c r="F307">
        <v>2</v>
      </c>
      <c r="G307">
        <v>23</v>
      </c>
      <c r="H307">
        <v>430</v>
      </c>
      <c r="I307">
        <v>212</v>
      </c>
      <c r="J307">
        <v>218</v>
      </c>
      <c r="K307">
        <v>0</v>
      </c>
      <c r="L307">
        <f t="shared" si="20"/>
        <v>-10</v>
      </c>
      <c r="M307">
        <f t="shared" si="21"/>
        <v>-120</v>
      </c>
      <c r="N307">
        <f t="shared" si="22"/>
        <v>-5</v>
      </c>
      <c r="O307">
        <f t="shared" si="23"/>
        <v>-115</v>
      </c>
      <c r="P307">
        <f t="shared" si="24"/>
        <v>2</v>
      </c>
      <c r="Q307" t="s">
        <v>5</v>
      </c>
    </row>
    <row r="308" spans="1:17" x14ac:dyDescent="0.35">
      <c r="A308" t="s">
        <v>11</v>
      </c>
      <c r="B308">
        <v>21</v>
      </c>
      <c r="C308">
        <v>357</v>
      </c>
      <c r="D308">
        <v>259</v>
      </c>
      <c r="E308">
        <v>98</v>
      </c>
      <c r="F308">
        <v>1</v>
      </c>
      <c r="G308">
        <v>13</v>
      </c>
      <c r="H308">
        <v>226</v>
      </c>
      <c r="I308">
        <v>145</v>
      </c>
      <c r="J308">
        <v>81</v>
      </c>
      <c r="K308">
        <v>0</v>
      </c>
      <c r="L308">
        <f t="shared" si="20"/>
        <v>8</v>
      </c>
      <c r="M308">
        <f t="shared" si="21"/>
        <v>131</v>
      </c>
      <c r="N308">
        <f t="shared" si="22"/>
        <v>114</v>
      </c>
      <c r="O308">
        <f t="shared" si="23"/>
        <v>17</v>
      </c>
      <c r="P308">
        <f t="shared" si="24"/>
        <v>1</v>
      </c>
      <c r="Q308" t="s">
        <v>5</v>
      </c>
    </row>
    <row r="309" spans="1:17" x14ac:dyDescent="0.35">
      <c r="A309" t="s">
        <v>12</v>
      </c>
      <c r="B309">
        <v>29</v>
      </c>
      <c r="C309">
        <v>379</v>
      </c>
      <c r="D309">
        <v>300</v>
      </c>
      <c r="E309">
        <v>79</v>
      </c>
      <c r="F309">
        <v>0</v>
      </c>
      <c r="G309">
        <v>25</v>
      </c>
      <c r="H309">
        <v>397</v>
      </c>
      <c r="I309">
        <v>304</v>
      </c>
      <c r="J309">
        <v>93</v>
      </c>
      <c r="K309">
        <v>1</v>
      </c>
      <c r="L309">
        <f t="shared" si="20"/>
        <v>4</v>
      </c>
      <c r="M309">
        <f t="shared" si="21"/>
        <v>-18</v>
      </c>
      <c r="N309">
        <f t="shared" si="22"/>
        <v>-4</v>
      </c>
      <c r="O309">
        <f t="shared" si="23"/>
        <v>-14</v>
      </c>
      <c r="P309">
        <f t="shared" si="24"/>
        <v>-1</v>
      </c>
      <c r="Q309" t="s">
        <v>7</v>
      </c>
    </row>
    <row r="310" spans="1:17" x14ac:dyDescent="0.35">
      <c r="A310" t="s">
        <v>11</v>
      </c>
      <c r="B310">
        <v>16</v>
      </c>
      <c r="C310">
        <v>306</v>
      </c>
      <c r="D310">
        <v>218</v>
      </c>
      <c r="E310">
        <v>88</v>
      </c>
      <c r="F310">
        <v>4</v>
      </c>
      <c r="G310">
        <v>15</v>
      </c>
      <c r="H310">
        <v>273</v>
      </c>
      <c r="I310">
        <v>231</v>
      </c>
      <c r="J310">
        <v>42</v>
      </c>
      <c r="K310">
        <v>2</v>
      </c>
      <c r="L310">
        <f t="shared" si="20"/>
        <v>1</v>
      </c>
      <c r="M310">
        <f t="shared" si="21"/>
        <v>33</v>
      </c>
      <c r="N310">
        <f t="shared" si="22"/>
        <v>-13</v>
      </c>
      <c r="O310">
        <f t="shared" si="23"/>
        <v>46</v>
      </c>
      <c r="P310">
        <f t="shared" si="24"/>
        <v>2</v>
      </c>
      <c r="Q310" t="s">
        <v>5</v>
      </c>
    </row>
    <row r="311" spans="1:17" x14ac:dyDescent="0.35">
      <c r="A311" t="s">
        <v>12</v>
      </c>
      <c r="B311">
        <v>26</v>
      </c>
      <c r="C311">
        <v>433</v>
      </c>
      <c r="D311">
        <v>352</v>
      </c>
      <c r="E311">
        <v>81</v>
      </c>
      <c r="F311">
        <v>1</v>
      </c>
      <c r="G311">
        <v>32</v>
      </c>
      <c r="H311">
        <v>504</v>
      </c>
      <c r="I311">
        <v>338</v>
      </c>
      <c r="J311">
        <v>166</v>
      </c>
      <c r="K311">
        <v>0</v>
      </c>
      <c r="L311">
        <f t="shared" si="20"/>
        <v>-6</v>
      </c>
      <c r="M311">
        <f t="shared" si="21"/>
        <v>-71</v>
      </c>
      <c r="N311">
        <f t="shared" si="22"/>
        <v>14</v>
      </c>
      <c r="O311">
        <f t="shared" si="23"/>
        <v>-85</v>
      </c>
      <c r="P311">
        <f t="shared" si="24"/>
        <v>1</v>
      </c>
      <c r="Q311" t="s">
        <v>5</v>
      </c>
    </row>
    <row r="312" spans="1:17" x14ac:dyDescent="0.35">
      <c r="A312" t="s">
        <v>11</v>
      </c>
      <c r="B312">
        <v>15</v>
      </c>
      <c r="C312">
        <v>310</v>
      </c>
      <c r="D312">
        <v>151</v>
      </c>
      <c r="E312">
        <v>159</v>
      </c>
      <c r="F312">
        <v>3</v>
      </c>
      <c r="G312">
        <v>19</v>
      </c>
      <c r="H312">
        <v>318</v>
      </c>
      <c r="I312">
        <v>239</v>
      </c>
      <c r="J312">
        <v>79</v>
      </c>
      <c r="K312">
        <v>0</v>
      </c>
      <c r="L312">
        <f t="shared" si="20"/>
        <v>-4</v>
      </c>
      <c r="M312">
        <f t="shared" si="21"/>
        <v>-8</v>
      </c>
      <c r="N312">
        <f t="shared" si="22"/>
        <v>-88</v>
      </c>
      <c r="O312">
        <f t="shared" si="23"/>
        <v>80</v>
      </c>
      <c r="P312">
        <f t="shared" si="24"/>
        <v>3</v>
      </c>
      <c r="Q312" t="s">
        <v>5</v>
      </c>
    </row>
    <row r="313" spans="1:17" x14ac:dyDescent="0.35">
      <c r="A313" t="s">
        <v>11</v>
      </c>
      <c r="B313">
        <v>22</v>
      </c>
      <c r="C313">
        <v>383</v>
      </c>
      <c r="D313">
        <v>199</v>
      </c>
      <c r="E313">
        <v>184</v>
      </c>
      <c r="F313">
        <v>3</v>
      </c>
      <c r="G313">
        <v>7</v>
      </c>
      <c r="H313">
        <v>139</v>
      </c>
      <c r="I313">
        <v>82</v>
      </c>
      <c r="J313">
        <v>57</v>
      </c>
      <c r="K313">
        <v>1</v>
      </c>
      <c r="L313">
        <f t="shared" si="20"/>
        <v>15</v>
      </c>
      <c r="M313">
        <f t="shared" si="21"/>
        <v>244</v>
      </c>
      <c r="N313">
        <f t="shared" si="22"/>
        <v>117</v>
      </c>
      <c r="O313">
        <f t="shared" si="23"/>
        <v>127</v>
      </c>
      <c r="P313">
        <f t="shared" si="24"/>
        <v>2</v>
      </c>
      <c r="Q313" t="s">
        <v>7</v>
      </c>
    </row>
    <row r="314" spans="1:17" x14ac:dyDescent="0.35">
      <c r="A314" t="s">
        <v>11</v>
      </c>
      <c r="B314">
        <v>18</v>
      </c>
      <c r="C314">
        <v>398</v>
      </c>
      <c r="D314">
        <v>270</v>
      </c>
      <c r="E314">
        <v>128</v>
      </c>
      <c r="F314">
        <v>0</v>
      </c>
      <c r="G314">
        <v>27</v>
      </c>
      <c r="H314">
        <v>348</v>
      </c>
      <c r="I314">
        <v>223</v>
      </c>
      <c r="J314">
        <v>125</v>
      </c>
      <c r="K314">
        <v>0</v>
      </c>
      <c r="L314">
        <f t="shared" si="20"/>
        <v>-9</v>
      </c>
      <c r="M314">
        <f t="shared" si="21"/>
        <v>50</v>
      </c>
      <c r="N314">
        <f t="shared" si="22"/>
        <v>47</v>
      </c>
      <c r="O314">
        <f t="shared" si="23"/>
        <v>3</v>
      </c>
      <c r="P314">
        <f t="shared" si="24"/>
        <v>0</v>
      </c>
      <c r="Q314" t="s">
        <v>7</v>
      </c>
    </row>
    <row r="315" spans="1:17" x14ac:dyDescent="0.35">
      <c r="A315" t="s">
        <v>11</v>
      </c>
      <c r="B315">
        <v>21</v>
      </c>
      <c r="C315">
        <v>279</v>
      </c>
      <c r="D315">
        <v>166</v>
      </c>
      <c r="E315">
        <v>113</v>
      </c>
      <c r="F315">
        <v>0</v>
      </c>
      <c r="G315">
        <v>19</v>
      </c>
      <c r="H315">
        <v>318</v>
      </c>
      <c r="I315">
        <v>191</v>
      </c>
      <c r="J315">
        <v>127</v>
      </c>
      <c r="K315">
        <v>1</v>
      </c>
      <c r="L315">
        <f t="shared" si="20"/>
        <v>2</v>
      </c>
      <c r="M315">
        <f t="shared" si="21"/>
        <v>-39</v>
      </c>
      <c r="N315">
        <f t="shared" si="22"/>
        <v>-25</v>
      </c>
      <c r="O315">
        <f t="shared" si="23"/>
        <v>-14</v>
      </c>
      <c r="P315">
        <f t="shared" si="24"/>
        <v>-1</v>
      </c>
      <c r="Q315" t="s">
        <v>5</v>
      </c>
    </row>
    <row r="316" spans="1:17" x14ac:dyDescent="0.35">
      <c r="A316" t="s">
        <v>11</v>
      </c>
      <c r="B316">
        <v>21</v>
      </c>
      <c r="C316">
        <v>391</v>
      </c>
      <c r="D316">
        <v>291</v>
      </c>
      <c r="E316">
        <v>100</v>
      </c>
      <c r="F316">
        <v>2</v>
      </c>
      <c r="G316">
        <v>23</v>
      </c>
      <c r="H316">
        <v>383</v>
      </c>
      <c r="I316">
        <v>321</v>
      </c>
      <c r="J316">
        <v>62</v>
      </c>
      <c r="K316">
        <v>1</v>
      </c>
      <c r="L316">
        <f t="shared" si="20"/>
        <v>-2</v>
      </c>
      <c r="M316">
        <f t="shared" si="21"/>
        <v>8</v>
      </c>
      <c r="N316">
        <f t="shared" si="22"/>
        <v>-30</v>
      </c>
      <c r="O316">
        <f t="shared" si="23"/>
        <v>38</v>
      </c>
      <c r="P316">
        <f t="shared" si="24"/>
        <v>1</v>
      </c>
      <c r="Q316" t="s">
        <v>5</v>
      </c>
    </row>
    <row r="317" spans="1:17" x14ac:dyDescent="0.35">
      <c r="A317" t="s">
        <v>11</v>
      </c>
      <c r="B317">
        <v>24</v>
      </c>
      <c r="C317">
        <v>477</v>
      </c>
      <c r="D317">
        <v>395</v>
      </c>
      <c r="E317">
        <v>82</v>
      </c>
      <c r="F317">
        <v>2</v>
      </c>
      <c r="G317">
        <v>25</v>
      </c>
      <c r="H317">
        <v>429</v>
      </c>
      <c r="I317">
        <v>262</v>
      </c>
      <c r="J317">
        <v>167</v>
      </c>
      <c r="K317">
        <v>1</v>
      </c>
      <c r="L317">
        <f t="shared" si="20"/>
        <v>-1</v>
      </c>
      <c r="M317">
        <f t="shared" si="21"/>
        <v>48</v>
      </c>
      <c r="N317">
        <f t="shared" si="22"/>
        <v>133</v>
      </c>
      <c r="O317">
        <f t="shared" si="23"/>
        <v>-85</v>
      </c>
      <c r="P317">
        <f t="shared" si="24"/>
        <v>1</v>
      </c>
      <c r="Q317" t="s">
        <v>5</v>
      </c>
    </row>
    <row r="318" spans="1:17" x14ac:dyDescent="0.35">
      <c r="A318" t="s">
        <v>12</v>
      </c>
      <c r="B318">
        <v>22</v>
      </c>
      <c r="C318">
        <v>373</v>
      </c>
      <c r="D318">
        <v>246</v>
      </c>
      <c r="E318">
        <v>127</v>
      </c>
      <c r="F318">
        <v>2</v>
      </c>
      <c r="G318">
        <v>16</v>
      </c>
      <c r="H318">
        <v>287</v>
      </c>
      <c r="I318">
        <v>201</v>
      </c>
      <c r="J318">
        <v>86</v>
      </c>
      <c r="K318">
        <v>0</v>
      </c>
      <c r="L318">
        <f t="shared" si="20"/>
        <v>6</v>
      </c>
      <c r="M318">
        <f t="shared" si="21"/>
        <v>86</v>
      </c>
      <c r="N318">
        <f t="shared" si="22"/>
        <v>45</v>
      </c>
      <c r="O318">
        <f t="shared" si="23"/>
        <v>41</v>
      </c>
      <c r="P318">
        <f t="shared" si="24"/>
        <v>2</v>
      </c>
      <c r="Q318" t="s">
        <v>5</v>
      </c>
    </row>
    <row r="319" spans="1:17" x14ac:dyDescent="0.35">
      <c r="A319" t="s">
        <v>12</v>
      </c>
      <c r="B319">
        <v>30</v>
      </c>
      <c r="C319">
        <v>467</v>
      </c>
      <c r="D319">
        <v>320</v>
      </c>
      <c r="E319">
        <v>147</v>
      </c>
      <c r="F319">
        <v>1</v>
      </c>
      <c r="G319">
        <v>22</v>
      </c>
      <c r="H319">
        <v>284</v>
      </c>
      <c r="I319">
        <v>192</v>
      </c>
      <c r="J319">
        <v>92</v>
      </c>
      <c r="K319">
        <v>2</v>
      </c>
      <c r="L319">
        <f t="shared" si="20"/>
        <v>8</v>
      </c>
      <c r="M319">
        <f t="shared" si="21"/>
        <v>183</v>
      </c>
      <c r="N319">
        <f t="shared" si="22"/>
        <v>128</v>
      </c>
      <c r="O319">
        <f t="shared" si="23"/>
        <v>55</v>
      </c>
      <c r="P319">
        <f t="shared" si="24"/>
        <v>-1</v>
      </c>
      <c r="Q319" t="s">
        <v>7</v>
      </c>
    </row>
    <row r="320" spans="1:17" x14ac:dyDescent="0.35">
      <c r="A320" t="s">
        <v>12</v>
      </c>
      <c r="B320">
        <v>20</v>
      </c>
      <c r="C320">
        <v>335</v>
      </c>
      <c r="D320">
        <v>191</v>
      </c>
      <c r="E320">
        <v>144</v>
      </c>
      <c r="F320">
        <v>2</v>
      </c>
      <c r="G320">
        <v>15</v>
      </c>
      <c r="H320">
        <v>421</v>
      </c>
      <c r="I320">
        <v>223</v>
      </c>
      <c r="J320">
        <v>198</v>
      </c>
      <c r="K320">
        <v>4</v>
      </c>
      <c r="L320">
        <f t="shared" si="20"/>
        <v>5</v>
      </c>
      <c r="M320">
        <f t="shared" si="21"/>
        <v>-86</v>
      </c>
      <c r="N320">
        <f t="shared" si="22"/>
        <v>-32</v>
      </c>
      <c r="O320">
        <f t="shared" si="23"/>
        <v>-54</v>
      </c>
      <c r="P320">
        <f t="shared" si="24"/>
        <v>-2</v>
      </c>
      <c r="Q320" t="s">
        <v>7</v>
      </c>
    </row>
    <row r="321" spans="1:17" x14ac:dyDescent="0.35">
      <c r="A321" t="s">
        <v>12</v>
      </c>
      <c r="B321">
        <v>18</v>
      </c>
      <c r="C321">
        <v>310</v>
      </c>
      <c r="D321">
        <v>258</v>
      </c>
      <c r="E321">
        <v>52</v>
      </c>
      <c r="F321">
        <v>0</v>
      </c>
      <c r="G321">
        <v>24</v>
      </c>
      <c r="H321">
        <v>317</v>
      </c>
      <c r="I321">
        <v>174</v>
      </c>
      <c r="J321">
        <v>143</v>
      </c>
      <c r="K321">
        <v>1</v>
      </c>
      <c r="L321">
        <f t="shared" si="20"/>
        <v>-6</v>
      </c>
      <c r="M321">
        <f t="shared" si="21"/>
        <v>-7</v>
      </c>
      <c r="N321">
        <f t="shared" si="22"/>
        <v>84</v>
      </c>
      <c r="O321">
        <f t="shared" si="23"/>
        <v>-91</v>
      </c>
      <c r="P321">
        <f t="shared" si="24"/>
        <v>-1</v>
      </c>
      <c r="Q321" t="s">
        <v>5</v>
      </c>
    </row>
    <row r="322" spans="1:17" x14ac:dyDescent="0.35">
      <c r="A322" t="s">
        <v>12</v>
      </c>
      <c r="B322">
        <v>22</v>
      </c>
      <c r="C322">
        <v>446</v>
      </c>
      <c r="D322">
        <v>171</v>
      </c>
      <c r="E322">
        <v>275</v>
      </c>
      <c r="F322">
        <v>0</v>
      </c>
      <c r="G322">
        <v>9</v>
      </c>
      <c r="H322">
        <v>180</v>
      </c>
      <c r="I322">
        <v>78</v>
      </c>
      <c r="J322">
        <v>102</v>
      </c>
      <c r="K322">
        <v>4</v>
      </c>
      <c r="L322">
        <f t="shared" ref="L322:L385" si="25">B322-G322</f>
        <v>13</v>
      </c>
      <c r="M322">
        <f t="shared" ref="M322:M385" si="26">C322-H322</f>
        <v>266</v>
      </c>
      <c r="N322">
        <f t="shared" ref="N322:N385" si="27">D322-I322</f>
        <v>93</v>
      </c>
      <c r="O322">
        <f t="shared" ref="O322:O385" si="28">E322-J322</f>
        <v>173</v>
      </c>
      <c r="P322">
        <f t="shared" ref="P322:P385" si="29">F322-K322</f>
        <v>-4</v>
      </c>
      <c r="Q322" t="s">
        <v>7</v>
      </c>
    </row>
    <row r="323" spans="1:17" x14ac:dyDescent="0.35">
      <c r="A323" t="s">
        <v>12</v>
      </c>
      <c r="B323">
        <v>18</v>
      </c>
      <c r="C323">
        <v>234</v>
      </c>
      <c r="D323">
        <v>133</v>
      </c>
      <c r="E323">
        <v>101</v>
      </c>
      <c r="F323">
        <v>0</v>
      </c>
      <c r="G323">
        <v>25</v>
      </c>
      <c r="H323">
        <v>350</v>
      </c>
      <c r="I323">
        <v>244</v>
      </c>
      <c r="J323">
        <v>106</v>
      </c>
      <c r="K323">
        <v>0</v>
      </c>
      <c r="L323">
        <f t="shared" si="25"/>
        <v>-7</v>
      </c>
      <c r="M323">
        <f t="shared" si="26"/>
        <v>-116</v>
      </c>
      <c r="N323">
        <f t="shared" si="27"/>
        <v>-111</v>
      </c>
      <c r="O323">
        <f t="shared" si="28"/>
        <v>-5</v>
      </c>
      <c r="P323">
        <f t="shared" si="29"/>
        <v>0</v>
      </c>
      <c r="Q323" t="s">
        <v>5</v>
      </c>
    </row>
    <row r="324" spans="1:17" x14ac:dyDescent="0.35">
      <c r="A324" t="s">
        <v>11</v>
      </c>
      <c r="B324">
        <v>28</v>
      </c>
      <c r="C324">
        <v>373</v>
      </c>
      <c r="D324">
        <v>286</v>
      </c>
      <c r="E324">
        <v>87</v>
      </c>
      <c r="F324">
        <v>1</v>
      </c>
      <c r="G324">
        <v>14</v>
      </c>
      <c r="H324">
        <v>329</v>
      </c>
      <c r="I324">
        <v>193</v>
      </c>
      <c r="J324">
        <v>136</v>
      </c>
      <c r="K324">
        <v>3</v>
      </c>
      <c r="L324">
        <f t="shared" si="25"/>
        <v>14</v>
      </c>
      <c r="M324">
        <f t="shared" si="26"/>
        <v>44</v>
      </c>
      <c r="N324">
        <f t="shared" si="27"/>
        <v>93</v>
      </c>
      <c r="O324">
        <f t="shared" si="28"/>
        <v>-49</v>
      </c>
      <c r="P324">
        <f t="shared" si="29"/>
        <v>-2</v>
      </c>
      <c r="Q324" t="s">
        <v>7</v>
      </c>
    </row>
    <row r="325" spans="1:17" x14ac:dyDescent="0.35">
      <c r="A325" t="s">
        <v>11</v>
      </c>
      <c r="B325">
        <v>15</v>
      </c>
      <c r="C325">
        <v>349</v>
      </c>
      <c r="D325">
        <v>329</v>
      </c>
      <c r="E325">
        <v>20</v>
      </c>
      <c r="F325">
        <v>0</v>
      </c>
      <c r="G325">
        <v>26</v>
      </c>
      <c r="H325">
        <v>440</v>
      </c>
      <c r="I325">
        <v>258</v>
      </c>
      <c r="J325">
        <v>182</v>
      </c>
      <c r="K325">
        <v>0</v>
      </c>
      <c r="L325">
        <f t="shared" si="25"/>
        <v>-11</v>
      </c>
      <c r="M325">
        <f t="shared" si="26"/>
        <v>-91</v>
      </c>
      <c r="N325">
        <f t="shared" si="27"/>
        <v>71</v>
      </c>
      <c r="O325">
        <f t="shared" si="28"/>
        <v>-162</v>
      </c>
      <c r="P325">
        <f t="shared" si="29"/>
        <v>0</v>
      </c>
      <c r="Q325" t="s">
        <v>5</v>
      </c>
    </row>
    <row r="326" spans="1:17" x14ac:dyDescent="0.35">
      <c r="A326" t="s">
        <v>12</v>
      </c>
      <c r="B326">
        <v>26</v>
      </c>
      <c r="C326">
        <v>514</v>
      </c>
      <c r="D326">
        <v>406</v>
      </c>
      <c r="E326">
        <v>108</v>
      </c>
      <c r="F326">
        <v>1</v>
      </c>
      <c r="G326">
        <v>15</v>
      </c>
      <c r="H326">
        <v>265</v>
      </c>
      <c r="I326">
        <v>177</v>
      </c>
      <c r="J326">
        <v>88</v>
      </c>
      <c r="K326">
        <v>1</v>
      </c>
      <c r="L326">
        <f t="shared" si="25"/>
        <v>11</v>
      </c>
      <c r="M326">
        <f t="shared" si="26"/>
        <v>249</v>
      </c>
      <c r="N326">
        <f t="shared" si="27"/>
        <v>229</v>
      </c>
      <c r="O326">
        <f t="shared" si="28"/>
        <v>20</v>
      </c>
      <c r="P326">
        <f t="shared" si="29"/>
        <v>0</v>
      </c>
      <c r="Q326" t="s">
        <v>5</v>
      </c>
    </row>
    <row r="327" spans="1:17" x14ac:dyDescent="0.35">
      <c r="A327" t="s">
        <v>11</v>
      </c>
      <c r="B327">
        <v>15</v>
      </c>
      <c r="C327">
        <v>292</v>
      </c>
      <c r="D327">
        <v>138</v>
      </c>
      <c r="E327">
        <v>154</v>
      </c>
      <c r="F327">
        <v>2</v>
      </c>
      <c r="G327">
        <v>22</v>
      </c>
      <c r="H327">
        <v>391</v>
      </c>
      <c r="I327">
        <v>309</v>
      </c>
      <c r="J327">
        <v>82</v>
      </c>
      <c r="K327">
        <v>3</v>
      </c>
      <c r="L327">
        <f t="shared" si="25"/>
        <v>-7</v>
      </c>
      <c r="M327">
        <f t="shared" si="26"/>
        <v>-99</v>
      </c>
      <c r="N327">
        <f t="shared" si="27"/>
        <v>-171</v>
      </c>
      <c r="O327">
        <f t="shared" si="28"/>
        <v>72</v>
      </c>
      <c r="P327">
        <f t="shared" si="29"/>
        <v>-1</v>
      </c>
      <c r="Q327" t="s">
        <v>7</v>
      </c>
    </row>
    <row r="328" spans="1:17" x14ac:dyDescent="0.35">
      <c r="A328" t="s">
        <v>12</v>
      </c>
      <c r="B328">
        <v>31</v>
      </c>
      <c r="C328">
        <v>592</v>
      </c>
      <c r="D328">
        <v>426</v>
      </c>
      <c r="E328">
        <v>166</v>
      </c>
      <c r="F328">
        <v>1</v>
      </c>
      <c r="G328">
        <v>22</v>
      </c>
      <c r="H328">
        <v>373</v>
      </c>
      <c r="I328">
        <v>316</v>
      </c>
      <c r="J328">
        <v>57</v>
      </c>
      <c r="K328">
        <v>1</v>
      </c>
      <c r="L328">
        <f t="shared" si="25"/>
        <v>9</v>
      </c>
      <c r="M328">
        <f t="shared" si="26"/>
        <v>219</v>
      </c>
      <c r="N328">
        <f t="shared" si="27"/>
        <v>110</v>
      </c>
      <c r="O328">
        <f t="shared" si="28"/>
        <v>109</v>
      </c>
      <c r="P328">
        <f t="shared" si="29"/>
        <v>0</v>
      </c>
      <c r="Q328" t="s">
        <v>7</v>
      </c>
    </row>
    <row r="329" spans="1:17" x14ac:dyDescent="0.35">
      <c r="A329" t="s">
        <v>11</v>
      </c>
      <c r="B329">
        <v>26</v>
      </c>
      <c r="C329">
        <v>351</v>
      </c>
      <c r="D329">
        <v>230</v>
      </c>
      <c r="E329">
        <v>121</v>
      </c>
      <c r="F329">
        <v>1</v>
      </c>
      <c r="G329">
        <v>23</v>
      </c>
      <c r="H329">
        <v>418</v>
      </c>
      <c r="I329">
        <v>300</v>
      </c>
      <c r="J329">
        <v>118</v>
      </c>
      <c r="K329">
        <v>1</v>
      </c>
      <c r="L329">
        <f t="shared" si="25"/>
        <v>3</v>
      </c>
      <c r="M329">
        <f t="shared" si="26"/>
        <v>-67</v>
      </c>
      <c r="N329">
        <f t="shared" si="27"/>
        <v>-70</v>
      </c>
      <c r="O329">
        <f t="shared" si="28"/>
        <v>3</v>
      </c>
      <c r="P329">
        <f t="shared" si="29"/>
        <v>0</v>
      </c>
      <c r="Q329" t="s">
        <v>5</v>
      </c>
    </row>
    <row r="330" spans="1:17" x14ac:dyDescent="0.35">
      <c r="A330" t="s">
        <v>12</v>
      </c>
      <c r="B330">
        <v>21</v>
      </c>
      <c r="C330">
        <v>255</v>
      </c>
      <c r="D330">
        <v>174</v>
      </c>
      <c r="E330">
        <v>81</v>
      </c>
      <c r="F330">
        <v>1</v>
      </c>
      <c r="G330">
        <v>19</v>
      </c>
      <c r="H330">
        <v>298</v>
      </c>
      <c r="I330">
        <v>224</v>
      </c>
      <c r="J330">
        <v>74</v>
      </c>
      <c r="K330">
        <v>0</v>
      </c>
      <c r="L330">
        <f t="shared" si="25"/>
        <v>2</v>
      </c>
      <c r="M330">
        <f t="shared" si="26"/>
        <v>-43</v>
      </c>
      <c r="N330">
        <f t="shared" si="27"/>
        <v>-50</v>
      </c>
      <c r="O330">
        <f t="shared" si="28"/>
        <v>7</v>
      </c>
      <c r="P330">
        <f t="shared" si="29"/>
        <v>1</v>
      </c>
      <c r="Q330" t="s">
        <v>5</v>
      </c>
    </row>
    <row r="331" spans="1:17" x14ac:dyDescent="0.35">
      <c r="A331" t="s">
        <v>11</v>
      </c>
      <c r="B331">
        <v>22</v>
      </c>
      <c r="C331">
        <v>362</v>
      </c>
      <c r="D331">
        <v>226</v>
      </c>
      <c r="E331">
        <v>136</v>
      </c>
      <c r="F331">
        <v>1</v>
      </c>
      <c r="G331">
        <v>19</v>
      </c>
      <c r="H331">
        <v>324</v>
      </c>
      <c r="I331">
        <v>227</v>
      </c>
      <c r="J331">
        <v>97</v>
      </c>
      <c r="K331">
        <v>2</v>
      </c>
      <c r="L331">
        <f t="shared" si="25"/>
        <v>3</v>
      </c>
      <c r="M331">
        <f t="shared" si="26"/>
        <v>38</v>
      </c>
      <c r="N331">
        <f t="shared" si="27"/>
        <v>-1</v>
      </c>
      <c r="O331">
        <f t="shared" si="28"/>
        <v>39</v>
      </c>
      <c r="P331">
        <f t="shared" si="29"/>
        <v>-1</v>
      </c>
      <c r="Q331" t="s">
        <v>7</v>
      </c>
    </row>
    <row r="332" spans="1:17" x14ac:dyDescent="0.35">
      <c r="A332" t="s">
        <v>11</v>
      </c>
      <c r="B332">
        <v>22</v>
      </c>
      <c r="C332">
        <v>414</v>
      </c>
      <c r="D332">
        <v>234</v>
      </c>
      <c r="E332">
        <v>180</v>
      </c>
      <c r="F332">
        <v>1</v>
      </c>
      <c r="G332">
        <v>25</v>
      </c>
      <c r="H332">
        <v>510</v>
      </c>
      <c r="I332">
        <v>362</v>
      </c>
      <c r="J332">
        <v>148</v>
      </c>
      <c r="K332">
        <v>1</v>
      </c>
      <c r="L332">
        <f t="shared" si="25"/>
        <v>-3</v>
      </c>
      <c r="M332">
        <f t="shared" si="26"/>
        <v>-96</v>
      </c>
      <c r="N332">
        <f t="shared" si="27"/>
        <v>-128</v>
      </c>
      <c r="O332">
        <f t="shared" si="28"/>
        <v>32</v>
      </c>
      <c r="P332">
        <f t="shared" si="29"/>
        <v>0</v>
      </c>
      <c r="Q332" t="s">
        <v>5</v>
      </c>
    </row>
    <row r="333" spans="1:17" x14ac:dyDescent="0.35">
      <c r="A333" t="s">
        <v>12</v>
      </c>
      <c r="B333">
        <v>26</v>
      </c>
      <c r="C333">
        <v>442</v>
      </c>
      <c r="D333">
        <v>408</v>
      </c>
      <c r="E333">
        <v>34</v>
      </c>
      <c r="F333">
        <v>2</v>
      </c>
      <c r="G333">
        <v>21</v>
      </c>
      <c r="H333">
        <v>266</v>
      </c>
      <c r="I333">
        <v>131</v>
      </c>
      <c r="J333">
        <v>135</v>
      </c>
      <c r="K333">
        <v>2</v>
      </c>
      <c r="L333">
        <f t="shared" si="25"/>
        <v>5</v>
      </c>
      <c r="M333">
        <f t="shared" si="26"/>
        <v>176</v>
      </c>
      <c r="N333">
        <f t="shared" si="27"/>
        <v>277</v>
      </c>
      <c r="O333">
        <f t="shared" si="28"/>
        <v>-101</v>
      </c>
      <c r="P333">
        <f t="shared" si="29"/>
        <v>0</v>
      </c>
      <c r="Q333" t="s">
        <v>7</v>
      </c>
    </row>
    <row r="334" spans="1:17" x14ac:dyDescent="0.35">
      <c r="A334" t="s">
        <v>12</v>
      </c>
      <c r="B334">
        <v>15</v>
      </c>
      <c r="C334">
        <v>229</v>
      </c>
      <c r="D334">
        <v>178</v>
      </c>
      <c r="E334">
        <v>51</v>
      </c>
      <c r="F334">
        <v>5</v>
      </c>
      <c r="G334">
        <v>17</v>
      </c>
      <c r="H334">
        <v>261</v>
      </c>
      <c r="I334">
        <v>131</v>
      </c>
      <c r="J334">
        <v>130</v>
      </c>
      <c r="K334">
        <v>2</v>
      </c>
      <c r="L334">
        <f t="shared" si="25"/>
        <v>-2</v>
      </c>
      <c r="M334">
        <f t="shared" si="26"/>
        <v>-32</v>
      </c>
      <c r="N334">
        <f t="shared" si="27"/>
        <v>47</v>
      </c>
      <c r="O334">
        <f t="shared" si="28"/>
        <v>-79</v>
      </c>
      <c r="P334">
        <f t="shared" si="29"/>
        <v>3</v>
      </c>
      <c r="Q334" t="s">
        <v>5</v>
      </c>
    </row>
    <row r="335" spans="1:17" x14ac:dyDescent="0.35">
      <c r="A335" t="s">
        <v>12</v>
      </c>
      <c r="B335">
        <v>21</v>
      </c>
      <c r="C335">
        <v>389</v>
      </c>
      <c r="D335">
        <v>278</v>
      </c>
      <c r="E335">
        <v>111</v>
      </c>
      <c r="F335">
        <v>1</v>
      </c>
      <c r="G335">
        <v>15</v>
      </c>
      <c r="H335">
        <v>213</v>
      </c>
      <c r="I335">
        <v>167</v>
      </c>
      <c r="J335">
        <v>46</v>
      </c>
      <c r="K335">
        <v>3</v>
      </c>
      <c r="L335">
        <f t="shared" si="25"/>
        <v>6</v>
      </c>
      <c r="M335">
        <f t="shared" si="26"/>
        <v>176</v>
      </c>
      <c r="N335">
        <f t="shared" si="27"/>
        <v>111</v>
      </c>
      <c r="O335">
        <f t="shared" si="28"/>
        <v>65</v>
      </c>
      <c r="P335">
        <f t="shared" si="29"/>
        <v>-2</v>
      </c>
      <c r="Q335" t="s">
        <v>7</v>
      </c>
    </row>
    <row r="336" spans="1:17" x14ac:dyDescent="0.35">
      <c r="A336" t="s">
        <v>11</v>
      </c>
      <c r="B336">
        <v>15</v>
      </c>
      <c r="C336">
        <v>257</v>
      </c>
      <c r="D336">
        <v>212</v>
      </c>
      <c r="E336">
        <v>45</v>
      </c>
      <c r="F336">
        <v>3</v>
      </c>
      <c r="G336">
        <v>18</v>
      </c>
      <c r="H336">
        <v>266</v>
      </c>
      <c r="I336">
        <v>149</v>
      </c>
      <c r="J336">
        <v>117</v>
      </c>
      <c r="K336">
        <v>1</v>
      </c>
      <c r="L336">
        <f t="shared" si="25"/>
        <v>-3</v>
      </c>
      <c r="M336">
        <f t="shared" si="26"/>
        <v>-9</v>
      </c>
      <c r="N336">
        <f t="shared" si="27"/>
        <v>63</v>
      </c>
      <c r="O336">
        <f t="shared" si="28"/>
        <v>-72</v>
      </c>
      <c r="P336">
        <f t="shared" si="29"/>
        <v>2</v>
      </c>
      <c r="Q336" t="s">
        <v>5</v>
      </c>
    </row>
    <row r="337" spans="1:17" x14ac:dyDescent="0.35">
      <c r="A337" t="s">
        <v>11</v>
      </c>
      <c r="B337">
        <v>21</v>
      </c>
      <c r="C337">
        <v>371</v>
      </c>
      <c r="D337">
        <v>153</v>
      </c>
      <c r="E337">
        <v>218</v>
      </c>
      <c r="F337">
        <v>1</v>
      </c>
      <c r="G337">
        <v>16</v>
      </c>
      <c r="H337">
        <v>253</v>
      </c>
      <c r="I337">
        <v>155</v>
      </c>
      <c r="J337">
        <v>98</v>
      </c>
      <c r="K337">
        <v>1</v>
      </c>
      <c r="L337">
        <f t="shared" si="25"/>
        <v>5</v>
      </c>
      <c r="M337">
        <f t="shared" si="26"/>
        <v>118</v>
      </c>
      <c r="N337">
        <f t="shared" si="27"/>
        <v>-2</v>
      </c>
      <c r="O337">
        <f t="shared" si="28"/>
        <v>120</v>
      </c>
      <c r="P337">
        <f t="shared" si="29"/>
        <v>0</v>
      </c>
      <c r="Q337" t="s">
        <v>7</v>
      </c>
    </row>
    <row r="338" spans="1:17" x14ac:dyDescent="0.35">
      <c r="A338" t="s">
        <v>12</v>
      </c>
      <c r="B338">
        <v>21</v>
      </c>
      <c r="C338">
        <v>334</v>
      </c>
      <c r="D338">
        <v>298</v>
      </c>
      <c r="E338">
        <v>36</v>
      </c>
      <c r="F338">
        <v>4</v>
      </c>
      <c r="G338">
        <v>21</v>
      </c>
      <c r="H338">
        <v>328</v>
      </c>
      <c r="I338">
        <v>219</v>
      </c>
      <c r="J338">
        <v>109</v>
      </c>
      <c r="K338">
        <v>0</v>
      </c>
      <c r="L338">
        <f t="shared" si="25"/>
        <v>0</v>
      </c>
      <c r="M338">
        <f t="shared" si="26"/>
        <v>6</v>
      </c>
      <c r="N338">
        <f t="shared" si="27"/>
        <v>79</v>
      </c>
      <c r="O338">
        <f t="shared" si="28"/>
        <v>-73</v>
      </c>
      <c r="P338">
        <f t="shared" si="29"/>
        <v>4</v>
      </c>
      <c r="Q338" t="s">
        <v>5</v>
      </c>
    </row>
    <row r="339" spans="1:17" x14ac:dyDescent="0.35">
      <c r="A339" t="s">
        <v>11</v>
      </c>
      <c r="B339">
        <v>22</v>
      </c>
      <c r="C339">
        <v>277</v>
      </c>
      <c r="D339">
        <v>139</v>
      </c>
      <c r="E339">
        <v>138</v>
      </c>
      <c r="F339">
        <v>3</v>
      </c>
      <c r="G339">
        <v>18</v>
      </c>
      <c r="H339">
        <v>269</v>
      </c>
      <c r="I339">
        <v>192</v>
      </c>
      <c r="J339">
        <v>77</v>
      </c>
      <c r="K339">
        <v>2</v>
      </c>
      <c r="L339">
        <f t="shared" si="25"/>
        <v>4</v>
      </c>
      <c r="M339">
        <f t="shared" si="26"/>
        <v>8</v>
      </c>
      <c r="N339">
        <f t="shared" si="27"/>
        <v>-53</v>
      </c>
      <c r="O339">
        <f t="shared" si="28"/>
        <v>61</v>
      </c>
      <c r="P339">
        <f t="shared" si="29"/>
        <v>1</v>
      </c>
      <c r="Q339" t="s">
        <v>7</v>
      </c>
    </row>
    <row r="340" spans="1:17" x14ac:dyDescent="0.35">
      <c r="A340" t="s">
        <v>11</v>
      </c>
      <c r="B340">
        <v>17</v>
      </c>
      <c r="C340">
        <v>302</v>
      </c>
      <c r="D340">
        <v>214</v>
      </c>
      <c r="E340">
        <v>88</v>
      </c>
      <c r="F340">
        <v>1</v>
      </c>
      <c r="G340">
        <v>23</v>
      </c>
      <c r="H340">
        <v>385</v>
      </c>
      <c r="I340">
        <v>174</v>
      </c>
      <c r="J340">
        <v>211</v>
      </c>
      <c r="K340">
        <v>0</v>
      </c>
      <c r="L340">
        <f t="shared" si="25"/>
        <v>-6</v>
      </c>
      <c r="M340">
        <f t="shared" si="26"/>
        <v>-83</v>
      </c>
      <c r="N340">
        <f t="shared" si="27"/>
        <v>40</v>
      </c>
      <c r="O340">
        <f t="shared" si="28"/>
        <v>-123</v>
      </c>
      <c r="P340">
        <f t="shared" si="29"/>
        <v>1</v>
      </c>
      <c r="Q340" t="s">
        <v>5</v>
      </c>
    </row>
    <row r="341" spans="1:17" x14ac:dyDescent="0.35">
      <c r="A341" t="s">
        <v>12</v>
      </c>
      <c r="B341">
        <v>16</v>
      </c>
      <c r="C341">
        <v>329</v>
      </c>
      <c r="D341">
        <v>288</v>
      </c>
      <c r="E341">
        <v>41</v>
      </c>
      <c r="F341">
        <v>3</v>
      </c>
      <c r="G341">
        <v>25</v>
      </c>
      <c r="H341">
        <v>379</v>
      </c>
      <c r="I341">
        <v>264</v>
      </c>
      <c r="J341">
        <v>115</v>
      </c>
      <c r="K341">
        <v>0</v>
      </c>
      <c r="L341">
        <f t="shared" si="25"/>
        <v>-9</v>
      </c>
      <c r="M341">
        <f t="shared" si="26"/>
        <v>-50</v>
      </c>
      <c r="N341">
        <f t="shared" si="27"/>
        <v>24</v>
      </c>
      <c r="O341">
        <f t="shared" si="28"/>
        <v>-74</v>
      </c>
      <c r="P341">
        <f t="shared" si="29"/>
        <v>3</v>
      </c>
      <c r="Q341" t="s">
        <v>5</v>
      </c>
    </row>
    <row r="342" spans="1:17" x14ac:dyDescent="0.35">
      <c r="A342" t="s">
        <v>12</v>
      </c>
      <c r="B342">
        <v>22</v>
      </c>
      <c r="C342">
        <v>354</v>
      </c>
      <c r="D342">
        <v>234</v>
      </c>
      <c r="E342">
        <v>120</v>
      </c>
      <c r="F342">
        <v>0</v>
      </c>
      <c r="G342">
        <v>18</v>
      </c>
      <c r="H342">
        <v>231</v>
      </c>
      <c r="I342">
        <v>161</v>
      </c>
      <c r="J342">
        <v>70</v>
      </c>
      <c r="K342">
        <v>2</v>
      </c>
      <c r="L342">
        <f t="shared" si="25"/>
        <v>4</v>
      </c>
      <c r="M342">
        <f t="shared" si="26"/>
        <v>123</v>
      </c>
      <c r="N342">
        <f t="shared" si="27"/>
        <v>73</v>
      </c>
      <c r="O342">
        <f t="shared" si="28"/>
        <v>50</v>
      </c>
      <c r="P342">
        <f t="shared" si="29"/>
        <v>-2</v>
      </c>
      <c r="Q342" t="s">
        <v>7</v>
      </c>
    </row>
    <row r="343" spans="1:17" x14ac:dyDescent="0.35">
      <c r="A343" t="s">
        <v>12</v>
      </c>
      <c r="B343">
        <v>29</v>
      </c>
      <c r="C343">
        <v>530</v>
      </c>
      <c r="D343">
        <v>345</v>
      </c>
      <c r="E343">
        <v>185</v>
      </c>
      <c r="F343">
        <v>3</v>
      </c>
      <c r="G343">
        <v>15</v>
      </c>
      <c r="H343">
        <v>300</v>
      </c>
      <c r="I343">
        <v>83</v>
      </c>
      <c r="J343">
        <v>217</v>
      </c>
      <c r="K343">
        <v>0</v>
      </c>
      <c r="L343">
        <f t="shared" si="25"/>
        <v>14</v>
      </c>
      <c r="M343">
        <f t="shared" si="26"/>
        <v>230</v>
      </c>
      <c r="N343">
        <f t="shared" si="27"/>
        <v>262</v>
      </c>
      <c r="O343">
        <f t="shared" si="28"/>
        <v>-32</v>
      </c>
      <c r="P343">
        <f t="shared" si="29"/>
        <v>3</v>
      </c>
      <c r="Q343" t="s">
        <v>5</v>
      </c>
    </row>
    <row r="344" spans="1:17" x14ac:dyDescent="0.35">
      <c r="A344" t="s">
        <v>12</v>
      </c>
      <c r="B344">
        <v>13</v>
      </c>
      <c r="C344">
        <v>302</v>
      </c>
      <c r="D344">
        <v>175</v>
      </c>
      <c r="E344">
        <v>127</v>
      </c>
      <c r="F344">
        <v>1</v>
      </c>
      <c r="G344">
        <v>21</v>
      </c>
      <c r="H344">
        <v>351</v>
      </c>
      <c r="I344">
        <v>261</v>
      </c>
      <c r="J344">
        <v>90</v>
      </c>
      <c r="K344">
        <v>0</v>
      </c>
      <c r="L344">
        <f t="shared" si="25"/>
        <v>-8</v>
      </c>
      <c r="M344">
        <f t="shared" si="26"/>
        <v>-49</v>
      </c>
      <c r="N344">
        <f t="shared" si="27"/>
        <v>-86</v>
      </c>
      <c r="O344">
        <f t="shared" si="28"/>
        <v>37</v>
      </c>
      <c r="P344">
        <f t="shared" si="29"/>
        <v>1</v>
      </c>
      <c r="Q344" t="s">
        <v>7</v>
      </c>
    </row>
    <row r="345" spans="1:17" x14ac:dyDescent="0.35">
      <c r="A345" t="s">
        <v>11</v>
      </c>
      <c r="B345">
        <v>9</v>
      </c>
      <c r="C345">
        <v>134</v>
      </c>
      <c r="D345">
        <v>49</v>
      </c>
      <c r="E345">
        <v>85</v>
      </c>
      <c r="F345">
        <v>1</v>
      </c>
      <c r="G345">
        <v>22</v>
      </c>
      <c r="H345">
        <v>424</v>
      </c>
      <c r="I345">
        <v>180</v>
      </c>
      <c r="J345">
        <v>244</v>
      </c>
      <c r="K345">
        <v>1</v>
      </c>
      <c r="L345">
        <f t="shared" si="25"/>
        <v>-13</v>
      </c>
      <c r="M345">
        <f t="shared" si="26"/>
        <v>-290</v>
      </c>
      <c r="N345">
        <f t="shared" si="27"/>
        <v>-131</v>
      </c>
      <c r="O345">
        <f t="shared" si="28"/>
        <v>-159</v>
      </c>
      <c r="P345">
        <f t="shared" si="29"/>
        <v>0</v>
      </c>
      <c r="Q345" t="s">
        <v>5</v>
      </c>
    </row>
    <row r="346" spans="1:17" x14ac:dyDescent="0.35">
      <c r="A346" t="s">
        <v>12</v>
      </c>
      <c r="B346">
        <v>22</v>
      </c>
      <c r="C346">
        <v>461</v>
      </c>
      <c r="D346">
        <v>302</v>
      </c>
      <c r="E346">
        <v>159</v>
      </c>
      <c r="F346">
        <v>0</v>
      </c>
      <c r="G346">
        <v>27</v>
      </c>
      <c r="H346">
        <v>345</v>
      </c>
      <c r="I346">
        <v>245</v>
      </c>
      <c r="J346">
        <v>100</v>
      </c>
      <c r="K346">
        <v>4</v>
      </c>
      <c r="L346">
        <f t="shared" si="25"/>
        <v>-5</v>
      </c>
      <c r="M346">
        <f t="shared" si="26"/>
        <v>116</v>
      </c>
      <c r="N346">
        <f t="shared" si="27"/>
        <v>57</v>
      </c>
      <c r="O346">
        <f t="shared" si="28"/>
        <v>59</v>
      </c>
      <c r="P346">
        <f t="shared" si="29"/>
        <v>-4</v>
      </c>
      <c r="Q346" t="s">
        <v>7</v>
      </c>
    </row>
    <row r="347" spans="1:17" x14ac:dyDescent="0.35">
      <c r="A347" t="s">
        <v>11</v>
      </c>
      <c r="B347">
        <v>6</v>
      </c>
      <c r="C347">
        <v>105</v>
      </c>
      <c r="D347">
        <v>69</v>
      </c>
      <c r="E347">
        <v>36</v>
      </c>
      <c r="F347">
        <v>1</v>
      </c>
      <c r="G347">
        <v>21</v>
      </c>
      <c r="H347">
        <v>381</v>
      </c>
      <c r="I347">
        <v>313</v>
      </c>
      <c r="J347">
        <v>68</v>
      </c>
      <c r="K347">
        <v>2</v>
      </c>
      <c r="L347">
        <f t="shared" si="25"/>
        <v>-15</v>
      </c>
      <c r="M347">
        <f t="shared" si="26"/>
        <v>-276</v>
      </c>
      <c r="N347">
        <f t="shared" si="27"/>
        <v>-244</v>
      </c>
      <c r="O347">
        <f t="shared" si="28"/>
        <v>-32</v>
      </c>
      <c r="P347">
        <f t="shared" si="29"/>
        <v>-1</v>
      </c>
      <c r="Q347" t="s">
        <v>5</v>
      </c>
    </row>
    <row r="348" spans="1:17" x14ac:dyDescent="0.35">
      <c r="A348" t="s">
        <v>12</v>
      </c>
      <c r="B348">
        <v>18</v>
      </c>
      <c r="C348">
        <v>211</v>
      </c>
      <c r="D348">
        <v>147</v>
      </c>
      <c r="E348">
        <v>64</v>
      </c>
      <c r="F348">
        <v>1</v>
      </c>
      <c r="G348">
        <v>22</v>
      </c>
      <c r="H348">
        <v>490</v>
      </c>
      <c r="I348">
        <v>279</v>
      </c>
      <c r="J348">
        <v>211</v>
      </c>
      <c r="K348">
        <v>1</v>
      </c>
      <c r="L348">
        <f t="shared" si="25"/>
        <v>-4</v>
      </c>
      <c r="M348">
        <f t="shared" si="26"/>
        <v>-279</v>
      </c>
      <c r="N348">
        <f t="shared" si="27"/>
        <v>-132</v>
      </c>
      <c r="O348">
        <f t="shared" si="28"/>
        <v>-147</v>
      </c>
      <c r="P348">
        <f t="shared" si="29"/>
        <v>0</v>
      </c>
      <c r="Q348" t="s">
        <v>5</v>
      </c>
    </row>
    <row r="349" spans="1:17" x14ac:dyDescent="0.35">
      <c r="A349" t="s">
        <v>12</v>
      </c>
      <c r="B349">
        <v>17</v>
      </c>
      <c r="C349">
        <v>333</v>
      </c>
      <c r="D349">
        <v>187</v>
      </c>
      <c r="E349">
        <v>146</v>
      </c>
      <c r="F349">
        <v>2</v>
      </c>
      <c r="G349">
        <v>27</v>
      </c>
      <c r="H349">
        <v>451</v>
      </c>
      <c r="I349">
        <v>272</v>
      </c>
      <c r="J349">
        <v>179</v>
      </c>
      <c r="K349">
        <v>1</v>
      </c>
      <c r="L349">
        <f t="shared" si="25"/>
        <v>-10</v>
      </c>
      <c r="M349">
        <f t="shared" si="26"/>
        <v>-118</v>
      </c>
      <c r="N349">
        <f t="shared" si="27"/>
        <v>-85</v>
      </c>
      <c r="O349">
        <f t="shared" si="28"/>
        <v>-33</v>
      </c>
      <c r="P349">
        <f t="shared" si="29"/>
        <v>1</v>
      </c>
      <c r="Q349" t="s">
        <v>7</v>
      </c>
    </row>
    <row r="350" spans="1:17" x14ac:dyDescent="0.35">
      <c r="A350" t="s">
        <v>12</v>
      </c>
      <c r="B350">
        <v>19</v>
      </c>
      <c r="C350">
        <v>303</v>
      </c>
      <c r="D350">
        <v>280</v>
      </c>
      <c r="E350">
        <v>23</v>
      </c>
      <c r="F350">
        <v>1</v>
      </c>
      <c r="G350">
        <v>22</v>
      </c>
      <c r="H350">
        <v>424</v>
      </c>
      <c r="I350">
        <v>256</v>
      </c>
      <c r="J350">
        <v>168</v>
      </c>
      <c r="K350">
        <v>0</v>
      </c>
      <c r="L350">
        <f t="shared" si="25"/>
        <v>-3</v>
      </c>
      <c r="M350">
        <f t="shared" si="26"/>
        <v>-121</v>
      </c>
      <c r="N350">
        <f t="shared" si="27"/>
        <v>24</v>
      </c>
      <c r="O350">
        <f t="shared" si="28"/>
        <v>-145</v>
      </c>
      <c r="P350">
        <f t="shared" si="29"/>
        <v>1</v>
      </c>
      <c r="Q350" t="s">
        <v>5</v>
      </c>
    </row>
    <row r="351" spans="1:17" x14ac:dyDescent="0.35">
      <c r="A351" t="s">
        <v>12</v>
      </c>
      <c r="B351">
        <v>16</v>
      </c>
      <c r="C351">
        <v>336</v>
      </c>
      <c r="D351">
        <v>174</v>
      </c>
      <c r="E351">
        <v>162</v>
      </c>
      <c r="F351">
        <v>1</v>
      </c>
      <c r="G351">
        <v>25</v>
      </c>
      <c r="H351">
        <v>366</v>
      </c>
      <c r="I351">
        <v>258</v>
      </c>
      <c r="J351">
        <v>108</v>
      </c>
      <c r="K351">
        <v>2</v>
      </c>
      <c r="L351">
        <f t="shared" si="25"/>
        <v>-9</v>
      </c>
      <c r="M351">
        <f t="shared" si="26"/>
        <v>-30</v>
      </c>
      <c r="N351">
        <f t="shared" si="27"/>
        <v>-84</v>
      </c>
      <c r="O351">
        <f t="shared" si="28"/>
        <v>54</v>
      </c>
      <c r="P351">
        <f t="shared" si="29"/>
        <v>-1</v>
      </c>
      <c r="Q351" t="s">
        <v>7</v>
      </c>
    </row>
    <row r="352" spans="1:17" x14ac:dyDescent="0.35">
      <c r="A352" t="s">
        <v>11</v>
      </c>
      <c r="B352">
        <v>25</v>
      </c>
      <c r="C352">
        <v>400</v>
      </c>
      <c r="D352">
        <v>279</v>
      </c>
      <c r="E352">
        <v>121</v>
      </c>
      <c r="F352">
        <v>0</v>
      </c>
      <c r="G352">
        <v>19</v>
      </c>
      <c r="H352">
        <v>397</v>
      </c>
      <c r="I352">
        <v>275</v>
      </c>
      <c r="J352">
        <v>122</v>
      </c>
      <c r="K352">
        <v>2</v>
      </c>
      <c r="L352">
        <f t="shared" si="25"/>
        <v>6</v>
      </c>
      <c r="M352">
        <f t="shared" si="26"/>
        <v>3</v>
      </c>
      <c r="N352">
        <f t="shared" si="27"/>
        <v>4</v>
      </c>
      <c r="O352">
        <f t="shared" si="28"/>
        <v>-1</v>
      </c>
      <c r="P352">
        <f t="shared" si="29"/>
        <v>-2</v>
      </c>
      <c r="Q352" t="s">
        <v>7</v>
      </c>
    </row>
    <row r="353" spans="1:17" x14ac:dyDescent="0.35">
      <c r="A353" t="s">
        <v>12</v>
      </c>
      <c r="B353">
        <v>19</v>
      </c>
      <c r="C353">
        <v>318</v>
      </c>
      <c r="D353">
        <v>191</v>
      </c>
      <c r="E353">
        <v>127</v>
      </c>
      <c r="F353">
        <v>1</v>
      </c>
      <c r="G353">
        <v>21</v>
      </c>
      <c r="H353">
        <v>279</v>
      </c>
      <c r="I353">
        <v>166</v>
      </c>
      <c r="J353">
        <v>113</v>
      </c>
      <c r="K353">
        <v>0</v>
      </c>
      <c r="L353">
        <f t="shared" si="25"/>
        <v>-2</v>
      </c>
      <c r="M353">
        <f t="shared" si="26"/>
        <v>39</v>
      </c>
      <c r="N353">
        <f t="shared" si="27"/>
        <v>25</v>
      </c>
      <c r="O353">
        <f t="shared" si="28"/>
        <v>14</v>
      </c>
      <c r="P353">
        <f t="shared" si="29"/>
        <v>1</v>
      </c>
      <c r="Q353" t="s">
        <v>7</v>
      </c>
    </row>
    <row r="354" spans="1:17" x14ac:dyDescent="0.35">
      <c r="A354" t="s">
        <v>11</v>
      </c>
      <c r="B354">
        <v>17</v>
      </c>
      <c r="C354">
        <v>261</v>
      </c>
      <c r="D354">
        <v>131</v>
      </c>
      <c r="E354">
        <v>130</v>
      </c>
      <c r="F354">
        <v>2</v>
      </c>
      <c r="G354">
        <v>15</v>
      </c>
      <c r="H354">
        <v>229</v>
      </c>
      <c r="I354">
        <v>178</v>
      </c>
      <c r="J354">
        <v>51</v>
      </c>
      <c r="K354">
        <v>5</v>
      </c>
      <c r="L354">
        <f t="shared" si="25"/>
        <v>2</v>
      </c>
      <c r="M354">
        <f t="shared" si="26"/>
        <v>32</v>
      </c>
      <c r="N354">
        <f t="shared" si="27"/>
        <v>-47</v>
      </c>
      <c r="O354">
        <f t="shared" si="28"/>
        <v>79</v>
      </c>
      <c r="P354">
        <f t="shared" si="29"/>
        <v>-3</v>
      </c>
      <c r="Q354" t="s">
        <v>7</v>
      </c>
    </row>
    <row r="355" spans="1:17" x14ac:dyDescent="0.35">
      <c r="A355" t="s">
        <v>11</v>
      </c>
      <c r="B355">
        <v>13</v>
      </c>
      <c r="C355">
        <v>213</v>
      </c>
      <c r="D355">
        <v>166</v>
      </c>
      <c r="E355">
        <v>47</v>
      </c>
      <c r="F355">
        <v>0</v>
      </c>
      <c r="G355">
        <v>16</v>
      </c>
      <c r="H355">
        <v>254</v>
      </c>
      <c r="I355">
        <v>208</v>
      </c>
      <c r="J355">
        <v>46</v>
      </c>
      <c r="K355">
        <v>1</v>
      </c>
      <c r="L355">
        <f t="shared" si="25"/>
        <v>-3</v>
      </c>
      <c r="M355">
        <f t="shared" si="26"/>
        <v>-41</v>
      </c>
      <c r="N355">
        <f t="shared" si="27"/>
        <v>-42</v>
      </c>
      <c r="O355">
        <f t="shared" si="28"/>
        <v>1</v>
      </c>
      <c r="P355">
        <f t="shared" si="29"/>
        <v>-1</v>
      </c>
      <c r="Q355" t="s">
        <v>7</v>
      </c>
    </row>
    <row r="356" spans="1:17" x14ac:dyDescent="0.35">
      <c r="A356" t="s">
        <v>11</v>
      </c>
      <c r="B356">
        <v>18</v>
      </c>
      <c r="C356">
        <v>250</v>
      </c>
      <c r="D356">
        <v>217</v>
      </c>
      <c r="E356">
        <v>33</v>
      </c>
      <c r="F356">
        <v>1</v>
      </c>
      <c r="G356">
        <v>26</v>
      </c>
      <c r="H356">
        <v>497</v>
      </c>
      <c r="I356">
        <v>228</v>
      </c>
      <c r="J356">
        <v>269</v>
      </c>
      <c r="K356">
        <v>1</v>
      </c>
      <c r="L356">
        <f t="shared" si="25"/>
        <v>-8</v>
      </c>
      <c r="M356">
        <f t="shared" si="26"/>
        <v>-247</v>
      </c>
      <c r="N356">
        <f t="shared" si="27"/>
        <v>-11</v>
      </c>
      <c r="O356">
        <f t="shared" si="28"/>
        <v>-236</v>
      </c>
      <c r="P356">
        <f t="shared" si="29"/>
        <v>0</v>
      </c>
      <c r="Q356" t="s">
        <v>5</v>
      </c>
    </row>
    <row r="357" spans="1:17" x14ac:dyDescent="0.35">
      <c r="A357" t="s">
        <v>11</v>
      </c>
      <c r="B357">
        <v>24</v>
      </c>
      <c r="C357">
        <v>388</v>
      </c>
      <c r="D357">
        <v>237</v>
      </c>
      <c r="E357">
        <v>151</v>
      </c>
      <c r="F357">
        <v>0</v>
      </c>
      <c r="G357">
        <v>21</v>
      </c>
      <c r="H357">
        <v>370</v>
      </c>
      <c r="I357">
        <v>241</v>
      </c>
      <c r="J357">
        <v>129</v>
      </c>
      <c r="K357">
        <v>2</v>
      </c>
      <c r="L357">
        <f t="shared" si="25"/>
        <v>3</v>
      </c>
      <c r="M357">
        <f t="shared" si="26"/>
        <v>18</v>
      </c>
      <c r="N357">
        <f t="shared" si="27"/>
        <v>-4</v>
      </c>
      <c r="O357">
        <f t="shared" si="28"/>
        <v>22</v>
      </c>
      <c r="P357">
        <f t="shared" si="29"/>
        <v>-2</v>
      </c>
      <c r="Q357" t="s">
        <v>7</v>
      </c>
    </row>
    <row r="358" spans="1:17" x14ac:dyDescent="0.35">
      <c r="A358" t="s">
        <v>12</v>
      </c>
      <c r="B358">
        <v>14</v>
      </c>
      <c r="C358">
        <v>224</v>
      </c>
      <c r="D358">
        <v>186</v>
      </c>
      <c r="E358">
        <v>38</v>
      </c>
      <c r="F358">
        <v>3</v>
      </c>
      <c r="G358">
        <v>23</v>
      </c>
      <c r="H358">
        <v>381</v>
      </c>
      <c r="I358">
        <v>291</v>
      </c>
      <c r="J358">
        <v>90</v>
      </c>
      <c r="K358">
        <v>0</v>
      </c>
      <c r="L358">
        <f t="shared" si="25"/>
        <v>-9</v>
      </c>
      <c r="M358">
        <f t="shared" si="26"/>
        <v>-157</v>
      </c>
      <c r="N358">
        <f t="shared" si="27"/>
        <v>-105</v>
      </c>
      <c r="O358">
        <f t="shared" si="28"/>
        <v>-52</v>
      </c>
      <c r="P358">
        <f t="shared" si="29"/>
        <v>3</v>
      </c>
      <c r="Q358" t="s">
        <v>5</v>
      </c>
    </row>
    <row r="359" spans="1:17" x14ac:dyDescent="0.35">
      <c r="A359" t="s">
        <v>12</v>
      </c>
      <c r="B359">
        <v>17</v>
      </c>
      <c r="C359">
        <v>278</v>
      </c>
      <c r="D359">
        <v>184</v>
      </c>
      <c r="E359">
        <v>94</v>
      </c>
      <c r="F359">
        <v>1</v>
      </c>
      <c r="G359">
        <v>20</v>
      </c>
      <c r="H359">
        <v>346</v>
      </c>
      <c r="I359">
        <v>271</v>
      </c>
      <c r="J359">
        <v>75</v>
      </c>
      <c r="K359">
        <v>2</v>
      </c>
      <c r="L359">
        <f t="shared" si="25"/>
        <v>-3</v>
      </c>
      <c r="M359">
        <f t="shared" si="26"/>
        <v>-68</v>
      </c>
      <c r="N359">
        <f t="shared" si="27"/>
        <v>-87</v>
      </c>
      <c r="O359">
        <f t="shared" si="28"/>
        <v>19</v>
      </c>
      <c r="P359">
        <f t="shared" si="29"/>
        <v>-1</v>
      </c>
      <c r="Q359" t="s">
        <v>5</v>
      </c>
    </row>
    <row r="360" spans="1:17" x14ac:dyDescent="0.35">
      <c r="A360" t="s">
        <v>12</v>
      </c>
      <c r="B360">
        <v>16</v>
      </c>
      <c r="C360">
        <v>246</v>
      </c>
      <c r="D360">
        <v>174</v>
      </c>
      <c r="E360">
        <v>72</v>
      </c>
      <c r="F360">
        <v>1</v>
      </c>
      <c r="G360">
        <v>23</v>
      </c>
      <c r="H360">
        <v>389</v>
      </c>
      <c r="I360">
        <v>283</v>
      </c>
      <c r="J360">
        <v>106</v>
      </c>
      <c r="K360">
        <v>4</v>
      </c>
      <c r="L360">
        <f t="shared" si="25"/>
        <v>-7</v>
      </c>
      <c r="M360">
        <f t="shared" si="26"/>
        <v>-143</v>
      </c>
      <c r="N360">
        <f t="shared" si="27"/>
        <v>-109</v>
      </c>
      <c r="O360">
        <f t="shared" si="28"/>
        <v>-34</v>
      </c>
      <c r="P360">
        <f t="shared" si="29"/>
        <v>-3</v>
      </c>
      <c r="Q360" t="s">
        <v>7</v>
      </c>
    </row>
    <row r="361" spans="1:17" x14ac:dyDescent="0.35">
      <c r="A361" t="s">
        <v>11</v>
      </c>
      <c r="B361">
        <v>29</v>
      </c>
      <c r="C361">
        <v>438</v>
      </c>
      <c r="D361">
        <v>315</v>
      </c>
      <c r="E361">
        <v>123</v>
      </c>
      <c r="F361">
        <v>3</v>
      </c>
      <c r="G361">
        <v>29</v>
      </c>
      <c r="H361">
        <v>447</v>
      </c>
      <c r="I361">
        <v>261</v>
      </c>
      <c r="J361">
        <v>186</v>
      </c>
      <c r="K361">
        <v>2</v>
      </c>
      <c r="L361">
        <f t="shared" si="25"/>
        <v>0</v>
      </c>
      <c r="M361">
        <f t="shared" si="26"/>
        <v>-9</v>
      </c>
      <c r="N361">
        <f t="shared" si="27"/>
        <v>54</v>
      </c>
      <c r="O361">
        <f t="shared" si="28"/>
        <v>-63</v>
      </c>
      <c r="P361">
        <f t="shared" si="29"/>
        <v>1</v>
      </c>
      <c r="Q361" t="s">
        <v>7</v>
      </c>
    </row>
    <row r="362" spans="1:17" x14ac:dyDescent="0.35">
      <c r="A362" t="s">
        <v>12</v>
      </c>
      <c r="B362">
        <v>20</v>
      </c>
      <c r="C362">
        <v>335</v>
      </c>
      <c r="D362">
        <v>270</v>
      </c>
      <c r="E362">
        <v>65</v>
      </c>
      <c r="F362">
        <v>2</v>
      </c>
      <c r="G362">
        <v>14</v>
      </c>
      <c r="H362">
        <v>243</v>
      </c>
      <c r="I362">
        <v>134</v>
      </c>
      <c r="J362">
        <v>109</v>
      </c>
      <c r="K362">
        <v>1</v>
      </c>
      <c r="L362">
        <f t="shared" si="25"/>
        <v>6</v>
      </c>
      <c r="M362">
        <f t="shared" si="26"/>
        <v>92</v>
      </c>
      <c r="N362">
        <f t="shared" si="27"/>
        <v>136</v>
      </c>
      <c r="O362">
        <f t="shared" si="28"/>
        <v>-44</v>
      </c>
      <c r="P362">
        <f t="shared" si="29"/>
        <v>1</v>
      </c>
      <c r="Q362" t="s">
        <v>7</v>
      </c>
    </row>
    <row r="363" spans="1:17" x14ac:dyDescent="0.35">
      <c r="A363" t="s">
        <v>11</v>
      </c>
      <c r="B363">
        <v>21</v>
      </c>
      <c r="C363">
        <v>411</v>
      </c>
      <c r="D363">
        <v>310</v>
      </c>
      <c r="E363">
        <v>101</v>
      </c>
      <c r="F363">
        <v>0</v>
      </c>
      <c r="G363">
        <v>19</v>
      </c>
      <c r="H363">
        <v>357</v>
      </c>
      <c r="I363">
        <v>204</v>
      </c>
      <c r="J363">
        <v>153</v>
      </c>
      <c r="K363">
        <v>0</v>
      </c>
      <c r="L363">
        <f t="shared" si="25"/>
        <v>2</v>
      </c>
      <c r="M363">
        <f t="shared" si="26"/>
        <v>54</v>
      </c>
      <c r="N363">
        <f t="shared" si="27"/>
        <v>106</v>
      </c>
      <c r="O363">
        <f t="shared" si="28"/>
        <v>-52</v>
      </c>
      <c r="P363">
        <f t="shared" si="29"/>
        <v>0</v>
      </c>
      <c r="Q363" t="s">
        <v>7</v>
      </c>
    </row>
    <row r="364" spans="1:17" x14ac:dyDescent="0.35">
      <c r="A364" t="s">
        <v>11</v>
      </c>
      <c r="B364">
        <v>16</v>
      </c>
      <c r="C364">
        <v>281</v>
      </c>
      <c r="D364">
        <v>178</v>
      </c>
      <c r="E364">
        <v>103</v>
      </c>
      <c r="F364">
        <v>1</v>
      </c>
      <c r="G364">
        <v>17</v>
      </c>
      <c r="H364">
        <v>263</v>
      </c>
      <c r="I364">
        <v>137</v>
      </c>
      <c r="J364">
        <v>126</v>
      </c>
      <c r="K364">
        <v>0</v>
      </c>
      <c r="L364">
        <f t="shared" si="25"/>
        <v>-1</v>
      </c>
      <c r="M364">
        <f t="shared" si="26"/>
        <v>18</v>
      </c>
      <c r="N364">
        <f t="shared" si="27"/>
        <v>41</v>
      </c>
      <c r="O364">
        <f t="shared" si="28"/>
        <v>-23</v>
      </c>
      <c r="P364">
        <f t="shared" si="29"/>
        <v>1</v>
      </c>
      <c r="Q364" t="s">
        <v>5</v>
      </c>
    </row>
    <row r="365" spans="1:17" x14ac:dyDescent="0.35">
      <c r="A365" t="s">
        <v>12</v>
      </c>
      <c r="B365">
        <v>11</v>
      </c>
      <c r="C365">
        <v>226</v>
      </c>
      <c r="D365">
        <v>151</v>
      </c>
      <c r="E365">
        <v>75</v>
      </c>
      <c r="F365">
        <v>1</v>
      </c>
      <c r="G365">
        <v>18</v>
      </c>
      <c r="H365">
        <v>326</v>
      </c>
      <c r="I365">
        <v>222</v>
      </c>
      <c r="J365">
        <v>104</v>
      </c>
      <c r="K365">
        <v>0</v>
      </c>
      <c r="L365">
        <f t="shared" si="25"/>
        <v>-7</v>
      </c>
      <c r="M365">
        <f t="shared" si="26"/>
        <v>-100</v>
      </c>
      <c r="N365">
        <f t="shared" si="27"/>
        <v>-71</v>
      </c>
      <c r="O365">
        <f t="shared" si="28"/>
        <v>-29</v>
      </c>
      <c r="P365">
        <f t="shared" si="29"/>
        <v>1</v>
      </c>
      <c r="Q365" t="s">
        <v>5</v>
      </c>
    </row>
    <row r="366" spans="1:17" x14ac:dyDescent="0.35">
      <c r="A366" t="s">
        <v>12</v>
      </c>
      <c r="B366">
        <v>17</v>
      </c>
      <c r="C366">
        <v>347</v>
      </c>
      <c r="D366">
        <v>270</v>
      </c>
      <c r="E366">
        <v>77</v>
      </c>
      <c r="F366">
        <v>4</v>
      </c>
      <c r="G366">
        <v>20</v>
      </c>
      <c r="H366">
        <v>349</v>
      </c>
      <c r="I366">
        <v>295</v>
      </c>
      <c r="J366">
        <v>54</v>
      </c>
      <c r="K366">
        <v>0</v>
      </c>
      <c r="L366">
        <f t="shared" si="25"/>
        <v>-3</v>
      </c>
      <c r="M366">
        <f t="shared" si="26"/>
        <v>-2</v>
      </c>
      <c r="N366">
        <f t="shared" si="27"/>
        <v>-25</v>
      </c>
      <c r="O366">
        <f t="shared" si="28"/>
        <v>23</v>
      </c>
      <c r="P366">
        <f t="shared" si="29"/>
        <v>4</v>
      </c>
      <c r="Q366" t="s">
        <v>5</v>
      </c>
    </row>
    <row r="367" spans="1:17" x14ac:dyDescent="0.35">
      <c r="A367" t="s">
        <v>12</v>
      </c>
      <c r="B367">
        <v>22</v>
      </c>
      <c r="C367">
        <v>424</v>
      </c>
      <c r="D367">
        <v>180</v>
      </c>
      <c r="E367">
        <v>244</v>
      </c>
      <c r="F367">
        <v>1</v>
      </c>
      <c r="G367">
        <v>9</v>
      </c>
      <c r="H367">
        <v>134</v>
      </c>
      <c r="I367">
        <v>49</v>
      </c>
      <c r="J367">
        <v>85</v>
      </c>
      <c r="K367">
        <v>1</v>
      </c>
      <c r="L367">
        <f t="shared" si="25"/>
        <v>13</v>
      </c>
      <c r="M367">
        <f t="shared" si="26"/>
        <v>290</v>
      </c>
      <c r="N367">
        <f t="shared" si="27"/>
        <v>131</v>
      </c>
      <c r="O367">
        <f t="shared" si="28"/>
        <v>159</v>
      </c>
      <c r="P367">
        <f t="shared" si="29"/>
        <v>0</v>
      </c>
      <c r="Q367" t="s">
        <v>7</v>
      </c>
    </row>
    <row r="368" spans="1:17" x14ac:dyDescent="0.35">
      <c r="A368" t="s">
        <v>11</v>
      </c>
      <c r="B368">
        <v>15</v>
      </c>
      <c r="C368">
        <v>251</v>
      </c>
      <c r="D368">
        <v>199</v>
      </c>
      <c r="E368">
        <v>52</v>
      </c>
      <c r="F368">
        <v>1</v>
      </c>
      <c r="G368">
        <v>27</v>
      </c>
      <c r="H368">
        <v>419</v>
      </c>
      <c r="I368">
        <v>327</v>
      </c>
      <c r="J368">
        <v>92</v>
      </c>
      <c r="K368">
        <v>1</v>
      </c>
      <c r="L368">
        <f t="shared" si="25"/>
        <v>-12</v>
      </c>
      <c r="M368">
        <f t="shared" si="26"/>
        <v>-168</v>
      </c>
      <c r="N368">
        <f t="shared" si="27"/>
        <v>-128</v>
      </c>
      <c r="O368">
        <f t="shared" si="28"/>
        <v>-40</v>
      </c>
      <c r="P368">
        <f t="shared" si="29"/>
        <v>0</v>
      </c>
      <c r="Q368" t="s">
        <v>5</v>
      </c>
    </row>
    <row r="369" spans="1:17" x14ac:dyDescent="0.35">
      <c r="A369" t="s">
        <v>11</v>
      </c>
      <c r="B369">
        <v>14</v>
      </c>
      <c r="C369">
        <v>243</v>
      </c>
      <c r="D369">
        <v>134</v>
      </c>
      <c r="E369">
        <v>109</v>
      </c>
      <c r="F369">
        <v>1</v>
      </c>
      <c r="G369">
        <v>20</v>
      </c>
      <c r="H369">
        <v>335</v>
      </c>
      <c r="I369">
        <v>270</v>
      </c>
      <c r="J369">
        <v>65</v>
      </c>
      <c r="K369">
        <v>2</v>
      </c>
      <c r="L369">
        <f t="shared" si="25"/>
        <v>-6</v>
      </c>
      <c r="M369">
        <f t="shared" si="26"/>
        <v>-92</v>
      </c>
      <c r="N369">
        <f t="shared" si="27"/>
        <v>-136</v>
      </c>
      <c r="O369">
        <f t="shared" si="28"/>
        <v>44</v>
      </c>
      <c r="P369">
        <f t="shared" si="29"/>
        <v>-1</v>
      </c>
      <c r="Q369" t="s">
        <v>5</v>
      </c>
    </row>
    <row r="370" spans="1:17" x14ac:dyDescent="0.35">
      <c r="A370" t="s">
        <v>12</v>
      </c>
      <c r="B370">
        <v>24</v>
      </c>
      <c r="C370">
        <v>432</v>
      </c>
      <c r="D370">
        <v>269</v>
      </c>
      <c r="E370">
        <v>163</v>
      </c>
      <c r="F370">
        <v>1</v>
      </c>
      <c r="G370">
        <v>23</v>
      </c>
      <c r="H370">
        <v>374</v>
      </c>
      <c r="I370">
        <v>234</v>
      </c>
      <c r="J370">
        <v>140</v>
      </c>
      <c r="K370">
        <v>2</v>
      </c>
      <c r="L370">
        <f t="shared" si="25"/>
        <v>1</v>
      </c>
      <c r="M370">
        <f t="shared" si="26"/>
        <v>58</v>
      </c>
      <c r="N370">
        <f t="shared" si="27"/>
        <v>35</v>
      </c>
      <c r="O370">
        <f t="shared" si="28"/>
        <v>23</v>
      </c>
      <c r="P370">
        <f t="shared" si="29"/>
        <v>-1</v>
      </c>
      <c r="Q370" t="s">
        <v>5</v>
      </c>
    </row>
    <row r="371" spans="1:17" x14ac:dyDescent="0.35">
      <c r="A371" t="s">
        <v>11</v>
      </c>
      <c r="B371">
        <v>25</v>
      </c>
      <c r="C371">
        <v>397</v>
      </c>
      <c r="D371">
        <v>304</v>
      </c>
      <c r="E371">
        <v>93</v>
      </c>
      <c r="F371">
        <v>1</v>
      </c>
      <c r="G371">
        <v>29</v>
      </c>
      <c r="H371">
        <v>379</v>
      </c>
      <c r="I371">
        <v>300</v>
      </c>
      <c r="J371">
        <v>79</v>
      </c>
      <c r="K371">
        <v>0</v>
      </c>
      <c r="L371">
        <f t="shared" si="25"/>
        <v>-4</v>
      </c>
      <c r="M371">
        <f t="shared" si="26"/>
        <v>18</v>
      </c>
      <c r="N371">
        <f t="shared" si="27"/>
        <v>4</v>
      </c>
      <c r="O371">
        <f t="shared" si="28"/>
        <v>14</v>
      </c>
      <c r="P371">
        <f t="shared" si="29"/>
        <v>1</v>
      </c>
      <c r="Q371" t="s">
        <v>5</v>
      </c>
    </row>
    <row r="372" spans="1:17" x14ac:dyDescent="0.35">
      <c r="A372" t="s">
        <v>11</v>
      </c>
      <c r="B372">
        <v>21</v>
      </c>
      <c r="C372">
        <v>424</v>
      </c>
      <c r="D372">
        <v>287</v>
      </c>
      <c r="E372">
        <v>137</v>
      </c>
      <c r="F372">
        <v>2</v>
      </c>
      <c r="G372">
        <v>19</v>
      </c>
      <c r="H372">
        <v>339</v>
      </c>
      <c r="I372">
        <v>245</v>
      </c>
      <c r="J372">
        <v>94</v>
      </c>
      <c r="K372">
        <v>2</v>
      </c>
      <c r="L372">
        <f t="shared" si="25"/>
        <v>2</v>
      </c>
      <c r="M372">
        <f t="shared" si="26"/>
        <v>85</v>
      </c>
      <c r="N372">
        <f t="shared" si="27"/>
        <v>42</v>
      </c>
      <c r="O372">
        <f t="shared" si="28"/>
        <v>43</v>
      </c>
      <c r="P372">
        <f t="shared" si="29"/>
        <v>0</v>
      </c>
      <c r="Q372" t="s">
        <v>5</v>
      </c>
    </row>
    <row r="373" spans="1:17" x14ac:dyDescent="0.35">
      <c r="A373" t="s">
        <v>11</v>
      </c>
      <c r="B373">
        <v>24</v>
      </c>
      <c r="C373">
        <v>336</v>
      </c>
      <c r="D373">
        <v>160</v>
      </c>
      <c r="E373">
        <v>176</v>
      </c>
      <c r="F373">
        <v>0</v>
      </c>
      <c r="G373">
        <v>31</v>
      </c>
      <c r="H373">
        <v>491</v>
      </c>
      <c r="I373">
        <v>414</v>
      </c>
      <c r="J373">
        <v>77</v>
      </c>
      <c r="K373">
        <v>2</v>
      </c>
      <c r="L373">
        <f t="shared" si="25"/>
        <v>-7</v>
      </c>
      <c r="M373">
        <f t="shared" si="26"/>
        <v>-155</v>
      </c>
      <c r="N373">
        <f t="shared" si="27"/>
        <v>-254</v>
      </c>
      <c r="O373">
        <f t="shared" si="28"/>
        <v>99</v>
      </c>
      <c r="P373">
        <f t="shared" si="29"/>
        <v>-2</v>
      </c>
      <c r="Q373" t="s">
        <v>7</v>
      </c>
    </row>
    <row r="374" spans="1:17" x14ac:dyDescent="0.35">
      <c r="A374" t="s">
        <v>12</v>
      </c>
      <c r="B374">
        <v>25</v>
      </c>
      <c r="C374">
        <v>450</v>
      </c>
      <c r="D374">
        <v>279</v>
      </c>
      <c r="E374">
        <v>171</v>
      </c>
      <c r="F374">
        <v>0</v>
      </c>
      <c r="G374">
        <v>26</v>
      </c>
      <c r="H374">
        <v>473</v>
      </c>
      <c r="I374">
        <v>383</v>
      </c>
      <c r="J374">
        <v>90</v>
      </c>
      <c r="K374">
        <v>2</v>
      </c>
      <c r="L374">
        <f t="shared" si="25"/>
        <v>-1</v>
      </c>
      <c r="M374">
        <f t="shared" si="26"/>
        <v>-23</v>
      </c>
      <c r="N374">
        <f t="shared" si="27"/>
        <v>-104</v>
      </c>
      <c r="O374">
        <f t="shared" si="28"/>
        <v>81</v>
      </c>
      <c r="P374">
        <f t="shared" si="29"/>
        <v>-2</v>
      </c>
      <c r="Q374" t="s">
        <v>7</v>
      </c>
    </row>
    <row r="375" spans="1:17" x14ac:dyDescent="0.35">
      <c r="A375" t="s">
        <v>12</v>
      </c>
      <c r="B375">
        <v>19</v>
      </c>
      <c r="C375">
        <v>321</v>
      </c>
      <c r="D375">
        <v>284</v>
      </c>
      <c r="E375">
        <v>37</v>
      </c>
      <c r="F375">
        <v>2</v>
      </c>
      <c r="G375">
        <v>20</v>
      </c>
      <c r="H375">
        <v>394</v>
      </c>
      <c r="I375">
        <v>270</v>
      </c>
      <c r="J375">
        <v>124</v>
      </c>
      <c r="K375">
        <v>1</v>
      </c>
      <c r="L375">
        <f t="shared" si="25"/>
        <v>-1</v>
      </c>
      <c r="M375">
        <f t="shared" si="26"/>
        <v>-73</v>
      </c>
      <c r="N375">
        <f t="shared" si="27"/>
        <v>14</v>
      </c>
      <c r="O375">
        <f t="shared" si="28"/>
        <v>-87</v>
      </c>
      <c r="P375">
        <f t="shared" si="29"/>
        <v>1</v>
      </c>
      <c r="Q375" t="s">
        <v>7</v>
      </c>
    </row>
    <row r="376" spans="1:17" x14ac:dyDescent="0.35">
      <c r="A376" t="s">
        <v>12</v>
      </c>
      <c r="B376">
        <v>13</v>
      </c>
      <c r="C376">
        <v>218</v>
      </c>
      <c r="D376">
        <v>134</v>
      </c>
      <c r="E376">
        <v>84</v>
      </c>
      <c r="F376">
        <v>1</v>
      </c>
      <c r="G376">
        <v>17</v>
      </c>
      <c r="H376">
        <v>359</v>
      </c>
      <c r="I376">
        <v>244</v>
      </c>
      <c r="J376">
        <v>115</v>
      </c>
      <c r="K376">
        <v>2</v>
      </c>
      <c r="L376">
        <f t="shared" si="25"/>
        <v>-4</v>
      </c>
      <c r="M376">
        <f t="shared" si="26"/>
        <v>-141</v>
      </c>
      <c r="N376">
        <f t="shared" si="27"/>
        <v>-110</v>
      </c>
      <c r="O376">
        <f t="shared" si="28"/>
        <v>-31</v>
      </c>
      <c r="P376">
        <f t="shared" si="29"/>
        <v>-1</v>
      </c>
      <c r="Q376" t="s">
        <v>7</v>
      </c>
    </row>
    <row r="377" spans="1:17" x14ac:dyDescent="0.35">
      <c r="A377" t="s">
        <v>12</v>
      </c>
      <c r="B377">
        <v>23</v>
      </c>
      <c r="C377">
        <v>375</v>
      </c>
      <c r="D377">
        <v>240</v>
      </c>
      <c r="E377">
        <v>135</v>
      </c>
      <c r="F377">
        <v>4</v>
      </c>
      <c r="G377">
        <v>11</v>
      </c>
      <c r="H377">
        <v>224</v>
      </c>
      <c r="I377">
        <v>150</v>
      </c>
      <c r="J377">
        <v>74</v>
      </c>
      <c r="K377">
        <v>1</v>
      </c>
      <c r="L377">
        <f t="shared" si="25"/>
        <v>12</v>
      </c>
      <c r="M377">
        <f t="shared" si="26"/>
        <v>151</v>
      </c>
      <c r="N377">
        <f t="shared" si="27"/>
        <v>90</v>
      </c>
      <c r="O377">
        <f t="shared" si="28"/>
        <v>61</v>
      </c>
      <c r="P377">
        <f t="shared" si="29"/>
        <v>3</v>
      </c>
      <c r="Q377" t="s">
        <v>5</v>
      </c>
    </row>
    <row r="378" spans="1:17" x14ac:dyDescent="0.35">
      <c r="A378" t="s">
        <v>12</v>
      </c>
      <c r="B378">
        <v>27</v>
      </c>
      <c r="C378">
        <v>424</v>
      </c>
      <c r="D378">
        <v>307</v>
      </c>
      <c r="E378">
        <v>117</v>
      </c>
      <c r="F378">
        <v>0</v>
      </c>
      <c r="G378">
        <v>16</v>
      </c>
      <c r="H378">
        <v>205</v>
      </c>
      <c r="I378">
        <v>159</v>
      </c>
      <c r="J378">
        <v>46</v>
      </c>
      <c r="K378">
        <v>0</v>
      </c>
      <c r="L378">
        <f t="shared" si="25"/>
        <v>11</v>
      </c>
      <c r="M378">
        <f t="shared" si="26"/>
        <v>219</v>
      </c>
      <c r="N378">
        <f t="shared" si="27"/>
        <v>148</v>
      </c>
      <c r="O378">
        <f t="shared" si="28"/>
        <v>71</v>
      </c>
      <c r="P378">
        <f t="shared" si="29"/>
        <v>0</v>
      </c>
      <c r="Q378" t="s">
        <v>7</v>
      </c>
    </row>
    <row r="379" spans="1:17" x14ac:dyDescent="0.35">
      <c r="A379" t="s">
        <v>12</v>
      </c>
      <c r="B379">
        <v>26</v>
      </c>
      <c r="C379">
        <v>409</v>
      </c>
      <c r="D379">
        <v>351</v>
      </c>
      <c r="E379">
        <v>58</v>
      </c>
      <c r="F379">
        <v>1</v>
      </c>
      <c r="G379">
        <v>23</v>
      </c>
      <c r="H379">
        <v>386</v>
      </c>
      <c r="I379">
        <v>294</v>
      </c>
      <c r="J379">
        <v>92</v>
      </c>
      <c r="K379">
        <v>1</v>
      </c>
      <c r="L379">
        <f t="shared" si="25"/>
        <v>3</v>
      </c>
      <c r="M379">
        <f t="shared" si="26"/>
        <v>23</v>
      </c>
      <c r="N379">
        <f t="shared" si="27"/>
        <v>57</v>
      </c>
      <c r="O379">
        <f t="shared" si="28"/>
        <v>-34</v>
      </c>
      <c r="P379">
        <f t="shared" si="29"/>
        <v>0</v>
      </c>
      <c r="Q379" t="s">
        <v>7</v>
      </c>
    </row>
    <row r="380" spans="1:17" x14ac:dyDescent="0.35">
      <c r="A380" t="s">
        <v>11</v>
      </c>
      <c r="B380">
        <v>16</v>
      </c>
      <c r="C380">
        <v>205</v>
      </c>
      <c r="D380">
        <v>159</v>
      </c>
      <c r="E380">
        <v>46</v>
      </c>
      <c r="F380">
        <v>0</v>
      </c>
      <c r="G380">
        <v>27</v>
      </c>
      <c r="H380">
        <v>424</v>
      </c>
      <c r="I380">
        <v>307</v>
      </c>
      <c r="J380">
        <v>117</v>
      </c>
      <c r="K380">
        <v>0</v>
      </c>
      <c r="L380">
        <f t="shared" si="25"/>
        <v>-11</v>
      </c>
      <c r="M380">
        <f t="shared" si="26"/>
        <v>-219</v>
      </c>
      <c r="N380">
        <f t="shared" si="27"/>
        <v>-148</v>
      </c>
      <c r="O380">
        <f t="shared" si="28"/>
        <v>-71</v>
      </c>
      <c r="P380">
        <f t="shared" si="29"/>
        <v>0</v>
      </c>
      <c r="Q380" t="s">
        <v>5</v>
      </c>
    </row>
    <row r="381" spans="1:17" x14ac:dyDescent="0.35">
      <c r="A381" t="s">
        <v>12</v>
      </c>
      <c r="B381">
        <v>36</v>
      </c>
      <c r="C381">
        <v>518</v>
      </c>
      <c r="D381">
        <v>490</v>
      </c>
      <c r="E381">
        <v>28</v>
      </c>
      <c r="F381">
        <v>4</v>
      </c>
      <c r="G381">
        <v>27</v>
      </c>
      <c r="H381">
        <v>464</v>
      </c>
      <c r="I381">
        <v>376</v>
      </c>
      <c r="J381">
        <v>88</v>
      </c>
      <c r="K381">
        <v>1</v>
      </c>
      <c r="L381">
        <f t="shared" si="25"/>
        <v>9</v>
      </c>
      <c r="M381">
        <f t="shared" si="26"/>
        <v>54</v>
      </c>
      <c r="N381">
        <f t="shared" si="27"/>
        <v>114</v>
      </c>
      <c r="O381">
        <f t="shared" si="28"/>
        <v>-60</v>
      </c>
      <c r="P381">
        <f t="shared" si="29"/>
        <v>3</v>
      </c>
      <c r="Q381" t="s">
        <v>5</v>
      </c>
    </row>
    <row r="382" spans="1:17" x14ac:dyDescent="0.35">
      <c r="A382" t="s">
        <v>12</v>
      </c>
      <c r="B382">
        <v>16</v>
      </c>
      <c r="C382">
        <v>252</v>
      </c>
      <c r="D382">
        <v>235</v>
      </c>
      <c r="E382">
        <v>17</v>
      </c>
      <c r="F382">
        <v>2</v>
      </c>
      <c r="G382">
        <v>24</v>
      </c>
      <c r="H382">
        <v>424</v>
      </c>
      <c r="I382">
        <v>273</v>
      </c>
      <c r="J382">
        <v>151</v>
      </c>
      <c r="K382">
        <v>0</v>
      </c>
      <c r="L382">
        <f t="shared" si="25"/>
        <v>-8</v>
      </c>
      <c r="M382">
        <f t="shared" si="26"/>
        <v>-172</v>
      </c>
      <c r="N382">
        <f t="shared" si="27"/>
        <v>-38</v>
      </c>
      <c r="O382">
        <f t="shared" si="28"/>
        <v>-134</v>
      </c>
      <c r="P382">
        <f t="shared" si="29"/>
        <v>2</v>
      </c>
      <c r="Q382" t="s">
        <v>5</v>
      </c>
    </row>
    <row r="383" spans="1:17" x14ac:dyDescent="0.35">
      <c r="A383" t="s">
        <v>11</v>
      </c>
      <c r="B383">
        <v>17</v>
      </c>
      <c r="C383">
        <v>283</v>
      </c>
      <c r="D383">
        <v>211</v>
      </c>
      <c r="E383">
        <v>72</v>
      </c>
      <c r="F383">
        <v>1</v>
      </c>
      <c r="G383">
        <v>28</v>
      </c>
      <c r="H383">
        <v>476</v>
      </c>
      <c r="I383">
        <v>241</v>
      </c>
      <c r="J383">
        <v>235</v>
      </c>
      <c r="K383">
        <v>1</v>
      </c>
      <c r="L383">
        <f t="shared" si="25"/>
        <v>-11</v>
      </c>
      <c r="M383">
        <f t="shared" si="26"/>
        <v>-193</v>
      </c>
      <c r="N383">
        <f t="shared" si="27"/>
        <v>-30</v>
      </c>
      <c r="O383">
        <f t="shared" si="28"/>
        <v>-163</v>
      </c>
      <c r="P383">
        <f t="shared" si="29"/>
        <v>0</v>
      </c>
      <c r="Q383" t="s">
        <v>5</v>
      </c>
    </row>
    <row r="384" spans="1:17" x14ac:dyDescent="0.35">
      <c r="A384" t="s">
        <v>11</v>
      </c>
      <c r="B384">
        <v>16</v>
      </c>
      <c r="C384">
        <v>382</v>
      </c>
      <c r="D384">
        <v>318</v>
      </c>
      <c r="E384">
        <v>64</v>
      </c>
      <c r="F384">
        <v>0</v>
      </c>
      <c r="G384">
        <v>20</v>
      </c>
      <c r="H384">
        <v>282</v>
      </c>
      <c r="I384">
        <v>162</v>
      </c>
      <c r="J384">
        <v>120</v>
      </c>
      <c r="K384">
        <v>0</v>
      </c>
      <c r="L384">
        <f t="shared" si="25"/>
        <v>-4</v>
      </c>
      <c r="M384">
        <f t="shared" si="26"/>
        <v>100</v>
      </c>
      <c r="N384">
        <f t="shared" si="27"/>
        <v>156</v>
      </c>
      <c r="O384">
        <f t="shared" si="28"/>
        <v>-56</v>
      </c>
      <c r="P384">
        <f t="shared" si="29"/>
        <v>0</v>
      </c>
      <c r="Q384" t="s">
        <v>7</v>
      </c>
    </row>
    <row r="385" spans="1:17" x14ac:dyDescent="0.35">
      <c r="A385" t="s">
        <v>12</v>
      </c>
      <c r="B385">
        <v>19</v>
      </c>
      <c r="C385">
        <v>255</v>
      </c>
      <c r="D385">
        <v>208</v>
      </c>
      <c r="E385">
        <v>47</v>
      </c>
      <c r="F385">
        <v>0</v>
      </c>
      <c r="G385">
        <v>25</v>
      </c>
      <c r="H385">
        <v>474</v>
      </c>
      <c r="I385">
        <v>261</v>
      </c>
      <c r="J385">
        <v>213</v>
      </c>
      <c r="K385">
        <v>1</v>
      </c>
      <c r="L385">
        <f t="shared" si="25"/>
        <v>-6</v>
      </c>
      <c r="M385">
        <f t="shared" si="26"/>
        <v>-219</v>
      </c>
      <c r="N385">
        <f t="shared" si="27"/>
        <v>-53</v>
      </c>
      <c r="O385">
        <f t="shared" si="28"/>
        <v>-166</v>
      </c>
      <c r="P385">
        <f t="shared" si="29"/>
        <v>-1</v>
      </c>
      <c r="Q385" t="s">
        <v>5</v>
      </c>
    </row>
    <row r="386" spans="1:17" x14ac:dyDescent="0.35">
      <c r="A386" t="s">
        <v>12</v>
      </c>
      <c r="B386">
        <v>19</v>
      </c>
      <c r="C386">
        <v>364</v>
      </c>
      <c r="D386">
        <v>259</v>
      </c>
      <c r="E386">
        <v>105</v>
      </c>
      <c r="F386">
        <v>1</v>
      </c>
      <c r="G386">
        <v>22</v>
      </c>
      <c r="H386">
        <v>419</v>
      </c>
      <c r="I386">
        <v>331</v>
      </c>
      <c r="J386">
        <v>88</v>
      </c>
      <c r="K386">
        <v>1</v>
      </c>
      <c r="L386">
        <f t="shared" ref="L386:L449" si="30">B386-G386</f>
        <v>-3</v>
      </c>
      <c r="M386">
        <f t="shared" ref="M386:M449" si="31">C386-H386</f>
        <v>-55</v>
      </c>
      <c r="N386">
        <f t="shared" ref="N386:N449" si="32">D386-I386</f>
        <v>-72</v>
      </c>
      <c r="O386">
        <f t="shared" ref="O386:O449" si="33">E386-J386</f>
        <v>17</v>
      </c>
      <c r="P386">
        <f t="shared" ref="P386:P449" si="34">F386-K386</f>
        <v>0</v>
      </c>
      <c r="Q386" t="s">
        <v>5</v>
      </c>
    </row>
    <row r="387" spans="1:17" x14ac:dyDescent="0.35">
      <c r="A387" t="s">
        <v>11</v>
      </c>
      <c r="B387">
        <v>18</v>
      </c>
      <c r="C387">
        <v>286</v>
      </c>
      <c r="D387">
        <v>237</v>
      </c>
      <c r="E387">
        <v>49</v>
      </c>
      <c r="F387">
        <v>3</v>
      </c>
      <c r="G387">
        <v>19</v>
      </c>
      <c r="H387">
        <v>367</v>
      </c>
      <c r="I387">
        <v>310</v>
      </c>
      <c r="J387">
        <v>57</v>
      </c>
      <c r="K387">
        <v>3</v>
      </c>
      <c r="L387">
        <f t="shared" si="30"/>
        <v>-1</v>
      </c>
      <c r="M387">
        <f t="shared" si="31"/>
        <v>-81</v>
      </c>
      <c r="N387">
        <f t="shared" si="32"/>
        <v>-73</v>
      </c>
      <c r="O387">
        <f t="shared" si="33"/>
        <v>-8</v>
      </c>
      <c r="P387">
        <f t="shared" si="34"/>
        <v>0</v>
      </c>
      <c r="Q387" t="s">
        <v>5</v>
      </c>
    </row>
    <row r="388" spans="1:17" x14ac:dyDescent="0.35">
      <c r="A388" t="s">
        <v>11</v>
      </c>
      <c r="B388">
        <v>16</v>
      </c>
      <c r="C388">
        <v>232</v>
      </c>
      <c r="D388">
        <v>110</v>
      </c>
      <c r="E388">
        <v>122</v>
      </c>
      <c r="F388">
        <v>2</v>
      </c>
      <c r="G388">
        <v>25</v>
      </c>
      <c r="H388">
        <v>491</v>
      </c>
      <c r="I388">
        <v>235</v>
      </c>
      <c r="J388">
        <v>256</v>
      </c>
      <c r="K388">
        <v>0</v>
      </c>
      <c r="L388">
        <f t="shared" si="30"/>
        <v>-9</v>
      </c>
      <c r="M388">
        <f t="shared" si="31"/>
        <v>-259</v>
      </c>
      <c r="N388">
        <f t="shared" si="32"/>
        <v>-125</v>
      </c>
      <c r="O388">
        <f t="shared" si="33"/>
        <v>-134</v>
      </c>
      <c r="P388">
        <f t="shared" si="34"/>
        <v>2</v>
      </c>
      <c r="Q388" t="s">
        <v>5</v>
      </c>
    </row>
    <row r="389" spans="1:17" x14ac:dyDescent="0.35">
      <c r="A389" t="s">
        <v>11</v>
      </c>
      <c r="B389">
        <v>23</v>
      </c>
      <c r="C389">
        <v>375</v>
      </c>
      <c r="D389">
        <v>265</v>
      </c>
      <c r="E389">
        <v>110</v>
      </c>
      <c r="F389">
        <v>0</v>
      </c>
      <c r="G389">
        <v>22</v>
      </c>
      <c r="H389">
        <v>344</v>
      </c>
      <c r="I389">
        <v>235</v>
      </c>
      <c r="J389">
        <v>109</v>
      </c>
      <c r="K389">
        <v>0</v>
      </c>
      <c r="L389">
        <f t="shared" si="30"/>
        <v>1</v>
      </c>
      <c r="M389">
        <f t="shared" si="31"/>
        <v>31</v>
      </c>
      <c r="N389">
        <f t="shared" si="32"/>
        <v>30</v>
      </c>
      <c r="O389">
        <f t="shared" si="33"/>
        <v>1</v>
      </c>
      <c r="P389">
        <f t="shared" si="34"/>
        <v>0</v>
      </c>
      <c r="Q389" t="s">
        <v>5</v>
      </c>
    </row>
    <row r="390" spans="1:17" x14ac:dyDescent="0.35">
      <c r="A390" t="s">
        <v>11</v>
      </c>
      <c r="B390">
        <v>27</v>
      </c>
      <c r="C390">
        <v>451</v>
      </c>
      <c r="D390">
        <v>272</v>
      </c>
      <c r="E390">
        <v>179</v>
      </c>
      <c r="F390">
        <v>1</v>
      </c>
      <c r="G390">
        <v>17</v>
      </c>
      <c r="H390">
        <v>333</v>
      </c>
      <c r="I390">
        <v>187</v>
      </c>
      <c r="J390">
        <v>146</v>
      </c>
      <c r="K390">
        <v>2</v>
      </c>
      <c r="L390">
        <f t="shared" si="30"/>
        <v>10</v>
      </c>
      <c r="M390">
        <f t="shared" si="31"/>
        <v>118</v>
      </c>
      <c r="N390">
        <f t="shared" si="32"/>
        <v>85</v>
      </c>
      <c r="O390">
        <f t="shared" si="33"/>
        <v>33</v>
      </c>
      <c r="P390">
        <f t="shared" si="34"/>
        <v>-1</v>
      </c>
      <c r="Q390" t="s">
        <v>5</v>
      </c>
    </row>
    <row r="391" spans="1:17" x14ac:dyDescent="0.35">
      <c r="A391" t="s">
        <v>12</v>
      </c>
      <c r="B391">
        <v>23</v>
      </c>
      <c r="C391">
        <v>430</v>
      </c>
      <c r="D391">
        <v>212</v>
      </c>
      <c r="E391">
        <v>218</v>
      </c>
      <c r="F391">
        <v>0</v>
      </c>
      <c r="G391">
        <v>13</v>
      </c>
      <c r="H391">
        <v>310</v>
      </c>
      <c r="I391">
        <v>207</v>
      </c>
      <c r="J391">
        <v>103</v>
      </c>
      <c r="K391">
        <v>2</v>
      </c>
      <c r="L391">
        <f t="shared" si="30"/>
        <v>10</v>
      </c>
      <c r="M391">
        <f t="shared" si="31"/>
        <v>120</v>
      </c>
      <c r="N391">
        <f t="shared" si="32"/>
        <v>5</v>
      </c>
      <c r="O391">
        <f t="shared" si="33"/>
        <v>115</v>
      </c>
      <c r="P391">
        <f t="shared" si="34"/>
        <v>-2</v>
      </c>
      <c r="Q391" t="s">
        <v>7</v>
      </c>
    </row>
    <row r="392" spans="1:17" x14ac:dyDescent="0.35">
      <c r="A392" t="s">
        <v>12</v>
      </c>
      <c r="B392">
        <v>26</v>
      </c>
      <c r="C392">
        <v>457</v>
      </c>
      <c r="D392">
        <v>339</v>
      </c>
      <c r="E392">
        <v>118</v>
      </c>
      <c r="F392">
        <v>3</v>
      </c>
      <c r="G392">
        <v>20</v>
      </c>
      <c r="H392">
        <v>417</v>
      </c>
      <c r="I392">
        <v>342</v>
      </c>
      <c r="J392">
        <v>75</v>
      </c>
      <c r="K392">
        <v>2</v>
      </c>
      <c r="L392">
        <f t="shared" si="30"/>
        <v>6</v>
      </c>
      <c r="M392">
        <f t="shared" si="31"/>
        <v>40</v>
      </c>
      <c r="N392">
        <f t="shared" si="32"/>
        <v>-3</v>
      </c>
      <c r="O392">
        <f t="shared" si="33"/>
        <v>43</v>
      </c>
      <c r="P392">
        <f t="shared" si="34"/>
        <v>1</v>
      </c>
      <c r="Q392" t="s">
        <v>7</v>
      </c>
    </row>
    <row r="393" spans="1:17" x14ac:dyDescent="0.35">
      <c r="A393" t="s">
        <v>11</v>
      </c>
      <c r="B393">
        <v>19</v>
      </c>
      <c r="C393">
        <v>296</v>
      </c>
      <c r="D393">
        <v>121</v>
      </c>
      <c r="E393">
        <v>175</v>
      </c>
      <c r="F393">
        <v>0</v>
      </c>
      <c r="G393">
        <v>16</v>
      </c>
      <c r="H393">
        <v>396</v>
      </c>
      <c r="I393">
        <v>297</v>
      </c>
      <c r="J393">
        <v>99</v>
      </c>
      <c r="K393">
        <v>1</v>
      </c>
      <c r="L393">
        <f t="shared" si="30"/>
        <v>3</v>
      </c>
      <c r="M393">
        <f t="shared" si="31"/>
        <v>-100</v>
      </c>
      <c r="N393">
        <f t="shared" si="32"/>
        <v>-176</v>
      </c>
      <c r="O393">
        <f t="shared" si="33"/>
        <v>76</v>
      </c>
      <c r="P393">
        <f t="shared" si="34"/>
        <v>-1</v>
      </c>
      <c r="Q393" t="s">
        <v>5</v>
      </c>
    </row>
    <row r="394" spans="1:17" x14ac:dyDescent="0.35">
      <c r="A394" t="s">
        <v>12</v>
      </c>
      <c r="B394">
        <v>25</v>
      </c>
      <c r="C394">
        <v>429</v>
      </c>
      <c r="D394">
        <v>262</v>
      </c>
      <c r="E394">
        <v>167</v>
      </c>
      <c r="F394">
        <v>1</v>
      </c>
      <c r="G394">
        <v>24</v>
      </c>
      <c r="H394">
        <v>477</v>
      </c>
      <c r="I394">
        <v>395</v>
      </c>
      <c r="J394">
        <v>82</v>
      </c>
      <c r="K394">
        <v>2</v>
      </c>
      <c r="L394">
        <f t="shared" si="30"/>
        <v>1</v>
      </c>
      <c r="M394">
        <f t="shared" si="31"/>
        <v>-48</v>
      </c>
      <c r="N394">
        <f t="shared" si="32"/>
        <v>-133</v>
      </c>
      <c r="O394">
        <f t="shared" si="33"/>
        <v>85</v>
      </c>
      <c r="P394">
        <f t="shared" si="34"/>
        <v>-1</v>
      </c>
      <c r="Q394" t="s">
        <v>7</v>
      </c>
    </row>
    <row r="395" spans="1:17" x14ac:dyDescent="0.35">
      <c r="A395" t="s">
        <v>11</v>
      </c>
      <c r="B395">
        <v>25</v>
      </c>
      <c r="C395">
        <v>455</v>
      </c>
      <c r="D395">
        <v>186</v>
      </c>
      <c r="E395">
        <v>269</v>
      </c>
      <c r="F395">
        <v>0</v>
      </c>
      <c r="G395">
        <v>19</v>
      </c>
      <c r="H395">
        <v>371</v>
      </c>
      <c r="I395">
        <v>303</v>
      </c>
      <c r="J395">
        <v>68</v>
      </c>
      <c r="K395">
        <v>1</v>
      </c>
      <c r="L395">
        <f t="shared" si="30"/>
        <v>6</v>
      </c>
      <c r="M395">
        <f t="shared" si="31"/>
        <v>84</v>
      </c>
      <c r="N395">
        <f t="shared" si="32"/>
        <v>-117</v>
      </c>
      <c r="O395">
        <f t="shared" si="33"/>
        <v>201</v>
      </c>
      <c r="P395">
        <f t="shared" si="34"/>
        <v>-1</v>
      </c>
      <c r="Q395" t="s">
        <v>7</v>
      </c>
    </row>
    <row r="396" spans="1:17" x14ac:dyDescent="0.35">
      <c r="A396" t="s">
        <v>12</v>
      </c>
      <c r="B396">
        <v>17</v>
      </c>
      <c r="C396">
        <v>397</v>
      </c>
      <c r="D396">
        <v>248</v>
      </c>
      <c r="E396">
        <v>149</v>
      </c>
      <c r="F396">
        <v>1</v>
      </c>
      <c r="G396">
        <v>23</v>
      </c>
      <c r="H396">
        <v>377</v>
      </c>
      <c r="I396">
        <v>275</v>
      </c>
      <c r="J396">
        <v>102</v>
      </c>
      <c r="K396">
        <v>0</v>
      </c>
      <c r="L396">
        <f t="shared" si="30"/>
        <v>-6</v>
      </c>
      <c r="M396">
        <f t="shared" si="31"/>
        <v>20</v>
      </c>
      <c r="N396">
        <f t="shared" si="32"/>
        <v>-27</v>
      </c>
      <c r="O396">
        <f t="shared" si="33"/>
        <v>47</v>
      </c>
      <c r="P396">
        <f t="shared" si="34"/>
        <v>1</v>
      </c>
      <c r="Q396" t="s">
        <v>5</v>
      </c>
    </row>
    <row r="397" spans="1:17" x14ac:dyDescent="0.35">
      <c r="A397" t="s">
        <v>11</v>
      </c>
      <c r="B397">
        <v>16</v>
      </c>
      <c r="C397">
        <v>260</v>
      </c>
      <c r="D397">
        <v>185</v>
      </c>
      <c r="E397">
        <v>75</v>
      </c>
      <c r="F397">
        <v>2</v>
      </c>
      <c r="G397">
        <v>14</v>
      </c>
      <c r="H397">
        <v>259</v>
      </c>
      <c r="I397">
        <v>174</v>
      </c>
      <c r="J397">
        <v>85</v>
      </c>
      <c r="K397">
        <v>1</v>
      </c>
      <c r="L397">
        <f t="shared" si="30"/>
        <v>2</v>
      </c>
      <c r="M397">
        <f t="shared" si="31"/>
        <v>1</v>
      </c>
      <c r="N397">
        <f t="shared" si="32"/>
        <v>11</v>
      </c>
      <c r="O397">
        <f t="shared" si="33"/>
        <v>-10</v>
      </c>
      <c r="P397">
        <f t="shared" si="34"/>
        <v>1</v>
      </c>
      <c r="Q397" t="s">
        <v>5</v>
      </c>
    </row>
    <row r="398" spans="1:17" x14ac:dyDescent="0.35">
      <c r="A398" t="s">
        <v>12</v>
      </c>
      <c r="B398">
        <v>20</v>
      </c>
      <c r="C398">
        <v>347</v>
      </c>
      <c r="D398">
        <v>241</v>
      </c>
      <c r="E398">
        <v>106</v>
      </c>
      <c r="F398">
        <v>2</v>
      </c>
      <c r="G398">
        <v>14</v>
      </c>
      <c r="H398">
        <v>340</v>
      </c>
      <c r="I398">
        <v>141</v>
      </c>
      <c r="J398">
        <v>199</v>
      </c>
      <c r="K398">
        <v>0</v>
      </c>
      <c r="L398">
        <f t="shared" si="30"/>
        <v>6</v>
      </c>
      <c r="M398">
        <f t="shared" si="31"/>
        <v>7</v>
      </c>
      <c r="N398">
        <f t="shared" si="32"/>
        <v>100</v>
      </c>
      <c r="O398">
        <f t="shared" si="33"/>
        <v>-93</v>
      </c>
      <c r="P398">
        <f t="shared" si="34"/>
        <v>2</v>
      </c>
      <c r="Q398" t="s">
        <v>5</v>
      </c>
    </row>
    <row r="399" spans="1:17" x14ac:dyDescent="0.35">
      <c r="A399" t="s">
        <v>12</v>
      </c>
      <c r="B399">
        <v>29</v>
      </c>
      <c r="C399">
        <v>388</v>
      </c>
      <c r="D399">
        <v>258</v>
      </c>
      <c r="E399">
        <v>130</v>
      </c>
      <c r="F399">
        <v>0</v>
      </c>
      <c r="G399">
        <v>15</v>
      </c>
      <c r="H399">
        <v>378</v>
      </c>
      <c r="I399">
        <v>285</v>
      </c>
      <c r="J399">
        <v>93</v>
      </c>
      <c r="K399">
        <v>0</v>
      </c>
      <c r="L399">
        <f t="shared" si="30"/>
        <v>14</v>
      </c>
      <c r="M399">
        <f t="shared" si="31"/>
        <v>10</v>
      </c>
      <c r="N399">
        <f t="shared" si="32"/>
        <v>-27</v>
      </c>
      <c r="O399">
        <f t="shared" si="33"/>
        <v>37</v>
      </c>
      <c r="P399">
        <f t="shared" si="34"/>
        <v>0</v>
      </c>
      <c r="Q399" t="s">
        <v>7</v>
      </c>
    </row>
    <row r="400" spans="1:17" x14ac:dyDescent="0.35">
      <c r="A400" t="s">
        <v>11</v>
      </c>
      <c r="B400">
        <v>23</v>
      </c>
      <c r="C400">
        <v>495</v>
      </c>
      <c r="D400">
        <v>446</v>
      </c>
      <c r="E400">
        <v>49</v>
      </c>
      <c r="F400">
        <v>1</v>
      </c>
      <c r="G400">
        <v>16</v>
      </c>
      <c r="H400">
        <v>295</v>
      </c>
      <c r="I400">
        <v>250</v>
      </c>
      <c r="J400">
        <v>45</v>
      </c>
      <c r="K400">
        <v>3</v>
      </c>
      <c r="L400">
        <f t="shared" si="30"/>
        <v>7</v>
      </c>
      <c r="M400">
        <f t="shared" si="31"/>
        <v>200</v>
      </c>
      <c r="N400">
        <f t="shared" si="32"/>
        <v>196</v>
      </c>
      <c r="O400">
        <f t="shared" si="33"/>
        <v>4</v>
      </c>
      <c r="P400">
        <f t="shared" si="34"/>
        <v>-2</v>
      </c>
      <c r="Q400" t="s">
        <v>7</v>
      </c>
    </row>
    <row r="401" spans="1:17" x14ac:dyDescent="0.35">
      <c r="A401" t="s">
        <v>12</v>
      </c>
      <c r="B401">
        <v>18</v>
      </c>
      <c r="C401">
        <v>428</v>
      </c>
      <c r="D401">
        <v>347</v>
      </c>
      <c r="E401">
        <v>81</v>
      </c>
      <c r="F401">
        <v>2</v>
      </c>
      <c r="G401">
        <v>24</v>
      </c>
      <c r="H401">
        <v>491</v>
      </c>
      <c r="I401">
        <v>378</v>
      </c>
      <c r="J401">
        <v>113</v>
      </c>
      <c r="K401">
        <v>0</v>
      </c>
      <c r="L401">
        <f t="shared" si="30"/>
        <v>-6</v>
      </c>
      <c r="M401">
        <f t="shared" si="31"/>
        <v>-63</v>
      </c>
      <c r="N401">
        <f t="shared" si="32"/>
        <v>-31</v>
      </c>
      <c r="O401">
        <f t="shared" si="33"/>
        <v>-32</v>
      </c>
      <c r="P401">
        <f t="shared" si="34"/>
        <v>2</v>
      </c>
      <c r="Q401" t="s">
        <v>5</v>
      </c>
    </row>
    <row r="402" spans="1:17" x14ac:dyDescent="0.35">
      <c r="A402" t="s">
        <v>12</v>
      </c>
      <c r="B402">
        <v>16</v>
      </c>
      <c r="C402">
        <v>312</v>
      </c>
      <c r="D402">
        <v>235</v>
      </c>
      <c r="E402">
        <v>77</v>
      </c>
      <c r="F402">
        <v>0</v>
      </c>
      <c r="G402">
        <v>20</v>
      </c>
      <c r="H402">
        <v>310</v>
      </c>
      <c r="I402">
        <v>161</v>
      </c>
      <c r="J402">
        <v>149</v>
      </c>
      <c r="K402">
        <v>3</v>
      </c>
      <c r="L402">
        <f t="shared" si="30"/>
        <v>-4</v>
      </c>
      <c r="M402">
        <f t="shared" si="31"/>
        <v>2</v>
      </c>
      <c r="N402">
        <f t="shared" si="32"/>
        <v>74</v>
      </c>
      <c r="O402">
        <f t="shared" si="33"/>
        <v>-72</v>
      </c>
      <c r="P402">
        <f t="shared" si="34"/>
        <v>-3</v>
      </c>
      <c r="Q402" t="s">
        <v>7</v>
      </c>
    </row>
    <row r="403" spans="1:17" x14ac:dyDescent="0.35">
      <c r="A403" t="s">
        <v>11</v>
      </c>
      <c r="B403">
        <v>24</v>
      </c>
      <c r="C403">
        <v>390</v>
      </c>
      <c r="D403">
        <v>311</v>
      </c>
      <c r="E403">
        <v>79</v>
      </c>
      <c r="F403">
        <v>0</v>
      </c>
      <c r="G403">
        <v>13</v>
      </c>
      <c r="H403">
        <v>233</v>
      </c>
      <c r="I403">
        <v>161</v>
      </c>
      <c r="J403">
        <v>72</v>
      </c>
      <c r="K403">
        <v>1</v>
      </c>
      <c r="L403">
        <f t="shared" si="30"/>
        <v>11</v>
      </c>
      <c r="M403">
        <f t="shared" si="31"/>
        <v>157</v>
      </c>
      <c r="N403">
        <f t="shared" si="32"/>
        <v>150</v>
      </c>
      <c r="O403">
        <f t="shared" si="33"/>
        <v>7</v>
      </c>
      <c r="P403">
        <f t="shared" si="34"/>
        <v>-1</v>
      </c>
      <c r="Q403" t="s">
        <v>7</v>
      </c>
    </row>
    <row r="404" spans="1:17" x14ac:dyDescent="0.35">
      <c r="A404" t="s">
        <v>11</v>
      </c>
      <c r="B404">
        <v>27</v>
      </c>
      <c r="C404">
        <v>415</v>
      </c>
      <c r="D404">
        <v>258</v>
      </c>
      <c r="E404">
        <v>157</v>
      </c>
      <c r="F404">
        <v>1</v>
      </c>
      <c r="G404">
        <v>19</v>
      </c>
      <c r="H404">
        <v>352</v>
      </c>
      <c r="I404">
        <v>251</v>
      </c>
      <c r="J404">
        <v>101</v>
      </c>
      <c r="K404">
        <v>1</v>
      </c>
      <c r="L404">
        <f t="shared" si="30"/>
        <v>8</v>
      </c>
      <c r="M404">
        <f t="shared" si="31"/>
        <v>63</v>
      </c>
      <c r="N404">
        <f t="shared" si="32"/>
        <v>7</v>
      </c>
      <c r="O404">
        <f t="shared" si="33"/>
        <v>56</v>
      </c>
      <c r="P404">
        <f t="shared" si="34"/>
        <v>0</v>
      </c>
      <c r="Q404" t="s">
        <v>7</v>
      </c>
    </row>
    <row r="405" spans="1:17" x14ac:dyDescent="0.35">
      <c r="A405" t="s">
        <v>12</v>
      </c>
      <c r="B405">
        <v>22</v>
      </c>
      <c r="C405">
        <v>346</v>
      </c>
      <c r="D405">
        <v>265</v>
      </c>
      <c r="E405">
        <v>81</v>
      </c>
      <c r="F405">
        <v>2</v>
      </c>
      <c r="G405">
        <v>21</v>
      </c>
      <c r="H405">
        <v>377</v>
      </c>
      <c r="I405">
        <v>189</v>
      </c>
      <c r="J405">
        <v>188</v>
      </c>
      <c r="K405">
        <v>1</v>
      </c>
      <c r="L405">
        <f t="shared" si="30"/>
        <v>1</v>
      </c>
      <c r="M405">
        <f t="shared" si="31"/>
        <v>-31</v>
      </c>
      <c r="N405">
        <f t="shared" si="32"/>
        <v>76</v>
      </c>
      <c r="O405">
        <f t="shared" si="33"/>
        <v>-107</v>
      </c>
      <c r="P405">
        <f t="shared" si="34"/>
        <v>1</v>
      </c>
      <c r="Q405" t="s">
        <v>5</v>
      </c>
    </row>
    <row r="406" spans="1:17" x14ac:dyDescent="0.35">
      <c r="A406" t="s">
        <v>12</v>
      </c>
      <c r="B406">
        <v>21</v>
      </c>
      <c r="C406">
        <v>401</v>
      </c>
      <c r="D406">
        <v>313</v>
      </c>
      <c r="E406">
        <v>88</v>
      </c>
      <c r="F406">
        <v>1</v>
      </c>
      <c r="G406">
        <v>10</v>
      </c>
      <c r="H406">
        <v>208</v>
      </c>
      <c r="I406">
        <v>140</v>
      </c>
      <c r="J406">
        <v>68</v>
      </c>
      <c r="K406">
        <v>2</v>
      </c>
      <c r="L406">
        <f t="shared" si="30"/>
        <v>11</v>
      </c>
      <c r="M406">
        <f t="shared" si="31"/>
        <v>193</v>
      </c>
      <c r="N406">
        <f t="shared" si="32"/>
        <v>173</v>
      </c>
      <c r="O406">
        <f t="shared" si="33"/>
        <v>20</v>
      </c>
      <c r="P406">
        <f t="shared" si="34"/>
        <v>-1</v>
      </c>
      <c r="Q406" t="s">
        <v>7</v>
      </c>
    </row>
    <row r="407" spans="1:17" x14ac:dyDescent="0.35">
      <c r="A407" t="s">
        <v>11</v>
      </c>
      <c r="B407">
        <v>21</v>
      </c>
      <c r="C407">
        <v>298</v>
      </c>
      <c r="D407">
        <v>208</v>
      </c>
      <c r="E407">
        <v>90</v>
      </c>
      <c r="F407">
        <v>1</v>
      </c>
      <c r="G407">
        <v>25</v>
      </c>
      <c r="H407">
        <v>356</v>
      </c>
      <c r="I407">
        <v>287</v>
      </c>
      <c r="J407">
        <v>69</v>
      </c>
      <c r="K407">
        <v>5</v>
      </c>
      <c r="L407">
        <f t="shared" si="30"/>
        <v>-4</v>
      </c>
      <c r="M407">
        <f t="shared" si="31"/>
        <v>-58</v>
      </c>
      <c r="N407">
        <f t="shared" si="32"/>
        <v>-79</v>
      </c>
      <c r="O407">
        <f t="shared" si="33"/>
        <v>21</v>
      </c>
      <c r="P407">
        <f t="shared" si="34"/>
        <v>-4</v>
      </c>
      <c r="Q407" t="s">
        <v>7</v>
      </c>
    </row>
    <row r="408" spans="1:17" x14ac:dyDescent="0.35">
      <c r="A408" t="s">
        <v>11</v>
      </c>
      <c r="B408">
        <v>17</v>
      </c>
      <c r="C408">
        <v>275</v>
      </c>
      <c r="D408">
        <v>143</v>
      </c>
      <c r="E408">
        <v>132</v>
      </c>
      <c r="F408">
        <v>2</v>
      </c>
      <c r="G408">
        <v>23</v>
      </c>
      <c r="H408">
        <v>353</v>
      </c>
      <c r="I408">
        <v>286</v>
      </c>
      <c r="J408">
        <v>67</v>
      </c>
      <c r="K408">
        <v>1</v>
      </c>
      <c r="L408">
        <f t="shared" si="30"/>
        <v>-6</v>
      </c>
      <c r="M408">
        <f t="shared" si="31"/>
        <v>-78</v>
      </c>
      <c r="N408">
        <f t="shared" si="32"/>
        <v>-143</v>
      </c>
      <c r="O408">
        <f t="shared" si="33"/>
        <v>65</v>
      </c>
      <c r="P408">
        <f t="shared" si="34"/>
        <v>1</v>
      </c>
      <c r="Q408" t="s">
        <v>5</v>
      </c>
    </row>
    <row r="409" spans="1:17" x14ac:dyDescent="0.35">
      <c r="A409" t="s">
        <v>11</v>
      </c>
      <c r="B409">
        <v>22</v>
      </c>
      <c r="C409">
        <v>349</v>
      </c>
      <c r="D409">
        <v>183</v>
      </c>
      <c r="E409">
        <v>166</v>
      </c>
      <c r="F409">
        <v>1</v>
      </c>
      <c r="G409">
        <v>21</v>
      </c>
      <c r="H409">
        <v>343</v>
      </c>
      <c r="I409">
        <v>216</v>
      </c>
      <c r="J409">
        <v>127</v>
      </c>
      <c r="K409">
        <v>3</v>
      </c>
      <c r="L409">
        <f t="shared" si="30"/>
        <v>1</v>
      </c>
      <c r="M409">
        <f t="shared" si="31"/>
        <v>6</v>
      </c>
      <c r="N409">
        <f t="shared" si="32"/>
        <v>-33</v>
      </c>
      <c r="O409">
        <f t="shared" si="33"/>
        <v>39</v>
      </c>
      <c r="P409">
        <f t="shared" si="34"/>
        <v>-2</v>
      </c>
      <c r="Q409" t="s">
        <v>7</v>
      </c>
    </row>
    <row r="410" spans="1:17" x14ac:dyDescent="0.35">
      <c r="A410" t="s">
        <v>11</v>
      </c>
      <c r="B410">
        <v>23</v>
      </c>
      <c r="C410">
        <v>377</v>
      </c>
      <c r="D410">
        <v>275</v>
      </c>
      <c r="E410">
        <v>102</v>
      </c>
      <c r="F410">
        <v>0</v>
      </c>
      <c r="G410">
        <v>17</v>
      </c>
      <c r="H410">
        <v>397</v>
      </c>
      <c r="I410">
        <v>248</v>
      </c>
      <c r="J410">
        <v>149</v>
      </c>
      <c r="K410">
        <v>1</v>
      </c>
      <c r="L410">
        <f t="shared" si="30"/>
        <v>6</v>
      </c>
      <c r="M410">
        <f t="shared" si="31"/>
        <v>-20</v>
      </c>
      <c r="N410">
        <f t="shared" si="32"/>
        <v>27</v>
      </c>
      <c r="O410">
        <f t="shared" si="33"/>
        <v>-47</v>
      </c>
      <c r="P410">
        <f t="shared" si="34"/>
        <v>-1</v>
      </c>
      <c r="Q410" t="s">
        <v>7</v>
      </c>
    </row>
    <row r="411" spans="1:17" x14ac:dyDescent="0.35">
      <c r="A411" t="s">
        <v>12</v>
      </c>
      <c r="B411">
        <v>27</v>
      </c>
      <c r="C411">
        <v>348</v>
      </c>
      <c r="D411">
        <v>259</v>
      </c>
      <c r="E411">
        <v>89</v>
      </c>
      <c r="F411">
        <v>3</v>
      </c>
      <c r="G411">
        <v>14</v>
      </c>
      <c r="H411">
        <v>279</v>
      </c>
      <c r="I411">
        <v>184</v>
      </c>
      <c r="J411">
        <v>95</v>
      </c>
      <c r="K411">
        <v>0</v>
      </c>
      <c r="L411">
        <f t="shared" si="30"/>
        <v>13</v>
      </c>
      <c r="M411">
        <f t="shared" si="31"/>
        <v>69</v>
      </c>
      <c r="N411">
        <f t="shared" si="32"/>
        <v>75</v>
      </c>
      <c r="O411">
        <f t="shared" si="33"/>
        <v>-6</v>
      </c>
      <c r="P411">
        <f t="shared" si="34"/>
        <v>3</v>
      </c>
      <c r="Q411" t="s">
        <v>5</v>
      </c>
    </row>
    <row r="412" spans="1:17" x14ac:dyDescent="0.35">
      <c r="A412" t="s">
        <v>11</v>
      </c>
      <c r="B412">
        <v>26</v>
      </c>
      <c r="C412">
        <v>399</v>
      </c>
      <c r="D412">
        <v>270</v>
      </c>
      <c r="E412">
        <v>129</v>
      </c>
      <c r="F412">
        <v>0</v>
      </c>
      <c r="G412">
        <v>20</v>
      </c>
      <c r="H412">
        <v>382</v>
      </c>
      <c r="I412">
        <v>326</v>
      </c>
      <c r="J412">
        <v>56</v>
      </c>
      <c r="K412">
        <v>1</v>
      </c>
      <c r="L412">
        <f t="shared" si="30"/>
        <v>6</v>
      </c>
      <c r="M412">
        <f t="shared" si="31"/>
        <v>17</v>
      </c>
      <c r="N412">
        <f t="shared" si="32"/>
        <v>-56</v>
      </c>
      <c r="O412">
        <f t="shared" si="33"/>
        <v>73</v>
      </c>
      <c r="P412">
        <f t="shared" si="34"/>
        <v>-1</v>
      </c>
      <c r="Q412" t="s">
        <v>5</v>
      </c>
    </row>
    <row r="413" spans="1:17" x14ac:dyDescent="0.35">
      <c r="A413" t="s">
        <v>11</v>
      </c>
      <c r="B413">
        <v>21</v>
      </c>
      <c r="C413">
        <v>413</v>
      </c>
      <c r="D413">
        <v>240</v>
      </c>
      <c r="E413">
        <v>173</v>
      </c>
      <c r="F413">
        <v>1</v>
      </c>
      <c r="G413">
        <v>21</v>
      </c>
      <c r="H413">
        <v>248</v>
      </c>
      <c r="I413">
        <v>127</v>
      </c>
      <c r="J413">
        <v>121</v>
      </c>
      <c r="K413">
        <v>2</v>
      </c>
      <c r="L413">
        <f t="shared" si="30"/>
        <v>0</v>
      </c>
      <c r="M413">
        <f t="shared" si="31"/>
        <v>165</v>
      </c>
      <c r="N413">
        <f t="shared" si="32"/>
        <v>113</v>
      </c>
      <c r="O413">
        <f t="shared" si="33"/>
        <v>52</v>
      </c>
      <c r="P413">
        <f t="shared" si="34"/>
        <v>-1</v>
      </c>
      <c r="Q413" t="s">
        <v>7</v>
      </c>
    </row>
    <row r="414" spans="1:17" x14ac:dyDescent="0.35">
      <c r="A414" t="s">
        <v>11</v>
      </c>
      <c r="B414">
        <v>21</v>
      </c>
      <c r="C414">
        <v>428</v>
      </c>
      <c r="D414">
        <v>274</v>
      </c>
      <c r="E414">
        <v>154</v>
      </c>
      <c r="F414">
        <v>1</v>
      </c>
      <c r="G414">
        <v>28</v>
      </c>
      <c r="H414">
        <v>414</v>
      </c>
      <c r="I414">
        <v>269</v>
      </c>
      <c r="J414">
        <v>145</v>
      </c>
      <c r="K414">
        <v>3</v>
      </c>
      <c r="L414">
        <f t="shared" si="30"/>
        <v>-7</v>
      </c>
      <c r="M414">
        <f t="shared" si="31"/>
        <v>14</v>
      </c>
      <c r="N414">
        <f t="shared" si="32"/>
        <v>5</v>
      </c>
      <c r="O414">
        <f t="shared" si="33"/>
        <v>9</v>
      </c>
      <c r="P414">
        <f t="shared" si="34"/>
        <v>-2</v>
      </c>
      <c r="Q414" t="s">
        <v>7</v>
      </c>
    </row>
    <row r="415" spans="1:17" x14ac:dyDescent="0.35">
      <c r="A415" t="s">
        <v>11</v>
      </c>
      <c r="B415">
        <v>24</v>
      </c>
      <c r="C415">
        <v>365</v>
      </c>
      <c r="D415">
        <v>326</v>
      </c>
      <c r="E415">
        <v>39</v>
      </c>
      <c r="F415">
        <v>1</v>
      </c>
      <c r="G415">
        <v>22</v>
      </c>
      <c r="H415">
        <v>403</v>
      </c>
      <c r="I415">
        <v>306</v>
      </c>
      <c r="J415">
        <v>97</v>
      </c>
      <c r="K415">
        <v>1</v>
      </c>
      <c r="L415">
        <f t="shared" si="30"/>
        <v>2</v>
      </c>
      <c r="M415">
        <f t="shared" si="31"/>
        <v>-38</v>
      </c>
      <c r="N415">
        <f t="shared" si="32"/>
        <v>20</v>
      </c>
      <c r="O415">
        <f t="shared" si="33"/>
        <v>-58</v>
      </c>
      <c r="P415">
        <f t="shared" si="34"/>
        <v>0</v>
      </c>
      <c r="Q415" t="s">
        <v>5</v>
      </c>
    </row>
    <row r="416" spans="1:17" x14ac:dyDescent="0.35">
      <c r="A416" t="s">
        <v>11</v>
      </c>
      <c r="B416">
        <v>13</v>
      </c>
      <c r="C416">
        <v>184</v>
      </c>
      <c r="D416">
        <v>139</v>
      </c>
      <c r="E416">
        <v>45</v>
      </c>
      <c r="F416">
        <v>0</v>
      </c>
      <c r="G416">
        <v>24</v>
      </c>
      <c r="H416">
        <v>442</v>
      </c>
      <c r="I416">
        <v>283</v>
      </c>
      <c r="J416">
        <v>159</v>
      </c>
      <c r="K416">
        <v>0</v>
      </c>
      <c r="L416">
        <f t="shared" si="30"/>
        <v>-11</v>
      </c>
      <c r="M416">
        <f t="shared" si="31"/>
        <v>-258</v>
      </c>
      <c r="N416">
        <f t="shared" si="32"/>
        <v>-144</v>
      </c>
      <c r="O416">
        <f t="shared" si="33"/>
        <v>-114</v>
      </c>
      <c r="P416">
        <f t="shared" si="34"/>
        <v>0</v>
      </c>
      <c r="Q416" t="s">
        <v>5</v>
      </c>
    </row>
    <row r="417" spans="1:17" x14ac:dyDescent="0.35">
      <c r="A417" t="s">
        <v>12</v>
      </c>
      <c r="B417">
        <v>19</v>
      </c>
      <c r="C417">
        <v>318</v>
      </c>
      <c r="D417">
        <v>239</v>
      </c>
      <c r="E417">
        <v>79</v>
      </c>
      <c r="F417">
        <v>0</v>
      </c>
      <c r="G417">
        <v>15</v>
      </c>
      <c r="H417">
        <v>310</v>
      </c>
      <c r="I417">
        <v>151</v>
      </c>
      <c r="J417">
        <v>159</v>
      </c>
      <c r="K417">
        <v>3</v>
      </c>
      <c r="L417">
        <f t="shared" si="30"/>
        <v>4</v>
      </c>
      <c r="M417">
        <f t="shared" si="31"/>
        <v>8</v>
      </c>
      <c r="N417">
        <f t="shared" si="32"/>
        <v>88</v>
      </c>
      <c r="O417">
        <f t="shared" si="33"/>
        <v>-80</v>
      </c>
      <c r="P417">
        <f t="shared" si="34"/>
        <v>-3</v>
      </c>
      <c r="Q417" t="s">
        <v>7</v>
      </c>
    </row>
    <row r="418" spans="1:17" x14ac:dyDescent="0.35">
      <c r="A418" t="s">
        <v>11</v>
      </c>
      <c r="B418">
        <v>18</v>
      </c>
      <c r="C418">
        <v>344</v>
      </c>
      <c r="D418">
        <v>249</v>
      </c>
      <c r="E418">
        <v>95</v>
      </c>
      <c r="F418">
        <v>0</v>
      </c>
      <c r="G418">
        <v>19</v>
      </c>
      <c r="H418">
        <v>357</v>
      </c>
      <c r="I418">
        <v>259</v>
      </c>
      <c r="J418">
        <v>98</v>
      </c>
      <c r="K418">
        <v>0</v>
      </c>
      <c r="L418">
        <f t="shared" si="30"/>
        <v>-1</v>
      </c>
      <c r="M418">
        <f t="shared" si="31"/>
        <v>-13</v>
      </c>
      <c r="N418">
        <f t="shared" si="32"/>
        <v>-10</v>
      </c>
      <c r="O418">
        <f t="shared" si="33"/>
        <v>-3</v>
      </c>
      <c r="P418">
        <f t="shared" si="34"/>
        <v>0</v>
      </c>
      <c r="Q418" t="s">
        <v>5</v>
      </c>
    </row>
    <row r="419" spans="1:17" x14ac:dyDescent="0.35">
      <c r="A419" t="s">
        <v>12</v>
      </c>
      <c r="B419">
        <v>16</v>
      </c>
      <c r="C419">
        <v>238</v>
      </c>
      <c r="D419">
        <v>168</v>
      </c>
      <c r="E419">
        <v>70</v>
      </c>
      <c r="F419">
        <v>1</v>
      </c>
      <c r="G419">
        <v>18</v>
      </c>
      <c r="H419">
        <v>477</v>
      </c>
      <c r="I419">
        <v>380</v>
      </c>
      <c r="J419">
        <v>97</v>
      </c>
      <c r="K419">
        <v>1</v>
      </c>
      <c r="L419">
        <f t="shared" si="30"/>
        <v>-2</v>
      </c>
      <c r="M419">
        <f t="shared" si="31"/>
        <v>-239</v>
      </c>
      <c r="N419">
        <f t="shared" si="32"/>
        <v>-212</v>
      </c>
      <c r="O419">
        <f t="shared" si="33"/>
        <v>-27</v>
      </c>
      <c r="P419">
        <f t="shared" si="34"/>
        <v>0</v>
      </c>
      <c r="Q419" t="s">
        <v>7</v>
      </c>
    </row>
    <row r="420" spans="1:17" x14ac:dyDescent="0.35">
      <c r="A420" t="s">
        <v>11</v>
      </c>
      <c r="B420">
        <v>19</v>
      </c>
      <c r="C420">
        <v>322</v>
      </c>
      <c r="D420">
        <v>243</v>
      </c>
      <c r="E420">
        <v>79</v>
      </c>
      <c r="F420">
        <v>0</v>
      </c>
      <c r="G420">
        <v>20</v>
      </c>
      <c r="H420">
        <v>335</v>
      </c>
      <c r="I420">
        <v>240</v>
      </c>
      <c r="J420">
        <v>95</v>
      </c>
      <c r="K420">
        <v>3</v>
      </c>
      <c r="L420">
        <f t="shared" si="30"/>
        <v>-1</v>
      </c>
      <c r="M420">
        <f t="shared" si="31"/>
        <v>-13</v>
      </c>
      <c r="N420">
        <f t="shared" si="32"/>
        <v>3</v>
      </c>
      <c r="O420">
        <f t="shared" si="33"/>
        <v>-16</v>
      </c>
      <c r="P420">
        <f t="shared" si="34"/>
        <v>-3</v>
      </c>
      <c r="Q420" t="s">
        <v>7</v>
      </c>
    </row>
    <row r="421" spans="1:17" x14ac:dyDescent="0.35">
      <c r="A421" t="s">
        <v>11</v>
      </c>
      <c r="B421">
        <v>20</v>
      </c>
      <c r="C421">
        <v>344</v>
      </c>
      <c r="D421">
        <v>260</v>
      </c>
      <c r="E421">
        <v>84</v>
      </c>
      <c r="F421">
        <v>0</v>
      </c>
      <c r="G421">
        <v>24</v>
      </c>
      <c r="H421">
        <v>368</v>
      </c>
      <c r="I421">
        <v>221</v>
      </c>
      <c r="J421">
        <v>147</v>
      </c>
      <c r="K421">
        <v>0</v>
      </c>
      <c r="L421">
        <f t="shared" si="30"/>
        <v>-4</v>
      </c>
      <c r="M421">
        <f t="shared" si="31"/>
        <v>-24</v>
      </c>
      <c r="N421">
        <f t="shared" si="32"/>
        <v>39</v>
      </c>
      <c r="O421">
        <f t="shared" si="33"/>
        <v>-63</v>
      </c>
      <c r="P421">
        <f t="shared" si="34"/>
        <v>0</v>
      </c>
      <c r="Q421" t="s">
        <v>5</v>
      </c>
    </row>
    <row r="422" spans="1:17" x14ac:dyDescent="0.35">
      <c r="A422" t="s">
        <v>11</v>
      </c>
      <c r="B422">
        <v>17</v>
      </c>
      <c r="C422">
        <v>354</v>
      </c>
      <c r="D422">
        <v>276</v>
      </c>
      <c r="E422">
        <v>78</v>
      </c>
      <c r="F422">
        <v>3</v>
      </c>
      <c r="G422">
        <v>24</v>
      </c>
      <c r="H422">
        <v>444</v>
      </c>
      <c r="I422">
        <v>226</v>
      </c>
      <c r="J422">
        <v>218</v>
      </c>
      <c r="K422">
        <v>2</v>
      </c>
      <c r="L422">
        <f t="shared" si="30"/>
        <v>-7</v>
      </c>
      <c r="M422">
        <f t="shared" si="31"/>
        <v>-90</v>
      </c>
      <c r="N422">
        <f t="shared" si="32"/>
        <v>50</v>
      </c>
      <c r="O422">
        <f t="shared" si="33"/>
        <v>-140</v>
      </c>
      <c r="P422">
        <f t="shared" si="34"/>
        <v>1</v>
      </c>
      <c r="Q422" t="s">
        <v>5</v>
      </c>
    </row>
    <row r="423" spans="1:17" x14ac:dyDescent="0.35">
      <c r="A423" t="s">
        <v>11</v>
      </c>
      <c r="B423">
        <v>27</v>
      </c>
      <c r="C423">
        <v>464</v>
      </c>
      <c r="D423">
        <v>376</v>
      </c>
      <c r="E423">
        <v>88</v>
      </c>
      <c r="F423">
        <v>1</v>
      </c>
      <c r="G423">
        <v>36</v>
      </c>
      <c r="H423">
        <v>518</v>
      </c>
      <c r="I423">
        <v>490</v>
      </c>
      <c r="J423">
        <v>28</v>
      </c>
      <c r="K423">
        <v>4</v>
      </c>
      <c r="L423">
        <f t="shared" si="30"/>
        <v>-9</v>
      </c>
      <c r="M423">
        <f t="shared" si="31"/>
        <v>-54</v>
      </c>
      <c r="N423">
        <f t="shared" si="32"/>
        <v>-114</v>
      </c>
      <c r="O423">
        <f t="shared" si="33"/>
        <v>60</v>
      </c>
      <c r="P423">
        <f t="shared" si="34"/>
        <v>-3</v>
      </c>
      <c r="Q423" t="s">
        <v>7</v>
      </c>
    </row>
    <row r="424" spans="1:17" x14ac:dyDescent="0.35">
      <c r="A424" t="s">
        <v>11</v>
      </c>
      <c r="B424">
        <v>23</v>
      </c>
      <c r="C424">
        <v>369</v>
      </c>
      <c r="D424">
        <v>252</v>
      </c>
      <c r="E424">
        <v>117</v>
      </c>
      <c r="F424">
        <v>1</v>
      </c>
      <c r="G424">
        <v>21</v>
      </c>
      <c r="H424">
        <v>471</v>
      </c>
      <c r="I424">
        <v>252</v>
      </c>
      <c r="J424">
        <v>219</v>
      </c>
      <c r="K424">
        <v>2</v>
      </c>
      <c r="L424">
        <f t="shared" si="30"/>
        <v>2</v>
      </c>
      <c r="M424">
        <f t="shared" si="31"/>
        <v>-102</v>
      </c>
      <c r="N424">
        <f t="shared" si="32"/>
        <v>0</v>
      </c>
      <c r="O424">
        <f t="shared" si="33"/>
        <v>-102</v>
      </c>
      <c r="P424">
        <f t="shared" si="34"/>
        <v>-1</v>
      </c>
      <c r="Q424" t="s">
        <v>5</v>
      </c>
    </row>
    <row r="425" spans="1:17" x14ac:dyDescent="0.35">
      <c r="A425" t="s">
        <v>12</v>
      </c>
      <c r="B425">
        <v>12</v>
      </c>
      <c r="C425">
        <v>200</v>
      </c>
      <c r="D425">
        <v>179</v>
      </c>
      <c r="E425">
        <v>21</v>
      </c>
      <c r="F425">
        <v>3</v>
      </c>
      <c r="G425">
        <v>31</v>
      </c>
      <c r="H425">
        <v>643</v>
      </c>
      <c r="I425">
        <v>378</v>
      </c>
      <c r="J425">
        <v>265</v>
      </c>
      <c r="K425">
        <v>0</v>
      </c>
      <c r="L425">
        <f t="shared" si="30"/>
        <v>-19</v>
      </c>
      <c r="M425">
        <f t="shared" si="31"/>
        <v>-443</v>
      </c>
      <c r="N425">
        <f t="shared" si="32"/>
        <v>-199</v>
      </c>
      <c r="O425">
        <f t="shared" si="33"/>
        <v>-244</v>
      </c>
      <c r="P425">
        <f t="shared" si="34"/>
        <v>3</v>
      </c>
      <c r="Q425" t="s">
        <v>5</v>
      </c>
    </row>
    <row r="426" spans="1:17" x14ac:dyDescent="0.35">
      <c r="A426" t="s">
        <v>12</v>
      </c>
      <c r="B426">
        <v>16</v>
      </c>
      <c r="C426">
        <v>253</v>
      </c>
      <c r="D426">
        <v>155</v>
      </c>
      <c r="E426">
        <v>98</v>
      </c>
      <c r="F426">
        <v>1</v>
      </c>
      <c r="G426">
        <v>21</v>
      </c>
      <c r="H426">
        <v>371</v>
      </c>
      <c r="I426">
        <v>153</v>
      </c>
      <c r="J426">
        <v>218</v>
      </c>
      <c r="K426">
        <v>1</v>
      </c>
      <c r="L426">
        <f t="shared" si="30"/>
        <v>-5</v>
      </c>
      <c r="M426">
        <f t="shared" si="31"/>
        <v>-118</v>
      </c>
      <c r="N426">
        <f t="shared" si="32"/>
        <v>2</v>
      </c>
      <c r="O426">
        <f t="shared" si="33"/>
        <v>-120</v>
      </c>
      <c r="P426">
        <f t="shared" si="34"/>
        <v>0</v>
      </c>
      <c r="Q426" t="s">
        <v>5</v>
      </c>
    </row>
    <row r="427" spans="1:17" x14ac:dyDescent="0.35">
      <c r="A427" t="s">
        <v>11</v>
      </c>
      <c r="B427">
        <v>23</v>
      </c>
      <c r="C427">
        <v>370</v>
      </c>
      <c r="D427">
        <v>242</v>
      </c>
      <c r="E427">
        <v>128</v>
      </c>
      <c r="F427">
        <v>4</v>
      </c>
      <c r="G427">
        <v>17</v>
      </c>
      <c r="H427">
        <v>223</v>
      </c>
      <c r="I427">
        <v>155</v>
      </c>
      <c r="J427">
        <v>68</v>
      </c>
      <c r="K427">
        <v>1</v>
      </c>
      <c r="L427">
        <f t="shared" si="30"/>
        <v>6</v>
      </c>
      <c r="M427">
        <f t="shared" si="31"/>
        <v>147</v>
      </c>
      <c r="N427">
        <f t="shared" si="32"/>
        <v>87</v>
      </c>
      <c r="O427">
        <f t="shared" si="33"/>
        <v>60</v>
      </c>
      <c r="P427">
        <f t="shared" si="34"/>
        <v>3</v>
      </c>
      <c r="Q427" t="s">
        <v>7</v>
      </c>
    </row>
    <row r="428" spans="1:17" x14ac:dyDescent="0.35">
      <c r="A428" t="s">
        <v>12</v>
      </c>
      <c r="B428">
        <v>26</v>
      </c>
      <c r="C428">
        <v>447</v>
      </c>
      <c r="D428">
        <v>325</v>
      </c>
      <c r="E428">
        <v>122</v>
      </c>
      <c r="F428">
        <v>2</v>
      </c>
      <c r="G428">
        <v>19</v>
      </c>
      <c r="H428">
        <v>400</v>
      </c>
      <c r="I428">
        <v>292</v>
      </c>
      <c r="J428">
        <v>108</v>
      </c>
      <c r="K428">
        <v>3</v>
      </c>
      <c r="L428">
        <f t="shared" si="30"/>
        <v>7</v>
      </c>
      <c r="M428">
        <f t="shared" si="31"/>
        <v>47</v>
      </c>
      <c r="N428">
        <f t="shared" si="32"/>
        <v>33</v>
      </c>
      <c r="O428">
        <f t="shared" si="33"/>
        <v>14</v>
      </c>
      <c r="P428">
        <f t="shared" si="34"/>
        <v>-1</v>
      </c>
      <c r="Q428" t="s">
        <v>7</v>
      </c>
    </row>
    <row r="429" spans="1:17" x14ac:dyDescent="0.35">
      <c r="A429" t="s">
        <v>12</v>
      </c>
      <c r="B429">
        <v>13</v>
      </c>
      <c r="C429">
        <v>230</v>
      </c>
      <c r="D429">
        <v>144</v>
      </c>
      <c r="E429">
        <v>86</v>
      </c>
      <c r="F429">
        <v>2</v>
      </c>
      <c r="G429">
        <v>21</v>
      </c>
      <c r="H429">
        <v>364</v>
      </c>
      <c r="I429">
        <v>189</v>
      </c>
      <c r="J429">
        <v>175</v>
      </c>
      <c r="K429">
        <v>4</v>
      </c>
      <c r="L429">
        <f t="shared" si="30"/>
        <v>-8</v>
      </c>
      <c r="M429">
        <f t="shared" si="31"/>
        <v>-134</v>
      </c>
      <c r="N429">
        <f t="shared" si="32"/>
        <v>-45</v>
      </c>
      <c r="O429">
        <f t="shared" si="33"/>
        <v>-89</v>
      </c>
      <c r="P429">
        <f t="shared" si="34"/>
        <v>-2</v>
      </c>
      <c r="Q429" t="s">
        <v>7</v>
      </c>
    </row>
    <row r="430" spans="1:17" x14ac:dyDescent="0.35">
      <c r="A430" t="s">
        <v>11</v>
      </c>
      <c r="B430">
        <v>21</v>
      </c>
      <c r="C430">
        <v>339</v>
      </c>
      <c r="D430">
        <v>216</v>
      </c>
      <c r="E430">
        <v>123</v>
      </c>
      <c r="F430">
        <v>0</v>
      </c>
      <c r="G430">
        <v>19</v>
      </c>
      <c r="H430">
        <v>346</v>
      </c>
      <c r="I430">
        <v>244</v>
      </c>
      <c r="J430">
        <v>102</v>
      </c>
      <c r="K430">
        <v>3</v>
      </c>
      <c r="L430">
        <f t="shared" si="30"/>
        <v>2</v>
      </c>
      <c r="M430">
        <f t="shared" si="31"/>
        <v>-7</v>
      </c>
      <c r="N430">
        <f t="shared" si="32"/>
        <v>-28</v>
      </c>
      <c r="O430">
        <f t="shared" si="33"/>
        <v>21</v>
      </c>
      <c r="P430">
        <f t="shared" si="34"/>
        <v>-3</v>
      </c>
      <c r="Q430" t="s">
        <v>7</v>
      </c>
    </row>
    <row r="431" spans="1:17" x14ac:dyDescent="0.35">
      <c r="A431" t="s">
        <v>12</v>
      </c>
      <c r="B431">
        <v>20</v>
      </c>
      <c r="C431">
        <v>301</v>
      </c>
      <c r="D431">
        <v>192</v>
      </c>
      <c r="E431">
        <v>109</v>
      </c>
      <c r="F431">
        <v>1</v>
      </c>
      <c r="G431">
        <v>25</v>
      </c>
      <c r="H431">
        <v>467</v>
      </c>
      <c r="I431">
        <v>222</v>
      </c>
      <c r="J431">
        <v>245</v>
      </c>
      <c r="K431">
        <v>0</v>
      </c>
      <c r="L431">
        <f t="shared" si="30"/>
        <v>-5</v>
      </c>
      <c r="M431">
        <f t="shared" si="31"/>
        <v>-166</v>
      </c>
      <c r="N431">
        <f t="shared" si="32"/>
        <v>-30</v>
      </c>
      <c r="O431">
        <f t="shared" si="33"/>
        <v>-136</v>
      </c>
      <c r="P431">
        <f t="shared" si="34"/>
        <v>1</v>
      </c>
      <c r="Q431" t="s">
        <v>5</v>
      </c>
    </row>
    <row r="432" spans="1:17" x14ac:dyDescent="0.35">
      <c r="A432" t="s">
        <v>12</v>
      </c>
      <c r="B432">
        <v>19</v>
      </c>
      <c r="C432">
        <v>354</v>
      </c>
      <c r="D432">
        <v>69</v>
      </c>
      <c r="E432">
        <v>285</v>
      </c>
      <c r="F432">
        <v>0</v>
      </c>
      <c r="G432">
        <v>21</v>
      </c>
      <c r="H432">
        <v>358</v>
      </c>
      <c r="I432">
        <v>296</v>
      </c>
      <c r="J432">
        <v>62</v>
      </c>
      <c r="K432">
        <v>3</v>
      </c>
      <c r="L432">
        <f t="shared" si="30"/>
        <v>-2</v>
      </c>
      <c r="M432">
        <f t="shared" si="31"/>
        <v>-4</v>
      </c>
      <c r="N432">
        <f t="shared" si="32"/>
        <v>-227</v>
      </c>
      <c r="O432">
        <f t="shared" si="33"/>
        <v>223</v>
      </c>
      <c r="P432">
        <f t="shared" si="34"/>
        <v>-3</v>
      </c>
      <c r="Q432" t="s">
        <v>7</v>
      </c>
    </row>
    <row r="433" spans="1:17" x14ac:dyDescent="0.35">
      <c r="A433" t="s">
        <v>11</v>
      </c>
      <c r="B433">
        <v>25</v>
      </c>
      <c r="C433">
        <v>350</v>
      </c>
      <c r="D433">
        <v>244</v>
      </c>
      <c r="E433">
        <v>106</v>
      </c>
      <c r="F433">
        <v>0</v>
      </c>
      <c r="G433">
        <v>18</v>
      </c>
      <c r="H433">
        <v>234</v>
      </c>
      <c r="I433">
        <v>133</v>
      </c>
      <c r="J433">
        <v>101</v>
      </c>
      <c r="K433">
        <v>0</v>
      </c>
      <c r="L433">
        <f t="shared" si="30"/>
        <v>7</v>
      </c>
      <c r="M433">
        <f t="shared" si="31"/>
        <v>116</v>
      </c>
      <c r="N433">
        <f t="shared" si="32"/>
        <v>111</v>
      </c>
      <c r="O433">
        <f t="shared" si="33"/>
        <v>5</v>
      </c>
      <c r="P433">
        <f t="shared" si="34"/>
        <v>0</v>
      </c>
      <c r="Q433" t="s">
        <v>7</v>
      </c>
    </row>
    <row r="434" spans="1:17" x14ac:dyDescent="0.35">
      <c r="A434" t="s">
        <v>11</v>
      </c>
      <c r="B434">
        <v>12</v>
      </c>
      <c r="C434">
        <v>230</v>
      </c>
      <c r="D434">
        <v>100</v>
      </c>
      <c r="E434">
        <v>130</v>
      </c>
      <c r="F434">
        <v>3</v>
      </c>
      <c r="G434">
        <v>24</v>
      </c>
      <c r="H434">
        <v>388</v>
      </c>
      <c r="I434">
        <v>156</v>
      </c>
      <c r="J434">
        <v>232</v>
      </c>
      <c r="K434">
        <v>1</v>
      </c>
      <c r="L434">
        <f t="shared" si="30"/>
        <v>-12</v>
      </c>
      <c r="M434">
        <f t="shared" si="31"/>
        <v>-158</v>
      </c>
      <c r="N434">
        <f t="shared" si="32"/>
        <v>-56</v>
      </c>
      <c r="O434">
        <f t="shared" si="33"/>
        <v>-102</v>
      </c>
      <c r="P434">
        <f t="shared" si="34"/>
        <v>2</v>
      </c>
      <c r="Q434" t="s">
        <v>5</v>
      </c>
    </row>
    <row r="435" spans="1:17" x14ac:dyDescent="0.35">
      <c r="A435" t="s">
        <v>12</v>
      </c>
      <c r="B435">
        <v>19</v>
      </c>
      <c r="C435">
        <v>397</v>
      </c>
      <c r="D435">
        <v>275</v>
      </c>
      <c r="E435">
        <v>122</v>
      </c>
      <c r="F435">
        <v>2</v>
      </c>
      <c r="G435">
        <v>25</v>
      </c>
      <c r="H435">
        <v>400</v>
      </c>
      <c r="I435">
        <v>279</v>
      </c>
      <c r="J435">
        <v>121</v>
      </c>
      <c r="K435">
        <v>0</v>
      </c>
      <c r="L435">
        <f t="shared" si="30"/>
        <v>-6</v>
      </c>
      <c r="M435">
        <f t="shared" si="31"/>
        <v>-3</v>
      </c>
      <c r="N435">
        <f t="shared" si="32"/>
        <v>-4</v>
      </c>
      <c r="O435">
        <f t="shared" si="33"/>
        <v>1</v>
      </c>
      <c r="P435">
        <f t="shared" si="34"/>
        <v>2</v>
      </c>
      <c r="Q435" t="s">
        <v>5</v>
      </c>
    </row>
    <row r="436" spans="1:17" x14ac:dyDescent="0.35">
      <c r="A436" t="s">
        <v>11</v>
      </c>
      <c r="B436">
        <v>18</v>
      </c>
      <c r="C436">
        <v>271</v>
      </c>
      <c r="D436">
        <v>185</v>
      </c>
      <c r="E436">
        <v>86</v>
      </c>
      <c r="F436">
        <v>1</v>
      </c>
      <c r="G436">
        <v>17</v>
      </c>
      <c r="H436">
        <v>309</v>
      </c>
      <c r="I436">
        <v>236</v>
      </c>
      <c r="J436">
        <v>73</v>
      </c>
      <c r="K436">
        <v>3</v>
      </c>
      <c r="L436">
        <f t="shared" si="30"/>
        <v>1</v>
      </c>
      <c r="M436">
        <f t="shared" si="31"/>
        <v>-38</v>
      </c>
      <c r="N436">
        <f t="shared" si="32"/>
        <v>-51</v>
      </c>
      <c r="O436">
        <f t="shared" si="33"/>
        <v>13</v>
      </c>
      <c r="P436">
        <f t="shared" si="34"/>
        <v>-2</v>
      </c>
      <c r="Q436" t="s">
        <v>7</v>
      </c>
    </row>
    <row r="437" spans="1:17" x14ac:dyDescent="0.35">
      <c r="A437" t="s">
        <v>12</v>
      </c>
      <c r="B437">
        <v>24</v>
      </c>
      <c r="C437">
        <v>499</v>
      </c>
      <c r="D437">
        <v>355</v>
      </c>
      <c r="E437">
        <v>144</v>
      </c>
      <c r="F437">
        <v>1</v>
      </c>
      <c r="G437">
        <v>17</v>
      </c>
      <c r="H437">
        <v>384</v>
      </c>
      <c r="I437">
        <v>312</v>
      </c>
      <c r="J437">
        <v>72</v>
      </c>
      <c r="K437">
        <v>2</v>
      </c>
      <c r="L437">
        <f t="shared" si="30"/>
        <v>7</v>
      </c>
      <c r="M437">
        <f t="shared" si="31"/>
        <v>115</v>
      </c>
      <c r="N437">
        <f t="shared" si="32"/>
        <v>43</v>
      </c>
      <c r="O437">
        <f t="shared" si="33"/>
        <v>72</v>
      </c>
      <c r="P437">
        <f t="shared" si="34"/>
        <v>-1</v>
      </c>
      <c r="Q437" t="s">
        <v>5</v>
      </c>
    </row>
    <row r="438" spans="1:17" x14ac:dyDescent="0.35">
      <c r="A438" t="s">
        <v>12</v>
      </c>
      <c r="B438">
        <v>22</v>
      </c>
      <c r="C438">
        <v>447</v>
      </c>
      <c r="D438">
        <v>277</v>
      </c>
      <c r="E438">
        <v>170</v>
      </c>
      <c r="F438">
        <v>3</v>
      </c>
      <c r="G438">
        <v>13</v>
      </c>
      <c r="H438">
        <v>299</v>
      </c>
      <c r="I438">
        <v>243</v>
      </c>
      <c r="J438">
        <v>56</v>
      </c>
      <c r="K438">
        <v>0</v>
      </c>
      <c r="L438">
        <f t="shared" si="30"/>
        <v>9</v>
      </c>
      <c r="M438">
        <f t="shared" si="31"/>
        <v>148</v>
      </c>
      <c r="N438">
        <f t="shared" si="32"/>
        <v>34</v>
      </c>
      <c r="O438">
        <f t="shared" si="33"/>
        <v>114</v>
      </c>
      <c r="P438">
        <f t="shared" si="34"/>
        <v>3</v>
      </c>
      <c r="Q438" t="s">
        <v>7</v>
      </c>
    </row>
    <row r="439" spans="1:17" x14ac:dyDescent="0.35">
      <c r="A439" t="s">
        <v>11</v>
      </c>
      <c r="B439">
        <v>17</v>
      </c>
      <c r="C439">
        <v>256</v>
      </c>
      <c r="D439">
        <v>158</v>
      </c>
      <c r="E439">
        <v>98</v>
      </c>
      <c r="F439">
        <v>2</v>
      </c>
      <c r="G439">
        <v>21</v>
      </c>
      <c r="H439">
        <v>295</v>
      </c>
      <c r="I439">
        <v>174</v>
      </c>
      <c r="J439">
        <v>121</v>
      </c>
      <c r="K439">
        <v>4</v>
      </c>
      <c r="L439">
        <f t="shared" si="30"/>
        <v>-4</v>
      </c>
      <c r="M439">
        <f t="shared" si="31"/>
        <v>-39</v>
      </c>
      <c r="N439">
        <f t="shared" si="32"/>
        <v>-16</v>
      </c>
      <c r="O439">
        <f t="shared" si="33"/>
        <v>-23</v>
      </c>
      <c r="P439">
        <f t="shared" si="34"/>
        <v>-2</v>
      </c>
      <c r="Q439" t="s">
        <v>7</v>
      </c>
    </row>
    <row r="440" spans="1:17" x14ac:dyDescent="0.35">
      <c r="A440" t="s">
        <v>11</v>
      </c>
      <c r="B440">
        <v>20</v>
      </c>
      <c r="C440">
        <v>349</v>
      </c>
      <c r="D440">
        <v>295</v>
      </c>
      <c r="E440">
        <v>54</v>
      </c>
      <c r="F440">
        <v>0</v>
      </c>
      <c r="G440">
        <v>17</v>
      </c>
      <c r="H440">
        <v>347</v>
      </c>
      <c r="I440">
        <v>270</v>
      </c>
      <c r="J440">
        <v>77</v>
      </c>
      <c r="K440">
        <v>4</v>
      </c>
      <c r="L440">
        <f t="shared" si="30"/>
        <v>3</v>
      </c>
      <c r="M440">
        <f t="shared" si="31"/>
        <v>2</v>
      </c>
      <c r="N440">
        <f t="shared" si="32"/>
        <v>25</v>
      </c>
      <c r="O440">
        <f t="shared" si="33"/>
        <v>-23</v>
      </c>
      <c r="P440">
        <f t="shared" si="34"/>
        <v>-4</v>
      </c>
      <c r="Q440" t="s">
        <v>7</v>
      </c>
    </row>
    <row r="441" spans="1:17" x14ac:dyDescent="0.35">
      <c r="A441" t="s">
        <v>12</v>
      </c>
      <c r="B441">
        <v>21</v>
      </c>
      <c r="C441">
        <v>283</v>
      </c>
      <c r="D441">
        <v>105</v>
      </c>
      <c r="E441">
        <v>178</v>
      </c>
      <c r="F441">
        <v>1</v>
      </c>
      <c r="G441">
        <v>15</v>
      </c>
      <c r="H441">
        <v>331</v>
      </c>
      <c r="I441">
        <v>157</v>
      </c>
      <c r="J441">
        <v>174</v>
      </c>
      <c r="K441">
        <v>1</v>
      </c>
      <c r="L441">
        <f t="shared" si="30"/>
        <v>6</v>
      </c>
      <c r="M441">
        <f t="shared" si="31"/>
        <v>-48</v>
      </c>
      <c r="N441">
        <f t="shared" si="32"/>
        <v>-52</v>
      </c>
      <c r="O441">
        <f t="shared" si="33"/>
        <v>4</v>
      </c>
      <c r="P441">
        <f t="shared" si="34"/>
        <v>0</v>
      </c>
      <c r="Q441" t="s">
        <v>7</v>
      </c>
    </row>
    <row r="442" spans="1:17" x14ac:dyDescent="0.35">
      <c r="A442" t="s">
        <v>12</v>
      </c>
      <c r="B442">
        <v>14</v>
      </c>
      <c r="C442">
        <v>252</v>
      </c>
      <c r="D442">
        <v>150</v>
      </c>
      <c r="E442">
        <v>102</v>
      </c>
      <c r="F442">
        <v>0</v>
      </c>
      <c r="G442">
        <v>18</v>
      </c>
      <c r="H442">
        <v>313</v>
      </c>
      <c r="I442">
        <v>204</v>
      </c>
      <c r="J442">
        <v>109</v>
      </c>
      <c r="K442">
        <v>1</v>
      </c>
      <c r="L442">
        <f t="shared" si="30"/>
        <v>-4</v>
      </c>
      <c r="M442">
        <f t="shared" si="31"/>
        <v>-61</v>
      </c>
      <c r="N442">
        <f t="shared" si="32"/>
        <v>-54</v>
      </c>
      <c r="O442">
        <f t="shared" si="33"/>
        <v>-7</v>
      </c>
      <c r="P442">
        <f t="shared" si="34"/>
        <v>-1</v>
      </c>
      <c r="Q442" t="s">
        <v>5</v>
      </c>
    </row>
    <row r="443" spans="1:17" x14ac:dyDescent="0.35">
      <c r="A443" t="s">
        <v>11</v>
      </c>
      <c r="B443">
        <v>22</v>
      </c>
      <c r="C443">
        <v>393</v>
      </c>
      <c r="D443">
        <v>322</v>
      </c>
      <c r="E443">
        <v>71</v>
      </c>
      <c r="F443">
        <v>5</v>
      </c>
      <c r="G443">
        <v>25</v>
      </c>
      <c r="H443">
        <v>424</v>
      </c>
      <c r="I443">
        <v>311</v>
      </c>
      <c r="J443">
        <v>113</v>
      </c>
      <c r="K443">
        <v>0</v>
      </c>
      <c r="L443">
        <f t="shared" si="30"/>
        <v>-3</v>
      </c>
      <c r="M443">
        <f t="shared" si="31"/>
        <v>-31</v>
      </c>
      <c r="N443">
        <f t="shared" si="32"/>
        <v>11</v>
      </c>
      <c r="O443">
        <f t="shared" si="33"/>
        <v>-42</v>
      </c>
      <c r="P443">
        <f t="shared" si="34"/>
        <v>5</v>
      </c>
      <c r="Q443" t="s">
        <v>5</v>
      </c>
    </row>
    <row r="444" spans="1:17" x14ac:dyDescent="0.35">
      <c r="A444" t="s">
        <v>12</v>
      </c>
      <c r="B444">
        <v>15</v>
      </c>
      <c r="C444">
        <v>273</v>
      </c>
      <c r="D444">
        <v>231</v>
      </c>
      <c r="E444">
        <v>42</v>
      </c>
      <c r="F444">
        <v>2</v>
      </c>
      <c r="G444">
        <v>16</v>
      </c>
      <c r="H444">
        <v>306</v>
      </c>
      <c r="I444">
        <v>218</v>
      </c>
      <c r="J444">
        <v>88</v>
      </c>
      <c r="K444">
        <v>4</v>
      </c>
      <c r="L444">
        <f t="shared" si="30"/>
        <v>-1</v>
      </c>
      <c r="M444">
        <f t="shared" si="31"/>
        <v>-33</v>
      </c>
      <c r="N444">
        <f t="shared" si="32"/>
        <v>13</v>
      </c>
      <c r="O444">
        <f t="shared" si="33"/>
        <v>-46</v>
      </c>
      <c r="P444">
        <f t="shared" si="34"/>
        <v>-2</v>
      </c>
      <c r="Q444" t="s">
        <v>7</v>
      </c>
    </row>
    <row r="445" spans="1:17" x14ac:dyDescent="0.35">
      <c r="A445" t="s">
        <v>11</v>
      </c>
      <c r="B445">
        <v>16</v>
      </c>
      <c r="C445">
        <v>338</v>
      </c>
      <c r="D445">
        <v>179</v>
      </c>
      <c r="E445">
        <v>159</v>
      </c>
      <c r="F445">
        <v>1</v>
      </c>
      <c r="G445">
        <v>11</v>
      </c>
      <c r="H445">
        <v>244</v>
      </c>
      <c r="I445">
        <v>158</v>
      </c>
      <c r="J445">
        <v>86</v>
      </c>
      <c r="K445">
        <v>2</v>
      </c>
      <c r="L445">
        <f t="shared" si="30"/>
        <v>5</v>
      </c>
      <c r="M445">
        <f t="shared" si="31"/>
        <v>94</v>
      </c>
      <c r="N445">
        <f t="shared" si="32"/>
        <v>21</v>
      </c>
      <c r="O445">
        <f t="shared" si="33"/>
        <v>73</v>
      </c>
      <c r="P445">
        <f t="shared" si="34"/>
        <v>-1</v>
      </c>
      <c r="Q445" t="s">
        <v>7</v>
      </c>
    </row>
    <row r="446" spans="1:17" x14ac:dyDescent="0.35">
      <c r="A446" t="s">
        <v>11</v>
      </c>
      <c r="B446">
        <v>23</v>
      </c>
      <c r="C446">
        <v>400</v>
      </c>
      <c r="D446">
        <v>285</v>
      </c>
      <c r="E446">
        <v>115</v>
      </c>
      <c r="F446">
        <v>2</v>
      </c>
      <c r="G446">
        <v>13</v>
      </c>
      <c r="H446">
        <v>225</v>
      </c>
      <c r="I446">
        <v>171</v>
      </c>
      <c r="J446">
        <v>54</v>
      </c>
      <c r="K446">
        <v>1</v>
      </c>
      <c r="L446">
        <f t="shared" si="30"/>
        <v>10</v>
      </c>
      <c r="M446">
        <f t="shared" si="31"/>
        <v>175</v>
      </c>
      <c r="N446">
        <f t="shared" si="32"/>
        <v>114</v>
      </c>
      <c r="O446">
        <f t="shared" si="33"/>
        <v>61</v>
      </c>
      <c r="P446">
        <f t="shared" si="34"/>
        <v>1</v>
      </c>
      <c r="Q446" t="s">
        <v>7</v>
      </c>
    </row>
    <row r="447" spans="1:17" x14ac:dyDescent="0.35">
      <c r="A447" t="s">
        <v>12</v>
      </c>
      <c r="B447">
        <v>18</v>
      </c>
      <c r="C447">
        <v>278</v>
      </c>
      <c r="D447">
        <v>200</v>
      </c>
      <c r="E447">
        <v>78</v>
      </c>
      <c r="F447">
        <v>0</v>
      </c>
      <c r="G447">
        <v>26</v>
      </c>
      <c r="H447">
        <v>315</v>
      </c>
      <c r="I447">
        <v>169</v>
      </c>
      <c r="J447">
        <v>146</v>
      </c>
      <c r="K447">
        <v>3</v>
      </c>
      <c r="L447">
        <f t="shared" si="30"/>
        <v>-8</v>
      </c>
      <c r="M447">
        <f t="shared" si="31"/>
        <v>-37</v>
      </c>
      <c r="N447">
        <f t="shared" si="32"/>
        <v>31</v>
      </c>
      <c r="O447">
        <f t="shared" si="33"/>
        <v>-68</v>
      </c>
      <c r="P447">
        <f t="shared" si="34"/>
        <v>-3</v>
      </c>
      <c r="Q447" t="s">
        <v>7</v>
      </c>
    </row>
    <row r="448" spans="1:17" x14ac:dyDescent="0.35">
      <c r="A448" t="s">
        <v>12</v>
      </c>
      <c r="B448">
        <v>21</v>
      </c>
      <c r="C448">
        <v>406</v>
      </c>
      <c r="D448">
        <v>249</v>
      </c>
      <c r="E448">
        <v>157</v>
      </c>
      <c r="F448">
        <v>4</v>
      </c>
      <c r="G448">
        <v>29</v>
      </c>
      <c r="H448">
        <v>454</v>
      </c>
      <c r="I448">
        <v>284</v>
      </c>
      <c r="J448">
        <v>170</v>
      </c>
      <c r="K448">
        <v>1</v>
      </c>
      <c r="L448">
        <f t="shared" si="30"/>
        <v>-8</v>
      </c>
      <c r="M448">
        <f t="shared" si="31"/>
        <v>-48</v>
      </c>
      <c r="N448">
        <f t="shared" si="32"/>
        <v>-35</v>
      </c>
      <c r="O448">
        <f t="shared" si="33"/>
        <v>-13</v>
      </c>
      <c r="P448">
        <f t="shared" si="34"/>
        <v>3</v>
      </c>
      <c r="Q448" t="s">
        <v>5</v>
      </c>
    </row>
    <row r="449" spans="1:17" x14ac:dyDescent="0.35">
      <c r="A449" t="s">
        <v>11</v>
      </c>
      <c r="B449">
        <v>24</v>
      </c>
      <c r="C449">
        <v>431</v>
      </c>
      <c r="D449">
        <v>310</v>
      </c>
      <c r="E449">
        <v>121</v>
      </c>
      <c r="F449">
        <v>3</v>
      </c>
      <c r="G449">
        <v>22</v>
      </c>
      <c r="H449">
        <v>370</v>
      </c>
      <c r="I449">
        <v>214</v>
      </c>
      <c r="J449">
        <v>156</v>
      </c>
      <c r="K449">
        <v>1</v>
      </c>
      <c r="L449">
        <f t="shared" si="30"/>
        <v>2</v>
      </c>
      <c r="M449">
        <f t="shared" si="31"/>
        <v>61</v>
      </c>
      <c r="N449">
        <f t="shared" si="32"/>
        <v>96</v>
      </c>
      <c r="O449">
        <f t="shared" si="33"/>
        <v>-35</v>
      </c>
      <c r="P449">
        <f t="shared" si="34"/>
        <v>2</v>
      </c>
      <c r="Q449" t="s">
        <v>5</v>
      </c>
    </row>
    <row r="450" spans="1:17" x14ac:dyDescent="0.35">
      <c r="A450" t="s">
        <v>11</v>
      </c>
      <c r="B450">
        <v>31</v>
      </c>
      <c r="C450">
        <v>480</v>
      </c>
      <c r="D450">
        <v>195</v>
      </c>
      <c r="E450">
        <v>285</v>
      </c>
      <c r="F450">
        <v>0</v>
      </c>
      <c r="G450">
        <v>14</v>
      </c>
      <c r="H450">
        <v>221</v>
      </c>
      <c r="I450">
        <v>199</v>
      </c>
      <c r="J450">
        <v>22</v>
      </c>
      <c r="K450">
        <v>2</v>
      </c>
      <c r="L450">
        <f t="shared" ref="L450:L513" si="35">B450-G450</f>
        <v>17</v>
      </c>
      <c r="M450">
        <f t="shared" ref="M450:M513" si="36">C450-H450</f>
        <v>259</v>
      </c>
      <c r="N450">
        <f t="shared" ref="N450:N513" si="37">D450-I450</f>
        <v>-4</v>
      </c>
      <c r="O450">
        <f t="shared" ref="O450:O513" si="38">E450-J450</f>
        <v>263</v>
      </c>
      <c r="P450">
        <f t="shared" ref="P450:P513" si="39">F450-K450</f>
        <v>-2</v>
      </c>
      <c r="Q450" t="s">
        <v>7</v>
      </c>
    </row>
    <row r="451" spans="1:17" x14ac:dyDescent="0.35">
      <c r="A451" t="s">
        <v>12</v>
      </c>
      <c r="B451">
        <v>22</v>
      </c>
      <c r="C451">
        <v>337</v>
      </c>
      <c r="D451">
        <v>280</v>
      </c>
      <c r="E451">
        <v>57</v>
      </c>
      <c r="F451">
        <v>2</v>
      </c>
      <c r="G451">
        <v>20</v>
      </c>
      <c r="H451">
        <v>446</v>
      </c>
      <c r="I451">
        <v>313</v>
      </c>
      <c r="J451">
        <v>133</v>
      </c>
      <c r="K451">
        <v>2</v>
      </c>
      <c r="L451">
        <f t="shared" si="35"/>
        <v>2</v>
      </c>
      <c r="M451">
        <f t="shared" si="36"/>
        <v>-109</v>
      </c>
      <c r="N451">
        <f t="shared" si="37"/>
        <v>-33</v>
      </c>
      <c r="O451">
        <f t="shared" si="38"/>
        <v>-76</v>
      </c>
      <c r="P451">
        <f t="shared" si="39"/>
        <v>0</v>
      </c>
      <c r="Q451" t="s">
        <v>5</v>
      </c>
    </row>
    <row r="452" spans="1:17" x14ac:dyDescent="0.35">
      <c r="A452" t="s">
        <v>11</v>
      </c>
      <c r="B452">
        <v>18</v>
      </c>
      <c r="C452">
        <v>310</v>
      </c>
      <c r="D452">
        <v>180</v>
      </c>
      <c r="E452">
        <v>130</v>
      </c>
      <c r="F452">
        <v>1</v>
      </c>
      <c r="G452">
        <v>23</v>
      </c>
      <c r="H452">
        <v>438</v>
      </c>
      <c r="I452">
        <v>345</v>
      </c>
      <c r="J452">
        <v>93</v>
      </c>
      <c r="K452">
        <v>4</v>
      </c>
      <c r="L452">
        <f t="shared" si="35"/>
        <v>-5</v>
      </c>
      <c r="M452">
        <f t="shared" si="36"/>
        <v>-128</v>
      </c>
      <c r="N452">
        <f t="shared" si="37"/>
        <v>-165</v>
      </c>
      <c r="O452">
        <f t="shared" si="38"/>
        <v>37</v>
      </c>
      <c r="P452">
        <f t="shared" si="39"/>
        <v>-3</v>
      </c>
      <c r="Q452" t="s">
        <v>7</v>
      </c>
    </row>
    <row r="453" spans="1:17" x14ac:dyDescent="0.35">
      <c r="A453" t="s">
        <v>11</v>
      </c>
      <c r="B453">
        <v>28</v>
      </c>
      <c r="C453">
        <v>507</v>
      </c>
      <c r="D453">
        <v>358</v>
      </c>
      <c r="E453">
        <v>149</v>
      </c>
      <c r="F453">
        <v>3</v>
      </c>
      <c r="G453">
        <v>22</v>
      </c>
      <c r="H453">
        <v>445</v>
      </c>
      <c r="I453">
        <v>160</v>
      </c>
      <c r="J453">
        <v>285</v>
      </c>
      <c r="K453">
        <v>0</v>
      </c>
      <c r="L453">
        <f t="shared" si="35"/>
        <v>6</v>
      </c>
      <c r="M453">
        <f t="shared" si="36"/>
        <v>62</v>
      </c>
      <c r="N453">
        <f t="shared" si="37"/>
        <v>198</v>
      </c>
      <c r="O453">
        <f t="shared" si="38"/>
        <v>-136</v>
      </c>
      <c r="P453">
        <f t="shared" si="39"/>
        <v>3</v>
      </c>
      <c r="Q453" t="s">
        <v>5</v>
      </c>
    </row>
    <row r="454" spans="1:17" x14ac:dyDescent="0.35">
      <c r="A454" t="s">
        <v>11</v>
      </c>
      <c r="B454">
        <v>10</v>
      </c>
      <c r="C454">
        <v>237</v>
      </c>
      <c r="D454">
        <v>197</v>
      </c>
      <c r="E454">
        <v>40</v>
      </c>
      <c r="F454">
        <v>0</v>
      </c>
      <c r="G454">
        <v>28</v>
      </c>
      <c r="H454">
        <v>510</v>
      </c>
      <c r="I454">
        <v>373</v>
      </c>
      <c r="J454">
        <v>137</v>
      </c>
      <c r="K454">
        <v>1</v>
      </c>
      <c r="L454">
        <f t="shared" si="35"/>
        <v>-18</v>
      </c>
      <c r="M454">
        <f t="shared" si="36"/>
        <v>-273</v>
      </c>
      <c r="N454">
        <f t="shared" si="37"/>
        <v>-176</v>
      </c>
      <c r="O454">
        <f t="shared" si="38"/>
        <v>-97</v>
      </c>
      <c r="P454">
        <f t="shared" si="39"/>
        <v>-1</v>
      </c>
      <c r="Q454" t="s">
        <v>5</v>
      </c>
    </row>
    <row r="455" spans="1:17" x14ac:dyDescent="0.35">
      <c r="A455" t="s">
        <v>12</v>
      </c>
      <c r="B455">
        <v>19</v>
      </c>
      <c r="C455">
        <v>346</v>
      </c>
      <c r="D455">
        <v>244</v>
      </c>
      <c r="E455">
        <v>102</v>
      </c>
      <c r="F455">
        <v>3</v>
      </c>
      <c r="G455">
        <v>21</v>
      </c>
      <c r="H455">
        <v>339</v>
      </c>
      <c r="I455">
        <v>216</v>
      </c>
      <c r="J455">
        <v>123</v>
      </c>
      <c r="K455">
        <v>0</v>
      </c>
      <c r="L455">
        <f t="shared" si="35"/>
        <v>-2</v>
      </c>
      <c r="M455">
        <f t="shared" si="36"/>
        <v>7</v>
      </c>
      <c r="N455">
        <f t="shared" si="37"/>
        <v>28</v>
      </c>
      <c r="O455">
        <f t="shared" si="38"/>
        <v>-21</v>
      </c>
      <c r="P455">
        <f t="shared" si="39"/>
        <v>3</v>
      </c>
      <c r="Q455" t="s">
        <v>5</v>
      </c>
    </row>
    <row r="456" spans="1:17" x14ac:dyDescent="0.35">
      <c r="A456" t="s">
        <v>12</v>
      </c>
      <c r="B456">
        <v>21</v>
      </c>
      <c r="C456">
        <v>302</v>
      </c>
      <c r="D456">
        <v>215</v>
      </c>
      <c r="E456">
        <v>87</v>
      </c>
      <c r="F456">
        <v>3</v>
      </c>
      <c r="G456">
        <v>19</v>
      </c>
      <c r="H456">
        <v>336</v>
      </c>
      <c r="I456">
        <v>189</v>
      </c>
      <c r="J456">
        <v>147</v>
      </c>
      <c r="K456">
        <v>4</v>
      </c>
      <c r="L456">
        <f t="shared" si="35"/>
        <v>2</v>
      </c>
      <c r="M456">
        <f t="shared" si="36"/>
        <v>-34</v>
      </c>
      <c r="N456">
        <f t="shared" si="37"/>
        <v>26</v>
      </c>
      <c r="O456">
        <f t="shared" si="38"/>
        <v>-60</v>
      </c>
      <c r="P456">
        <f t="shared" si="39"/>
        <v>-1</v>
      </c>
      <c r="Q456" t="s">
        <v>5</v>
      </c>
    </row>
    <row r="457" spans="1:17" x14ac:dyDescent="0.35">
      <c r="A457" t="s">
        <v>11</v>
      </c>
      <c r="B457">
        <v>21</v>
      </c>
      <c r="C457">
        <v>340</v>
      </c>
      <c r="D457">
        <v>249</v>
      </c>
      <c r="E457">
        <v>91</v>
      </c>
      <c r="F457">
        <v>1</v>
      </c>
      <c r="G457">
        <v>12</v>
      </c>
      <c r="H457">
        <v>292</v>
      </c>
      <c r="I457">
        <v>204</v>
      </c>
      <c r="J457">
        <v>88</v>
      </c>
      <c r="K457">
        <v>0</v>
      </c>
      <c r="L457">
        <f t="shared" si="35"/>
        <v>9</v>
      </c>
      <c r="M457">
        <f t="shared" si="36"/>
        <v>48</v>
      </c>
      <c r="N457">
        <f t="shared" si="37"/>
        <v>45</v>
      </c>
      <c r="O457">
        <f t="shared" si="38"/>
        <v>3</v>
      </c>
      <c r="P457">
        <f t="shared" si="39"/>
        <v>1</v>
      </c>
      <c r="Q457" t="s">
        <v>5</v>
      </c>
    </row>
    <row r="458" spans="1:17" x14ac:dyDescent="0.35">
      <c r="A458" t="s">
        <v>12</v>
      </c>
      <c r="B458">
        <v>19</v>
      </c>
      <c r="C458">
        <v>307</v>
      </c>
      <c r="D458">
        <v>178</v>
      </c>
      <c r="E458">
        <v>129</v>
      </c>
      <c r="F458">
        <v>2</v>
      </c>
      <c r="G458">
        <v>24</v>
      </c>
      <c r="H458">
        <v>467</v>
      </c>
      <c r="I458">
        <v>436</v>
      </c>
      <c r="J458">
        <v>31</v>
      </c>
      <c r="K458">
        <v>1</v>
      </c>
      <c r="L458">
        <f t="shared" si="35"/>
        <v>-5</v>
      </c>
      <c r="M458">
        <f t="shared" si="36"/>
        <v>-160</v>
      </c>
      <c r="N458">
        <f t="shared" si="37"/>
        <v>-258</v>
      </c>
      <c r="O458">
        <f t="shared" si="38"/>
        <v>98</v>
      </c>
      <c r="P458">
        <f t="shared" si="39"/>
        <v>1</v>
      </c>
      <c r="Q458" t="s">
        <v>5</v>
      </c>
    </row>
    <row r="459" spans="1:17" x14ac:dyDescent="0.35">
      <c r="A459" t="s">
        <v>12</v>
      </c>
      <c r="B459">
        <v>24</v>
      </c>
      <c r="C459">
        <v>395</v>
      </c>
      <c r="D459">
        <v>222</v>
      </c>
      <c r="E459">
        <v>173</v>
      </c>
      <c r="F459">
        <v>3</v>
      </c>
      <c r="G459">
        <v>22</v>
      </c>
      <c r="H459">
        <v>530</v>
      </c>
      <c r="I459">
        <v>337</v>
      </c>
      <c r="J459">
        <v>193</v>
      </c>
      <c r="K459">
        <v>1</v>
      </c>
      <c r="L459">
        <f t="shared" si="35"/>
        <v>2</v>
      </c>
      <c r="M459">
        <f t="shared" si="36"/>
        <v>-135</v>
      </c>
      <c r="N459">
        <f t="shared" si="37"/>
        <v>-115</v>
      </c>
      <c r="O459">
        <f t="shared" si="38"/>
        <v>-20</v>
      </c>
      <c r="P459">
        <f t="shared" si="39"/>
        <v>2</v>
      </c>
      <c r="Q459" t="s">
        <v>5</v>
      </c>
    </row>
    <row r="460" spans="1:17" x14ac:dyDescent="0.35">
      <c r="A460" t="s">
        <v>12</v>
      </c>
      <c r="B460">
        <v>28</v>
      </c>
      <c r="C460">
        <v>476</v>
      </c>
      <c r="D460">
        <v>241</v>
      </c>
      <c r="E460">
        <v>235</v>
      </c>
      <c r="F460">
        <v>1</v>
      </c>
      <c r="G460">
        <v>17</v>
      </c>
      <c r="H460">
        <v>283</v>
      </c>
      <c r="I460">
        <v>211</v>
      </c>
      <c r="J460">
        <v>72</v>
      </c>
      <c r="K460">
        <v>1</v>
      </c>
      <c r="L460">
        <f t="shared" si="35"/>
        <v>11</v>
      </c>
      <c r="M460">
        <f t="shared" si="36"/>
        <v>193</v>
      </c>
      <c r="N460">
        <f t="shared" si="37"/>
        <v>30</v>
      </c>
      <c r="O460">
        <f t="shared" si="38"/>
        <v>163</v>
      </c>
      <c r="P460">
        <f t="shared" si="39"/>
        <v>0</v>
      </c>
      <c r="Q460" t="s">
        <v>7</v>
      </c>
    </row>
    <row r="461" spans="1:17" x14ac:dyDescent="0.35">
      <c r="A461" t="s">
        <v>12</v>
      </c>
      <c r="B461">
        <v>25</v>
      </c>
      <c r="C461">
        <v>348</v>
      </c>
      <c r="D461">
        <v>198</v>
      </c>
      <c r="E461">
        <v>150</v>
      </c>
      <c r="F461">
        <v>0</v>
      </c>
      <c r="G461">
        <v>13</v>
      </c>
      <c r="H461">
        <v>191</v>
      </c>
      <c r="I461">
        <v>95</v>
      </c>
      <c r="J461">
        <v>96</v>
      </c>
      <c r="K461">
        <v>0</v>
      </c>
      <c r="L461">
        <f t="shared" si="35"/>
        <v>12</v>
      </c>
      <c r="M461">
        <f t="shared" si="36"/>
        <v>157</v>
      </c>
      <c r="N461">
        <f t="shared" si="37"/>
        <v>103</v>
      </c>
      <c r="O461">
        <f t="shared" si="38"/>
        <v>54</v>
      </c>
      <c r="P461">
        <f t="shared" si="39"/>
        <v>0</v>
      </c>
      <c r="Q461" t="s">
        <v>7</v>
      </c>
    </row>
    <row r="462" spans="1:17" x14ac:dyDescent="0.35">
      <c r="A462" t="s">
        <v>11</v>
      </c>
      <c r="B462">
        <v>24</v>
      </c>
      <c r="C462">
        <v>395</v>
      </c>
      <c r="D462">
        <v>323</v>
      </c>
      <c r="E462">
        <v>72</v>
      </c>
      <c r="F462">
        <v>1</v>
      </c>
      <c r="G462">
        <v>19</v>
      </c>
      <c r="H462">
        <v>334</v>
      </c>
      <c r="I462">
        <v>215</v>
      </c>
      <c r="J462">
        <v>119</v>
      </c>
      <c r="K462">
        <v>2</v>
      </c>
      <c r="L462">
        <f t="shared" si="35"/>
        <v>5</v>
      </c>
      <c r="M462">
        <f t="shared" si="36"/>
        <v>61</v>
      </c>
      <c r="N462">
        <f t="shared" si="37"/>
        <v>108</v>
      </c>
      <c r="O462">
        <f t="shared" si="38"/>
        <v>-47</v>
      </c>
      <c r="P462">
        <f t="shared" si="39"/>
        <v>-1</v>
      </c>
      <c r="Q462" t="s">
        <v>5</v>
      </c>
    </row>
    <row r="463" spans="1:17" x14ac:dyDescent="0.35">
      <c r="A463" t="s">
        <v>11</v>
      </c>
      <c r="B463">
        <v>22</v>
      </c>
      <c r="C463">
        <v>365</v>
      </c>
      <c r="D463">
        <v>227</v>
      </c>
      <c r="E463">
        <v>138</v>
      </c>
      <c r="F463">
        <v>0</v>
      </c>
      <c r="G463">
        <v>24</v>
      </c>
      <c r="H463">
        <v>422</v>
      </c>
      <c r="I463">
        <v>364</v>
      </c>
      <c r="J463">
        <v>58</v>
      </c>
      <c r="K463">
        <v>1</v>
      </c>
      <c r="L463">
        <f t="shared" si="35"/>
        <v>-2</v>
      </c>
      <c r="M463">
        <f t="shared" si="36"/>
        <v>-57</v>
      </c>
      <c r="N463">
        <f t="shared" si="37"/>
        <v>-137</v>
      </c>
      <c r="O463">
        <f t="shared" si="38"/>
        <v>80</v>
      </c>
      <c r="P463">
        <f t="shared" si="39"/>
        <v>-1</v>
      </c>
      <c r="Q463" t="s">
        <v>7</v>
      </c>
    </row>
    <row r="464" spans="1:17" x14ac:dyDescent="0.35">
      <c r="A464" t="s">
        <v>11</v>
      </c>
      <c r="B464">
        <v>19</v>
      </c>
      <c r="C464">
        <v>272</v>
      </c>
      <c r="D464">
        <v>71</v>
      </c>
      <c r="E464">
        <v>201</v>
      </c>
      <c r="F464">
        <v>1</v>
      </c>
      <c r="G464">
        <v>18</v>
      </c>
      <c r="H464">
        <v>307</v>
      </c>
      <c r="I464">
        <v>209</v>
      </c>
      <c r="J464">
        <v>98</v>
      </c>
      <c r="K464">
        <v>2</v>
      </c>
      <c r="L464">
        <f t="shared" si="35"/>
        <v>1</v>
      </c>
      <c r="M464">
        <f t="shared" si="36"/>
        <v>-35</v>
      </c>
      <c r="N464">
        <f t="shared" si="37"/>
        <v>-138</v>
      </c>
      <c r="O464">
        <f t="shared" si="38"/>
        <v>103</v>
      </c>
      <c r="P464">
        <f t="shared" si="39"/>
        <v>-1</v>
      </c>
      <c r="Q464" t="s">
        <v>7</v>
      </c>
    </row>
    <row r="465" spans="1:17" x14ac:dyDescent="0.35">
      <c r="A465" t="s">
        <v>12</v>
      </c>
      <c r="B465">
        <v>22</v>
      </c>
      <c r="C465">
        <v>403</v>
      </c>
      <c r="D465">
        <v>306</v>
      </c>
      <c r="E465">
        <v>97</v>
      </c>
      <c r="F465">
        <v>1</v>
      </c>
      <c r="G465">
        <v>24</v>
      </c>
      <c r="H465">
        <v>365</v>
      </c>
      <c r="I465">
        <v>326</v>
      </c>
      <c r="J465">
        <v>39</v>
      </c>
      <c r="K465">
        <v>1</v>
      </c>
      <c r="L465">
        <f t="shared" si="35"/>
        <v>-2</v>
      </c>
      <c r="M465">
        <f t="shared" si="36"/>
        <v>38</v>
      </c>
      <c r="N465">
        <f t="shared" si="37"/>
        <v>-20</v>
      </c>
      <c r="O465">
        <f t="shared" si="38"/>
        <v>58</v>
      </c>
      <c r="P465">
        <f t="shared" si="39"/>
        <v>0</v>
      </c>
      <c r="Q465" t="s">
        <v>7</v>
      </c>
    </row>
    <row r="466" spans="1:17" x14ac:dyDescent="0.35">
      <c r="A466" t="s">
        <v>12</v>
      </c>
      <c r="B466">
        <v>22</v>
      </c>
      <c r="C466">
        <v>355</v>
      </c>
      <c r="D466">
        <v>258</v>
      </c>
      <c r="E466">
        <v>97</v>
      </c>
      <c r="F466">
        <v>1</v>
      </c>
      <c r="G466">
        <v>26</v>
      </c>
      <c r="H466">
        <v>552</v>
      </c>
      <c r="I466">
        <v>391</v>
      </c>
      <c r="J466">
        <v>161</v>
      </c>
      <c r="K466">
        <v>1</v>
      </c>
      <c r="L466">
        <f t="shared" si="35"/>
        <v>-4</v>
      </c>
      <c r="M466">
        <f t="shared" si="36"/>
        <v>-197</v>
      </c>
      <c r="N466">
        <f t="shared" si="37"/>
        <v>-133</v>
      </c>
      <c r="O466">
        <f t="shared" si="38"/>
        <v>-64</v>
      </c>
      <c r="P466">
        <f t="shared" si="39"/>
        <v>0</v>
      </c>
      <c r="Q466" t="s">
        <v>5</v>
      </c>
    </row>
    <row r="467" spans="1:17" x14ac:dyDescent="0.35">
      <c r="A467" t="s">
        <v>12</v>
      </c>
      <c r="B467">
        <v>28</v>
      </c>
      <c r="C467">
        <v>414</v>
      </c>
      <c r="D467">
        <v>269</v>
      </c>
      <c r="E467">
        <v>145</v>
      </c>
      <c r="F467">
        <v>3</v>
      </c>
      <c r="G467">
        <v>21</v>
      </c>
      <c r="H467">
        <v>428</v>
      </c>
      <c r="I467">
        <v>274</v>
      </c>
      <c r="J467">
        <v>154</v>
      </c>
      <c r="K467">
        <v>1</v>
      </c>
      <c r="L467">
        <f t="shared" si="35"/>
        <v>7</v>
      </c>
      <c r="M467">
        <f t="shared" si="36"/>
        <v>-14</v>
      </c>
      <c r="N467">
        <f t="shared" si="37"/>
        <v>-5</v>
      </c>
      <c r="O467">
        <f t="shared" si="38"/>
        <v>-9</v>
      </c>
      <c r="P467">
        <f t="shared" si="39"/>
        <v>2</v>
      </c>
      <c r="Q467" t="s">
        <v>5</v>
      </c>
    </row>
    <row r="468" spans="1:17" x14ac:dyDescent="0.35">
      <c r="A468" t="s">
        <v>12</v>
      </c>
      <c r="B468">
        <v>20</v>
      </c>
      <c r="C468">
        <v>386</v>
      </c>
      <c r="D468">
        <v>273</v>
      </c>
      <c r="E468">
        <v>113</v>
      </c>
      <c r="F468">
        <v>2</v>
      </c>
      <c r="G468">
        <v>16</v>
      </c>
      <c r="H468">
        <v>246</v>
      </c>
      <c r="I468">
        <v>73</v>
      </c>
      <c r="J468">
        <v>173</v>
      </c>
      <c r="K468">
        <v>2</v>
      </c>
      <c r="L468">
        <f t="shared" si="35"/>
        <v>4</v>
      </c>
      <c r="M468">
        <f t="shared" si="36"/>
        <v>140</v>
      </c>
      <c r="N468">
        <f t="shared" si="37"/>
        <v>200</v>
      </c>
      <c r="O468">
        <f t="shared" si="38"/>
        <v>-60</v>
      </c>
      <c r="P468">
        <f t="shared" si="39"/>
        <v>0</v>
      </c>
      <c r="Q468" t="s">
        <v>7</v>
      </c>
    </row>
    <row r="469" spans="1:17" x14ac:dyDescent="0.35">
      <c r="A469" t="s">
        <v>11</v>
      </c>
      <c r="B469">
        <v>17</v>
      </c>
      <c r="C469">
        <v>262</v>
      </c>
      <c r="D469">
        <v>185</v>
      </c>
      <c r="E469">
        <v>77</v>
      </c>
      <c r="F469">
        <v>0</v>
      </c>
      <c r="G469">
        <v>27</v>
      </c>
      <c r="H469">
        <v>364</v>
      </c>
      <c r="I469">
        <v>236</v>
      </c>
      <c r="J469">
        <v>128</v>
      </c>
      <c r="K469">
        <v>0</v>
      </c>
      <c r="L469">
        <f t="shared" si="35"/>
        <v>-10</v>
      </c>
      <c r="M469">
        <f t="shared" si="36"/>
        <v>-102</v>
      </c>
      <c r="N469">
        <f t="shared" si="37"/>
        <v>-51</v>
      </c>
      <c r="O469">
        <f t="shared" si="38"/>
        <v>-51</v>
      </c>
      <c r="P469">
        <f t="shared" si="39"/>
        <v>0</v>
      </c>
      <c r="Q469" t="s">
        <v>7</v>
      </c>
    </row>
    <row r="470" spans="1:17" x14ac:dyDescent="0.35">
      <c r="A470" t="s">
        <v>11</v>
      </c>
      <c r="B470">
        <v>32</v>
      </c>
      <c r="C470">
        <v>504</v>
      </c>
      <c r="D470">
        <v>338</v>
      </c>
      <c r="E470">
        <v>166</v>
      </c>
      <c r="F470">
        <v>0</v>
      </c>
      <c r="G470">
        <v>26</v>
      </c>
      <c r="H470">
        <v>433</v>
      </c>
      <c r="I470">
        <v>352</v>
      </c>
      <c r="J470">
        <v>81</v>
      </c>
      <c r="K470">
        <v>1</v>
      </c>
      <c r="L470">
        <f t="shared" si="35"/>
        <v>6</v>
      </c>
      <c r="M470">
        <f t="shared" si="36"/>
        <v>71</v>
      </c>
      <c r="N470">
        <f t="shared" si="37"/>
        <v>-14</v>
      </c>
      <c r="O470">
        <f t="shared" si="38"/>
        <v>85</v>
      </c>
      <c r="P470">
        <f t="shared" si="39"/>
        <v>-1</v>
      </c>
      <c r="Q470" t="s">
        <v>7</v>
      </c>
    </row>
    <row r="471" spans="1:17" x14ac:dyDescent="0.35">
      <c r="A471" t="s">
        <v>11</v>
      </c>
      <c r="B471">
        <v>11</v>
      </c>
      <c r="C471">
        <v>239</v>
      </c>
      <c r="D471">
        <v>160</v>
      </c>
      <c r="E471">
        <v>79</v>
      </c>
      <c r="F471">
        <v>2</v>
      </c>
      <c r="G471">
        <v>26</v>
      </c>
      <c r="H471">
        <v>436</v>
      </c>
      <c r="I471">
        <v>268</v>
      </c>
      <c r="J471">
        <v>168</v>
      </c>
      <c r="K471">
        <v>5</v>
      </c>
      <c r="L471">
        <f t="shared" si="35"/>
        <v>-15</v>
      </c>
      <c r="M471">
        <f t="shared" si="36"/>
        <v>-197</v>
      </c>
      <c r="N471">
        <f t="shared" si="37"/>
        <v>-108</v>
      </c>
      <c r="O471">
        <f t="shared" si="38"/>
        <v>-89</v>
      </c>
      <c r="P471">
        <f t="shared" si="39"/>
        <v>-3</v>
      </c>
      <c r="Q471" t="s">
        <v>5</v>
      </c>
    </row>
    <row r="472" spans="1:17" x14ac:dyDescent="0.35">
      <c r="A472" t="s">
        <v>11</v>
      </c>
      <c r="B472">
        <v>29</v>
      </c>
      <c r="C472">
        <v>454</v>
      </c>
      <c r="D472">
        <v>284</v>
      </c>
      <c r="E472">
        <v>170</v>
      </c>
      <c r="F472">
        <v>1</v>
      </c>
      <c r="G472">
        <v>21</v>
      </c>
      <c r="H472">
        <v>406</v>
      </c>
      <c r="I472">
        <v>249</v>
      </c>
      <c r="J472">
        <v>157</v>
      </c>
      <c r="K472">
        <v>4</v>
      </c>
      <c r="L472">
        <f t="shared" si="35"/>
        <v>8</v>
      </c>
      <c r="M472">
        <f t="shared" si="36"/>
        <v>48</v>
      </c>
      <c r="N472">
        <f t="shared" si="37"/>
        <v>35</v>
      </c>
      <c r="O472">
        <f t="shared" si="38"/>
        <v>13</v>
      </c>
      <c r="P472">
        <f t="shared" si="39"/>
        <v>-3</v>
      </c>
      <c r="Q472" t="s">
        <v>7</v>
      </c>
    </row>
    <row r="473" spans="1:17" x14ac:dyDescent="0.35">
      <c r="A473" t="s">
        <v>12</v>
      </c>
      <c r="B473">
        <v>17</v>
      </c>
      <c r="C473">
        <v>261</v>
      </c>
      <c r="D473">
        <v>180</v>
      </c>
      <c r="E473">
        <v>81</v>
      </c>
      <c r="F473">
        <v>1</v>
      </c>
      <c r="G473">
        <v>25</v>
      </c>
      <c r="H473">
        <v>425</v>
      </c>
      <c r="I473">
        <v>274</v>
      </c>
      <c r="J473">
        <v>151</v>
      </c>
      <c r="K473">
        <v>2</v>
      </c>
      <c r="L473">
        <f t="shared" si="35"/>
        <v>-8</v>
      </c>
      <c r="M473">
        <f t="shared" si="36"/>
        <v>-164</v>
      </c>
      <c r="N473">
        <f t="shared" si="37"/>
        <v>-94</v>
      </c>
      <c r="O473">
        <f t="shared" si="38"/>
        <v>-70</v>
      </c>
      <c r="P473">
        <f t="shared" si="39"/>
        <v>-1</v>
      </c>
      <c r="Q473" t="s">
        <v>5</v>
      </c>
    </row>
    <row r="474" spans="1:17" x14ac:dyDescent="0.35">
      <c r="A474" t="s">
        <v>11</v>
      </c>
      <c r="B474">
        <v>7</v>
      </c>
      <c r="C474">
        <v>147</v>
      </c>
      <c r="D474">
        <v>126</v>
      </c>
      <c r="E474">
        <v>21</v>
      </c>
      <c r="F474">
        <v>2</v>
      </c>
      <c r="G474">
        <v>21</v>
      </c>
      <c r="H474">
        <v>308</v>
      </c>
      <c r="I474">
        <v>122</v>
      </c>
      <c r="J474">
        <v>186</v>
      </c>
      <c r="K474">
        <v>2</v>
      </c>
      <c r="L474">
        <f t="shared" si="35"/>
        <v>-14</v>
      </c>
      <c r="M474">
        <f t="shared" si="36"/>
        <v>-161</v>
      </c>
      <c r="N474">
        <f t="shared" si="37"/>
        <v>4</v>
      </c>
      <c r="O474">
        <f t="shared" si="38"/>
        <v>-165</v>
      </c>
      <c r="P474">
        <f t="shared" si="39"/>
        <v>0</v>
      </c>
      <c r="Q474" t="s">
        <v>5</v>
      </c>
    </row>
    <row r="475" spans="1:17" x14ac:dyDescent="0.35">
      <c r="A475" t="s">
        <v>12</v>
      </c>
      <c r="B475">
        <v>22</v>
      </c>
      <c r="C475">
        <v>391</v>
      </c>
      <c r="D475">
        <v>309</v>
      </c>
      <c r="E475">
        <v>82</v>
      </c>
      <c r="F475">
        <v>3</v>
      </c>
      <c r="G475">
        <v>15</v>
      </c>
      <c r="H475">
        <v>292</v>
      </c>
      <c r="I475">
        <v>138</v>
      </c>
      <c r="J475">
        <v>154</v>
      </c>
      <c r="K475">
        <v>2</v>
      </c>
      <c r="L475">
        <f t="shared" si="35"/>
        <v>7</v>
      </c>
      <c r="M475">
        <f t="shared" si="36"/>
        <v>99</v>
      </c>
      <c r="N475">
        <f t="shared" si="37"/>
        <v>171</v>
      </c>
      <c r="O475">
        <f t="shared" si="38"/>
        <v>-72</v>
      </c>
      <c r="P475">
        <f t="shared" si="39"/>
        <v>1</v>
      </c>
      <c r="Q475" t="s">
        <v>5</v>
      </c>
    </row>
    <row r="476" spans="1:17" x14ac:dyDescent="0.35">
      <c r="A476" t="s">
        <v>11</v>
      </c>
      <c r="B476">
        <v>27</v>
      </c>
      <c r="C476">
        <v>345</v>
      </c>
      <c r="D476">
        <v>245</v>
      </c>
      <c r="E476">
        <v>100</v>
      </c>
      <c r="F476">
        <v>4</v>
      </c>
      <c r="G476">
        <v>22</v>
      </c>
      <c r="H476">
        <v>461</v>
      </c>
      <c r="I476">
        <v>302</v>
      </c>
      <c r="J476">
        <v>159</v>
      </c>
      <c r="K476">
        <v>0</v>
      </c>
      <c r="L476">
        <f t="shared" si="35"/>
        <v>5</v>
      </c>
      <c r="M476">
        <f t="shared" si="36"/>
        <v>-116</v>
      </c>
      <c r="N476">
        <f t="shared" si="37"/>
        <v>-57</v>
      </c>
      <c r="O476">
        <f t="shared" si="38"/>
        <v>-59</v>
      </c>
      <c r="P476">
        <f t="shared" si="39"/>
        <v>4</v>
      </c>
      <c r="Q476" t="s">
        <v>5</v>
      </c>
    </row>
    <row r="477" spans="1:17" x14ac:dyDescent="0.35">
      <c r="A477" t="s">
        <v>11</v>
      </c>
      <c r="B477">
        <v>15</v>
      </c>
      <c r="C477">
        <v>265</v>
      </c>
      <c r="D477">
        <v>177</v>
      </c>
      <c r="E477">
        <v>88</v>
      </c>
      <c r="F477">
        <v>1</v>
      </c>
      <c r="G477">
        <v>26</v>
      </c>
      <c r="H477">
        <v>514</v>
      </c>
      <c r="I477">
        <v>406</v>
      </c>
      <c r="J477">
        <v>108</v>
      </c>
      <c r="K477">
        <v>1</v>
      </c>
      <c r="L477">
        <f t="shared" si="35"/>
        <v>-11</v>
      </c>
      <c r="M477">
        <f t="shared" si="36"/>
        <v>-249</v>
      </c>
      <c r="N477">
        <f t="shared" si="37"/>
        <v>-229</v>
      </c>
      <c r="O477">
        <f t="shared" si="38"/>
        <v>-20</v>
      </c>
      <c r="P477">
        <f t="shared" si="39"/>
        <v>0</v>
      </c>
      <c r="Q477" t="s">
        <v>7</v>
      </c>
    </row>
    <row r="478" spans="1:17" x14ac:dyDescent="0.35">
      <c r="A478" t="s">
        <v>12</v>
      </c>
      <c r="B478">
        <v>13</v>
      </c>
      <c r="C478">
        <v>283</v>
      </c>
      <c r="D478">
        <v>173</v>
      </c>
      <c r="E478">
        <v>110</v>
      </c>
      <c r="F478">
        <v>2</v>
      </c>
      <c r="G478">
        <v>17</v>
      </c>
      <c r="H478">
        <v>267</v>
      </c>
      <c r="I478">
        <v>193</v>
      </c>
      <c r="J478">
        <v>74</v>
      </c>
      <c r="K478">
        <v>1</v>
      </c>
      <c r="L478">
        <f t="shared" si="35"/>
        <v>-4</v>
      </c>
      <c r="M478">
        <f t="shared" si="36"/>
        <v>16</v>
      </c>
      <c r="N478">
        <f t="shared" si="37"/>
        <v>-20</v>
      </c>
      <c r="O478">
        <f t="shared" si="38"/>
        <v>36</v>
      </c>
      <c r="P478">
        <f t="shared" si="39"/>
        <v>1</v>
      </c>
      <c r="Q478" t="s">
        <v>7</v>
      </c>
    </row>
    <row r="479" spans="1:17" x14ac:dyDescent="0.35">
      <c r="A479" t="s">
        <v>12</v>
      </c>
      <c r="B479">
        <v>23</v>
      </c>
      <c r="C479">
        <v>438</v>
      </c>
      <c r="D479">
        <v>345</v>
      </c>
      <c r="E479">
        <v>93</v>
      </c>
      <c r="F479">
        <v>4</v>
      </c>
      <c r="G479">
        <v>18</v>
      </c>
      <c r="H479">
        <v>310</v>
      </c>
      <c r="I479">
        <v>180</v>
      </c>
      <c r="J479">
        <v>130</v>
      </c>
      <c r="K479">
        <v>1</v>
      </c>
      <c r="L479">
        <f t="shared" si="35"/>
        <v>5</v>
      </c>
      <c r="M479">
        <f t="shared" si="36"/>
        <v>128</v>
      </c>
      <c r="N479">
        <f t="shared" si="37"/>
        <v>165</v>
      </c>
      <c r="O479">
        <f t="shared" si="38"/>
        <v>-37</v>
      </c>
      <c r="P479">
        <f t="shared" si="39"/>
        <v>3</v>
      </c>
      <c r="Q479" t="s">
        <v>5</v>
      </c>
    </row>
    <row r="480" spans="1:17" x14ac:dyDescent="0.35">
      <c r="A480" t="s">
        <v>12</v>
      </c>
      <c r="B480">
        <v>24</v>
      </c>
      <c r="C480">
        <v>389</v>
      </c>
      <c r="D480">
        <v>225</v>
      </c>
      <c r="E480">
        <v>164</v>
      </c>
      <c r="F480">
        <v>4</v>
      </c>
      <c r="G480">
        <v>8</v>
      </c>
      <c r="H480">
        <v>176</v>
      </c>
      <c r="I480">
        <v>121</v>
      </c>
      <c r="J480">
        <v>55</v>
      </c>
      <c r="K480">
        <v>4</v>
      </c>
      <c r="L480">
        <f t="shared" si="35"/>
        <v>16</v>
      </c>
      <c r="M480">
        <f t="shared" si="36"/>
        <v>213</v>
      </c>
      <c r="N480">
        <f t="shared" si="37"/>
        <v>104</v>
      </c>
      <c r="O480">
        <f t="shared" si="38"/>
        <v>109</v>
      </c>
      <c r="P480">
        <f t="shared" si="39"/>
        <v>0</v>
      </c>
      <c r="Q480" t="s">
        <v>7</v>
      </c>
    </row>
    <row r="481" spans="1:17" x14ac:dyDescent="0.35">
      <c r="A481" t="s">
        <v>11</v>
      </c>
      <c r="B481">
        <v>26</v>
      </c>
      <c r="C481">
        <v>389</v>
      </c>
      <c r="D481">
        <v>326</v>
      </c>
      <c r="E481">
        <v>63</v>
      </c>
      <c r="F481">
        <v>0</v>
      </c>
      <c r="G481">
        <v>18</v>
      </c>
      <c r="H481">
        <v>352</v>
      </c>
      <c r="I481">
        <v>217</v>
      </c>
      <c r="J481">
        <v>135</v>
      </c>
      <c r="K481">
        <v>2</v>
      </c>
      <c r="L481">
        <f t="shared" si="35"/>
        <v>8</v>
      </c>
      <c r="M481">
        <f t="shared" si="36"/>
        <v>37</v>
      </c>
      <c r="N481">
        <f t="shared" si="37"/>
        <v>109</v>
      </c>
      <c r="O481">
        <f t="shared" si="38"/>
        <v>-72</v>
      </c>
      <c r="P481">
        <f t="shared" si="39"/>
        <v>-2</v>
      </c>
      <c r="Q481" t="s">
        <v>7</v>
      </c>
    </row>
    <row r="482" spans="1:17" x14ac:dyDescent="0.35">
      <c r="A482" t="s">
        <v>12</v>
      </c>
      <c r="B482">
        <v>22</v>
      </c>
      <c r="C482">
        <v>344</v>
      </c>
      <c r="D482">
        <v>235</v>
      </c>
      <c r="E482">
        <v>109</v>
      </c>
      <c r="F482">
        <v>0</v>
      </c>
      <c r="G482">
        <v>23</v>
      </c>
      <c r="H482">
        <v>375</v>
      </c>
      <c r="I482">
        <v>265</v>
      </c>
      <c r="J482">
        <v>110</v>
      </c>
      <c r="K482">
        <v>0</v>
      </c>
      <c r="L482">
        <f t="shared" si="35"/>
        <v>-1</v>
      </c>
      <c r="M482">
        <f t="shared" si="36"/>
        <v>-31</v>
      </c>
      <c r="N482">
        <f t="shared" si="37"/>
        <v>-30</v>
      </c>
      <c r="O482">
        <f t="shared" si="38"/>
        <v>-1</v>
      </c>
      <c r="P482">
        <f t="shared" si="39"/>
        <v>0</v>
      </c>
      <c r="Q482" t="s">
        <v>7</v>
      </c>
    </row>
    <row r="483" spans="1:17" x14ac:dyDescent="0.35">
      <c r="A483" t="s">
        <v>11</v>
      </c>
      <c r="B483">
        <v>28</v>
      </c>
      <c r="C483">
        <v>530</v>
      </c>
      <c r="D483">
        <v>433</v>
      </c>
      <c r="E483">
        <v>97</v>
      </c>
      <c r="F483">
        <v>1</v>
      </c>
      <c r="G483">
        <v>19</v>
      </c>
      <c r="H483">
        <v>371</v>
      </c>
      <c r="I483">
        <v>146</v>
      </c>
      <c r="J483">
        <v>225</v>
      </c>
      <c r="K483">
        <v>1</v>
      </c>
      <c r="L483">
        <f t="shared" si="35"/>
        <v>9</v>
      </c>
      <c r="M483">
        <f t="shared" si="36"/>
        <v>159</v>
      </c>
      <c r="N483">
        <f t="shared" si="37"/>
        <v>287</v>
      </c>
      <c r="O483">
        <f t="shared" si="38"/>
        <v>-128</v>
      </c>
      <c r="P483">
        <f t="shared" si="39"/>
        <v>0</v>
      </c>
      <c r="Q483" t="s">
        <v>5</v>
      </c>
    </row>
    <row r="484" spans="1:17" x14ac:dyDescent="0.35">
      <c r="A484" t="s">
        <v>11</v>
      </c>
      <c r="B484">
        <v>27</v>
      </c>
      <c r="C484">
        <v>379</v>
      </c>
      <c r="D484">
        <v>255</v>
      </c>
      <c r="E484">
        <v>124</v>
      </c>
      <c r="F484">
        <v>1</v>
      </c>
      <c r="G484">
        <v>11</v>
      </c>
      <c r="H484">
        <v>184</v>
      </c>
      <c r="I484">
        <v>142</v>
      </c>
      <c r="J484">
        <v>42</v>
      </c>
      <c r="K484">
        <v>4</v>
      </c>
      <c r="L484">
        <f t="shared" si="35"/>
        <v>16</v>
      </c>
      <c r="M484">
        <f t="shared" si="36"/>
        <v>195</v>
      </c>
      <c r="N484">
        <f t="shared" si="37"/>
        <v>113</v>
      </c>
      <c r="O484">
        <f t="shared" si="38"/>
        <v>82</v>
      </c>
      <c r="P484">
        <f t="shared" si="39"/>
        <v>-3</v>
      </c>
      <c r="Q484" t="s">
        <v>7</v>
      </c>
    </row>
    <row r="485" spans="1:17" x14ac:dyDescent="0.35">
      <c r="A485" t="s">
        <v>12</v>
      </c>
      <c r="B485">
        <v>18</v>
      </c>
      <c r="C485">
        <v>352</v>
      </c>
      <c r="D485">
        <v>217</v>
      </c>
      <c r="E485">
        <v>135</v>
      </c>
      <c r="F485">
        <v>2</v>
      </c>
      <c r="G485">
        <v>26</v>
      </c>
      <c r="H485">
        <v>389</v>
      </c>
      <c r="I485">
        <v>326</v>
      </c>
      <c r="J485">
        <v>63</v>
      </c>
      <c r="K485">
        <v>0</v>
      </c>
      <c r="L485">
        <f t="shared" si="35"/>
        <v>-8</v>
      </c>
      <c r="M485">
        <f t="shared" si="36"/>
        <v>-37</v>
      </c>
      <c r="N485">
        <f t="shared" si="37"/>
        <v>-109</v>
      </c>
      <c r="O485">
        <f t="shared" si="38"/>
        <v>72</v>
      </c>
      <c r="P485">
        <f t="shared" si="39"/>
        <v>2</v>
      </c>
      <c r="Q485" t="s">
        <v>5</v>
      </c>
    </row>
    <row r="486" spans="1:17" x14ac:dyDescent="0.35">
      <c r="A486" t="s">
        <v>12</v>
      </c>
      <c r="B486">
        <v>16</v>
      </c>
      <c r="C486">
        <v>339</v>
      </c>
      <c r="D486">
        <v>227</v>
      </c>
      <c r="E486">
        <v>112</v>
      </c>
      <c r="F486">
        <v>0</v>
      </c>
      <c r="G486">
        <v>19</v>
      </c>
      <c r="H486">
        <v>198</v>
      </c>
      <c r="I486">
        <v>81</v>
      </c>
      <c r="J486">
        <v>117</v>
      </c>
      <c r="K486">
        <v>1</v>
      </c>
      <c r="L486">
        <f t="shared" si="35"/>
        <v>-3</v>
      </c>
      <c r="M486">
        <f t="shared" si="36"/>
        <v>141</v>
      </c>
      <c r="N486">
        <f t="shared" si="37"/>
        <v>146</v>
      </c>
      <c r="O486">
        <f t="shared" si="38"/>
        <v>-5</v>
      </c>
      <c r="P486">
        <f t="shared" si="39"/>
        <v>-1</v>
      </c>
      <c r="Q486" t="s">
        <v>7</v>
      </c>
    </row>
    <row r="487" spans="1:17" x14ac:dyDescent="0.35">
      <c r="A487" t="s">
        <v>12</v>
      </c>
      <c r="B487">
        <v>25</v>
      </c>
      <c r="C487">
        <v>361</v>
      </c>
      <c r="D487">
        <v>281</v>
      </c>
      <c r="E487">
        <v>80</v>
      </c>
      <c r="F487">
        <v>0</v>
      </c>
      <c r="G487">
        <v>28</v>
      </c>
      <c r="H487">
        <v>552</v>
      </c>
      <c r="I487">
        <v>346</v>
      </c>
      <c r="J487">
        <v>206</v>
      </c>
      <c r="K487">
        <v>0</v>
      </c>
      <c r="L487">
        <f t="shared" si="35"/>
        <v>-3</v>
      </c>
      <c r="M487">
        <f t="shared" si="36"/>
        <v>-191</v>
      </c>
      <c r="N487">
        <f t="shared" si="37"/>
        <v>-65</v>
      </c>
      <c r="O487">
        <f t="shared" si="38"/>
        <v>-126</v>
      </c>
      <c r="P487">
        <f t="shared" si="39"/>
        <v>0</v>
      </c>
      <c r="Q487" t="s">
        <v>5</v>
      </c>
    </row>
    <row r="488" spans="1:17" x14ac:dyDescent="0.35">
      <c r="A488" t="s">
        <v>12</v>
      </c>
      <c r="B488">
        <v>26</v>
      </c>
      <c r="C488">
        <v>455</v>
      </c>
      <c r="D488">
        <v>293</v>
      </c>
      <c r="E488">
        <v>162</v>
      </c>
      <c r="F488">
        <v>2</v>
      </c>
      <c r="G488">
        <v>16</v>
      </c>
      <c r="H488">
        <v>308</v>
      </c>
      <c r="I488">
        <v>202</v>
      </c>
      <c r="J488">
        <v>106</v>
      </c>
      <c r="K488">
        <v>1</v>
      </c>
      <c r="L488">
        <f t="shared" si="35"/>
        <v>10</v>
      </c>
      <c r="M488">
        <f t="shared" si="36"/>
        <v>147</v>
      </c>
      <c r="N488">
        <f t="shared" si="37"/>
        <v>91</v>
      </c>
      <c r="O488">
        <f t="shared" si="38"/>
        <v>56</v>
      </c>
      <c r="P488">
        <f t="shared" si="39"/>
        <v>1</v>
      </c>
      <c r="Q488" t="s">
        <v>7</v>
      </c>
    </row>
    <row r="489" spans="1:17" x14ac:dyDescent="0.35">
      <c r="A489" t="s">
        <v>12</v>
      </c>
      <c r="B489">
        <v>23</v>
      </c>
      <c r="C489">
        <v>344</v>
      </c>
      <c r="D489">
        <v>238</v>
      </c>
      <c r="E489">
        <v>106</v>
      </c>
      <c r="F489">
        <v>5</v>
      </c>
      <c r="G489">
        <v>14</v>
      </c>
      <c r="H489">
        <v>348</v>
      </c>
      <c r="I489">
        <v>174</v>
      </c>
      <c r="J489">
        <v>174</v>
      </c>
      <c r="K489">
        <v>2</v>
      </c>
      <c r="L489">
        <f t="shared" si="35"/>
        <v>9</v>
      </c>
      <c r="M489">
        <f t="shared" si="36"/>
        <v>-4</v>
      </c>
      <c r="N489">
        <f t="shared" si="37"/>
        <v>64</v>
      </c>
      <c r="O489">
        <f t="shared" si="38"/>
        <v>-68</v>
      </c>
      <c r="P489">
        <f t="shared" si="39"/>
        <v>3</v>
      </c>
      <c r="Q489" t="s">
        <v>5</v>
      </c>
    </row>
    <row r="490" spans="1:17" x14ac:dyDescent="0.35">
      <c r="A490" t="s">
        <v>11</v>
      </c>
      <c r="B490">
        <v>20</v>
      </c>
      <c r="C490">
        <v>417</v>
      </c>
      <c r="D490">
        <v>342</v>
      </c>
      <c r="E490">
        <v>75</v>
      </c>
      <c r="F490">
        <v>2</v>
      </c>
      <c r="G490">
        <v>26</v>
      </c>
      <c r="H490">
        <v>457</v>
      </c>
      <c r="I490">
        <v>339</v>
      </c>
      <c r="J490">
        <v>118</v>
      </c>
      <c r="K490">
        <v>3</v>
      </c>
      <c r="L490">
        <f t="shared" si="35"/>
        <v>-6</v>
      </c>
      <c r="M490">
        <f t="shared" si="36"/>
        <v>-40</v>
      </c>
      <c r="N490">
        <f t="shared" si="37"/>
        <v>3</v>
      </c>
      <c r="O490">
        <f t="shared" si="38"/>
        <v>-43</v>
      </c>
      <c r="P490">
        <f t="shared" si="39"/>
        <v>-1</v>
      </c>
      <c r="Q490" t="s">
        <v>5</v>
      </c>
    </row>
    <row r="491" spans="1:17" x14ac:dyDescent="0.35">
      <c r="A491" t="s">
        <v>11</v>
      </c>
      <c r="B491">
        <v>21</v>
      </c>
      <c r="C491">
        <v>358</v>
      </c>
      <c r="D491">
        <v>296</v>
      </c>
      <c r="E491">
        <v>62</v>
      </c>
      <c r="F491">
        <v>3</v>
      </c>
      <c r="G491">
        <v>19</v>
      </c>
      <c r="H491">
        <v>354</v>
      </c>
      <c r="I491">
        <v>69</v>
      </c>
      <c r="J491">
        <v>285</v>
      </c>
      <c r="K491">
        <v>0</v>
      </c>
      <c r="L491">
        <f t="shared" si="35"/>
        <v>2</v>
      </c>
      <c r="M491">
        <f t="shared" si="36"/>
        <v>4</v>
      </c>
      <c r="N491">
        <f t="shared" si="37"/>
        <v>227</v>
      </c>
      <c r="O491">
        <f t="shared" si="38"/>
        <v>-223</v>
      </c>
      <c r="P491">
        <f t="shared" si="39"/>
        <v>3</v>
      </c>
      <c r="Q491" t="s">
        <v>5</v>
      </c>
    </row>
    <row r="492" spans="1:17" x14ac:dyDescent="0.35">
      <c r="A492" t="s">
        <v>11</v>
      </c>
      <c r="B492">
        <v>22</v>
      </c>
      <c r="C492">
        <v>408</v>
      </c>
      <c r="D492">
        <v>326</v>
      </c>
      <c r="E492">
        <v>82</v>
      </c>
      <c r="F492">
        <v>0</v>
      </c>
      <c r="G492">
        <v>24</v>
      </c>
      <c r="H492">
        <v>382</v>
      </c>
      <c r="I492">
        <v>231</v>
      </c>
      <c r="J492">
        <v>151</v>
      </c>
      <c r="K492">
        <v>2</v>
      </c>
      <c r="L492">
        <f t="shared" si="35"/>
        <v>-2</v>
      </c>
      <c r="M492">
        <f t="shared" si="36"/>
        <v>26</v>
      </c>
      <c r="N492">
        <f t="shared" si="37"/>
        <v>95</v>
      </c>
      <c r="O492">
        <f t="shared" si="38"/>
        <v>-69</v>
      </c>
      <c r="P492">
        <f t="shared" si="39"/>
        <v>-2</v>
      </c>
      <c r="Q492" t="s">
        <v>5</v>
      </c>
    </row>
    <row r="493" spans="1:17" x14ac:dyDescent="0.35">
      <c r="A493" t="s">
        <v>11</v>
      </c>
      <c r="B493">
        <v>10</v>
      </c>
      <c r="C493">
        <v>208</v>
      </c>
      <c r="D493">
        <v>140</v>
      </c>
      <c r="E493">
        <v>68</v>
      </c>
      <c r="F493">
        <v>2</v>
      </c>
      <c r="G493">
        <v>21</v>
      </c>
      <c r="H493">
        <v>401</v>
      </c>
      <c r="I493">
        <v>313</v>
      </c>
      <c r="J493">
        <v>88</v>
      </c>
      <c r="K493">
        <v>1</v>
      </c>
      <c r="L493">
        <f t="shared" si="35"/>
        <v>-11</v>
      </c>
      <c r="M493">
        <f t="shared" si="36"/>
        <v>-193</v>
      </c>
      <c r="N493">
        <f t="shared" si="37"/>
        <v>-173</v>
      </c>
      <c r="O493">
        <f t="shared" si="38"/>
        <v>-20</v>
      </c>
      <c r="P493">
        <f t="shared" si="39"/>
        <v>1</v>
      </c>
      <c r="Q493" t="s">
        <v>5</v>
      </c>
    </row>
    <row r="494" spans="1:17" x14ac:dyDescent="0.35">
      <c r="A494" t="s">
        <v>11</v>
      </c>
      <c r="B494">
        <v>14</v>
      </c>
      <c r="C494">
        <v>348</v>
      </c>
      <c r="D494">
        <v>174</v>
      </c>
      <c r="E494">
        <v>174</v>
      </c>
      <c r="F494">
        <v>2</v>
      </c>
      <c r="G494">
        <v>23</v>
      </c>
      <c r="H494">
        <v>344</v>
      </c>
      <c r="I494">
        <v>238</v>
      </c>
      <c r="J494">
        <v>106</v>
      </c>
      <c r="K494">
        <v>5</v>
      </c>
      <c r="L494">
        <f t="shared" si="35"/>
        <v>-9</v>
      </c>
      <c r="M494">
        <f t="shared" si="36"/>
        <v>4</v>
      </c>
      <c r="N494">
        <f t="shared" si="37"/>
        <v>-64</v>
      </c>
      <c r="O494">
        <f t="shared" si="38"/>
        <v>68</v>
      </c>
      <c r="P494">
        <f t="shared" si="39"/>
        <v>-3</v>
      </c>
      <c r="Q494" t="s">
        <v>7</v>
      </c>
    </row>
    <row r="495" spans="1:17" x14ac:dyDescent="0.35">
      <c r="A495" t="s">
        <v>12</v>
      </c>
      <c r="B495">
        <v>27</v>
      </c>
      <c r="C495">
        <v>364</v>
      </c>
      <c r="D495">
        <v>236</v>
      </c>
      <c r="E495">
        <v>128</v>
      </c>
      <c r="F495">
        <v>0</v>
      </c>
      <c r="G495">
        <v>17</v>
      </c>
      <c r="H495">
        <v>262</v>
      </c>
      <c r="I495">
        <v>185</v>
      </c>
      <c r="J495">
        <v>77</v>
      </c>
      <c r="K495">
        <v>0</v>
      </c>
      <c r="L495">
        <f t="shared" si="35"/>
        <v>10</v>
      </c>
      <c r="M495">
        <f t="shared" si="36"/>
        <v>102</v>
      </c>
      <c r="N495">
        <f t="shared" si="37"/>
        <v>51</v>
      </c>
      <c r="O495">
        <f t="shared" si="38"/>
        <v>51</v>
      </c>
      <c r="P495">
        <f t="shared" si="39"/>
        <v>0</v>
      </c>
      <c r="Q495" t="s">
        <v>5</v>
      </c>
    </row>
    <row r="496" spans="1:17" x14ac:dyDescent="0.35">
      <c r="A496" t="s">
        <v>11</v>
      </c>
      <c r="B496">
        <v>19</v>
      </c>
      <c r="C496">
        <v>291</v>
      </c>
      <c r="D496">
        <v>116</v>
      </c>
      <c r="E496">
        <v>175</v>
      </c>
      <c r="F496">
        <v>0</v>
      </c>
      <c r="G496">
        <v>19</v>
      </c>
      <c r="H496">
        <v>315</v>
      </c>
      <c r="I496">
        <v>151</v>
      </c>
      <c r="J496">
        <v>164</v>
      </c>
      <c r="K496">
        <v>5</v>
      </c>
      <c r="L496">
        <f t="shared" si="35"/>
        <v>0</v>
      </c>
      <c r="M496">
        <f t="shared" si="36"/>
        <v>-24</v>
      </c>
      <c r="N496">
        <f t="shared" si="37"/>
        <v>-35</v>
      </c>
      <c r="O496">
        <f t="shared" si="38"/>
        <v>11</v>
      </c>
      <c r="P496">
        <f t="shared" si="39"/>
        <v>-5</v>
      </c>
      <c r="Q496" t="s">
        <v>7</v>
      </c>
    </row>
    <row r="497" spans="1:17" x14ac:dyDescent="0.35">
      <c r="A497" t="s">
        <v>12</v>
      </c>
      <c r="B497">
        <v>18</v>
      </c>
      <c r="C497">
        <v>270</v>
      </c>
      <c r="D497">
        <v>175</v>
      </c>
      <c r="E497">
        <v>95</v>
      </c>
      <c r="F497">
        <v>1</v>
      </c>
      <c r="G497">
        <v>20</v>
      </c>
      <c r="H497">
        <v>344</v>
      </c>
      <c r="I497">
        <v>254</v>
      </c>
      <c r="J497">
        <v>90</v>
      </c>
      <c r="K497">
        <v>3</v>
      </c>
      <c r="L497">
        <f t="shared" si="35"/>
        <v>-2</v>
      </c>
      <c r="M497">
        <f t="shared" si="36"/>
        <v>-74</v>
      </c>
      <c r="N497">
        <f t="shared" si="37"/>
        <v>-79</v>
      </c>
      <c r="O497">
        <f t="shared" si="38"/>
        <v>5</v>
      </c>
      <c r="P497">
        <f t="shared" si="39"/>
        <v>-2</v>
      </c>
      <c r="Q497" t="s">
        <v>5</v>
      </c>
    </row>
    <row r="498" spans="1:17" x14ac:dyDescent="0.35">
      <c r="A498" t="s">
        <v>12</v>
      </c>
      <c r="B498">
        <v>24</v>
      </c>
      <c r="C498">
        <v>465</v>
      </c>
      <c r="D498">
        <v>366</v>
      </c>
      <c r="E498">
        <v>99</v>
      </c>
      <c r="F498">
        <v>0</v>
      </c>
      <c r="G498">
        <v>15</v>
      </c>
      <c r="H498">
        <v>308</v>
      </c>
      <c r="I498">
        <v>276</v>
      </c>
      <c r="J498">
        <v>32</v>
      </c>
      <c r="K498">
        <v>1</v>
      </c>
      <c r="L498">
        <f t="shared" si="35"/>
        <v>9</v>
      </c>
      <c r="M498">
        <f t="shared" si="36"/>
        <v>157</v>
      </c>
      <c r="N498">
        <f t="shared" si="37"/>
        <v>90</v>
      </c>
      <c r="O498">
        <f t="shared" si="38"/>
        <v>67</v>
      </c>
      <c r="P498">
        <f t="shared" si="39"/>
        <v>-1</v>
      </c>
      <c r="Q498" t="s">
        <v>7</v>
      </c>
    </row>
    <row r="499" spans="1:17" x14ac:dyDescent="0.35">
      <c r="A499" t="s">
        <v>11</v>
      </c>
      <c r="B499">
        <v>16</v>
      </c>
      <c r="C499">
        <v>321</v>
      </c>
      <c r="D499">
        <v>212</v>
      </c>
      <c r="E499">
        <v>109</v>
      </c>
      <c r="F499">
        <v>1</v>
      </c>
      <c r="G499">
        <v>17</v>
      </c>
      <c r="H499">
        <v>282</v>
      </c>
      <c r="I499">
        <v>181</v>
      </c>
      <c r="J499">
        <v>101</v>
      </c>
      <c r="K499">
        <v>0</v>
      </c>
      <c r="L499">
        <f t="shared" si="35"/>
        <v>-1</v>
      </c>
      <c r="M499">
        <f t="shared" si="36"/>
        <v>39</v>
      </c>
      <c r="N499">
        <f t="shared" si="37"/>
        <v>31</v>
      </c>
      <c r="O499">
        <f t="shared" si="38"/>
        <v>8</v>
      </c>
      <c r="P499">
        <f t="shared" si="39"/>
        <v>1</v>
      </c>
      <c r="Q499" t="s">
        <v>5</v>
      </c>
    </row>
    <row r="500" spans="1:17" x14ac:dyDescent="0.35">
      <c r="A500" t="s">
        <v>12</v>
      </c>
      <c r="B500">
        <v>24</v>
      </c>
      <c r="C500">
        <v>442</v>
      </c>
      <c r="D500">
        <v>340</v>
      </c>
      <c r="E500">
        <v>102</v>
      </c>
      <c r="F500">
        <v>0</v>
      </c>
      <c r="G500">
        <v>31</v>
      </c>
      <c r="H500">
        <v>444</v>
      </c>
      <c r="I500">
        <v>341</v>
      </c>
      <c r="J500">
        <v>103</v>
      </c>
      <c r="K500">
        <v>0</v>
      </c>
      <c r="L500">
        <f t="shared" si="35"/>
        <v>-7</v>
      </c>
      <c r="M500">
        <f t="shared" si="36"/>
        <v>-2</v>
      </c>
      <c r="N500">
        <f t="shared" si="37"/>
        <v>-1</v>
      </c>
      <c r="O500">
        <f t="shared" si="38"/>
        <v>-1</v>
      </c>
      <c r="P500">
        <f t="shared" si="39"/>
        <v>0</v>
      </c>
      <c r="Q500" t="s">
        <v>7</v>
      </c>
    </row>
    <row r="501" spans="1:17" x14ac:dyDescent="0.35">
      <c r="A501" t="s">
        <v>12</v>
      </c>
      <c r="B501">
        <v>10</v>
      </c>
      <c r="C501">
        <v>157</v>
      </c>
      <c r="D501">
        <v>48</v>
      </c>
      <c r="E501">
        <v>109</v>
      </c>
      <c r="F501">
        <v>1</v>
      </c>
      <c r="G501">
        <v>22</v>
      </c>
      <c r="H501">
        <v>331</v>
      </c>
      <c r="I501">
        <v>232</v>
      </c>
      <c r="J501">
        <v>99</v>
      </c>
      <c r="K501">
        <v>2</v>
      </c>
      <c r="L501">
        <f t="shared" si="35"/>
        <v>-12</v>
      </c>
      <c r="M501">
        <f t="shared" si="36"/>
        <v>-174</v>
      </c>
      <c r="N501">
        <f t="shared" si="37"/>
        <v>-184</v>
      </c>
      <c r="O501">
        <f t="shared" si="38"/>
        <v>10</v>
      </c>
      <c r="P501">
        <f t="shared" si="39"/>
        <v>-1</v>
      </c>
      <c r="Q501" t="s">
        <v>5</v>
      </c>
    </row>
    <row r="502" spans="1:17" x14ac:dyDescent="0.35">
      <c r="A502" t="s">
        <v>12</v>
      </c>
      <c r="B502">
        <v>21</v>
      </c>
      <c r="C502">
        <v>308</v>
      </c>
      <c r="D502">
        <v>122</v>
      </c>
      <c r="E502">
        <v>186</v>
      </c>
      <c r="F502">
        <v>2</v>
      </c>
      <c r="G502">
        <v>7</v>
      </c>
      <c r="H502">
        <v>147</v>
      </c>
      <c r="I502">
        <v>126</v>
      </c>
      <c r="J502">
        <v>21</v>
      </c>
      <c r="K502">
        <v>2</v>
      </c>
      <c r="L502">
        <f t="shared" si="35"/>
        <v>14</v>
      </c>
      <c r="M502">
        <f t="shared" si="36"/>
        <v>161</v>
      </c>
      <c r="N502">
        <f t="shared" si="37"/>
        <v>-4</v>
      </c>
      <c r="O502">
        <f t="shared" si="38"/>
        <v>165</v>
      </c>
      <c r="P502">
        <f t="shared" si="39"/>
        <v>0</v>
      </c>
      <c r="Q502" t="s">
        <v>7</v>
      </c>
    </row>
    <row r="503" spans="1:17" x14ac:dyDescent="0.35">
      <c r="A503" t="s">
        <v>12</v>
      </c>
      <c r="B503">
        <v>24</v>
      </c>
      <c r="C503">
        <v>368</v>
      </c>
      <c r="D503">
        <v>221</v>
      </c>
      <c r="E503">
        <v>147</v>
      </c>
      <c r="F503">
        <v>0</v>
      </c>
      <c r="G503">
        <v>20</v>
      </c>
      <c r="H503">
        <v>344</v>
      </c>
      <c r="I503">
        <v>260</v>
      </c>
      <c r="J503">
        <v>84</v>
      </c>
      <c r="K503">
        <v>0</v>
      </c>
      <c r="L503">
        <f t="shared" si="35"/>
        <v>4</v>
      </c>
      <c r="M503">
        <f t="shared" si="36"/>
        <v>24</v>
      </c>
      <c r="N503">
        <f t="shared" si="37"/>
        <v>-39</v>
      </c>
      <c r="O503">
        <f t="shared" si="38"/>
        <v>63</v>
      </c>
      <c r="P503">
        <f t="shared" si="39"/>
        <v>0</v>
      </c>
      <c r="Q503" t="s">
        <v>7</v>
      </c>
    </row>
    <row r="504" spans="1:17" x14ac:dyDescent="0.35">
      <c r="A504" t="s">
        <v>12</v>
      </c>
      <c r="B504">
        <v>11</v>
      </c>
      <c r="C504">
        <v>270</v>
      </c>
      <c r="D504">
        <v>167</v>
      </c>
      <c r="E504">
        <v>103</v>
      </c>
      <c r="F504">
        <v>1</v>
      </c>
      <c r="G504">
        <v>12</v>
      </c>
      <c r="H504">
        <v>204</v>
      </c>
      <c r="I504">
        <v>165</v>
      </c>
      <c r="J504">
        <v>39</v>
      </c>
      <c r="K504">
        <v>3</v>
      </c>
      <c r="L504">
        <f t="shared" si="35"/>
        <v>-1</v>
      </c>
      <c r="M504">
        <f t="shared" si="36"/>
        <v>66</v>
      </c>
      <c r="N504">
        <f t="shared" si="37"/>
        <v>2</v>
      </c>
      <c r="O504">
        <f t="shared" si="38"/>
        <v>64</v>
      </c>
      <c r="P504">
        <f t="shared" si="39"/>
        <v>-2</v>
      </c>
      <c r="Q504" t="s">
        <v>7</v>
      </c>
    </row>
    <row r="505" spans="1:17" x14ac:dyDescent="0.35">
      <c r="A505" t="s">
        <v>12</v>
      </c>
      <c r="B505">
        <v>22</v>
      </c>
      <c r="C505">
        <v>436</v>
      </c>
      <c r="D505">
        <v>313</v>
      </c>
      <c r="E505">
        <v>123</v>
      </c>
      <c r="F505">
        <v>0</v>
      </c>
      <c r="G505">
        <v>15</v>
      </c>
      <c r="H505">
        <v>398</v>
      </c>
      <c r="I505">
        <v>370</v>
      </c>
      <c r="J505">
        <v>28</v>
      </c>
      <c r="K505">
        <v>0</v>
      </c>
      <c r="L505">
        <f t="shared" si="35"/>
        <v>7</v>
      </c>
      <c r="M505">
        <f t="shared" si="36"/>
        <v>38</v>
      </c>
      <c r="N505">
        <f t="shared" si="37"/>
        <v>-57</v>
      </c>
      <c r="O505">
        <f t="shared" si="38"/>
        <v>95</v>
      </c>
      <c r="P505">
        <f t="shared" si="39"/>
        <v>0</v>
      </c>
      <c r="Q505" t="s">
        <v>7</v>
      </c>
    </row>
    <row r="506" spans="1:17" x14ac:dyDescent="0.35">
      <c r="A506" t="s">
        <v>11</v>
      </c>
      <c r="B506">
        <v>21</v>
      </c>
      <c r="C506">
        <v>266</v>
      </c>
      <c r="D506">
        <v>131</v>
      </c>
      <c r="E506">
        <v>135</v>
      </c>
      <c r="F506">
        <v>2</v>
      </c>
      <c r="G506">
        <v>26</v>
      </c>
      <c r="H506">
        <v>442</v>
      </c>
      <c r="I506">
        <v>408</v>
      </c>
      <c r="J506">
        <v>34</v>
      </c>
      <c r="K506">
        <v>2</v>
      </c>
      <c r="L506">
        <f t="shared" si="35"/>
        <v>-5</v>
      </c>
      <c r="M506">
        <f t="shared" si="36"/>
        <v>-176</v>
      </c>
      <c r="N506">
        <f t="shared" si="37"/>
        <v>-277</v>
      </c>
      <c r="O506">
        <f t="shared" si="38"/>
        <v>101</v>
      </c>
      <c r="P506">
        <f t="shared" si="39"/>
        <v>0</v>
      </c>
      <c r="Q506" t="s">
        <v>5</v>
      </c>
    </row>
    <row r="507" spans="1:17" x14ac:dyDescent="0.35">
      <c r="A507" t="s">
        <v>12</v>
      </c>
      <c r="B507">
        <v>17</v>
      </c>
      <c r="C507">
        <v>223</v>
      </c>
      <c r="D507">
        <v>155</v>
      </c>
      <c r="E507">
        <v>68</v>
      </c>
      <c r="F507">
        <v>1</v>
      </c>
      <c r="G507">
        <v>23</v>
      </c>
      <c r="H507">
        <v>370</v>
      </c>
      <c r="I507">
        <v>242</v>
      </c>
      <c r="J507">
        <v>128</v>
      </c>
      <c r="K507">
        <v>4</v>
      </c>
      <c r="L507">
        <f t="shared" si="35"/>
        <v>-6</v>
      </c>
      <c r="M507">
        <f t="shared" si="36"/>
        <v>-147</v>
      </c>
      <c r="N507">
        <f t="shared" si="37"/>
        <v>-87</v>
      </c>
      <c r="O507">
        <f t="shared" si="38"/>
        <v>-60</v>
      </c>
      <c r="P507">
        <f t="shared" si="39"/>
        <v>-3</v>
      </c>
      <c r="Q507" t="s">
        <v>5</v>
      </c>
    </row>
    <row r="508" spans="1:17" x14ac:dyDescent="0.35">
      <c r="A508" t="s">
        <v>11</v>
      </c>
      <c r="B508">
        <v>22</v>
      </c>
      <c r="C508">
        <v>530</v>
      </c>
      <c r="D508">
        <v>337</v>
      </c>
      <c r="E508">
        <v>193</v>
      </c>
      <c r="F508">
        <v>1</v>
      </c>
      <c r="G508">
        <v>24</v>
      </c>
      <c r="H508">
        <v>395</v>
      </c>
      <c r="I508">
        <v>222</v>
      </c>
      <c r="J508">
        <v>173</v>
      </c>
      <c r="K508">
        <v>3</v>
      </c>
      <c r="L508">
        <f t="shared" si="35"/>
        <v>-2</v>
      </c>
      <c r="M508">
        <f t="shared" si="36"/>
        <v>135</v>
      </c>
      <c r="N508">
        <f t="shared" si="37"/>
        <v>115</v>
      </c>
      <c r="O508">
        <f t="shared" si="38"/>
        <v>20</v>
      </c>
      <c r="P508">
        <f t="shared" si="39"/>
        <v>-2</v>
      </c>
      <c r="Q508" t="s">
        <v>7</v>
      </c>
    </row>
    <row r="509" spans="1:17" x14ac:dyDescent="0.35">
      <c r="A509" t="s">
        <v>11</v>
      </c>
      <c r="B509">
        <v>14</v>
      </c>
      <c r="C509">
        <v>216</v>
      </c>
      <c r="D509">
        <v>131</v>
      </c>
      <c r="E509">
        <v>85</v>
      </c>
      <c r="F509">
        <v>2</v>
      </c>
      <c r="G509">
        <v>22</v>
      </c>
      <c r="H509">
        <v>434</v>
      </c>
      <c r="I509">
        <v>273</v>
      </c>
      <c r="J509">
        <v>161</v>
      </c>
      <c r="K509">
        <v>1</v>
      </c>
      <c r="L509">
        <f t="shared" si="35"/>
        <v>-8</v>
      </c>
      <c r="M509">
        <f t="shared" si="36"/>
        <v>-218</v>
      </c>
      <c r="N509">
        <f t="shared" si="37"/>
        <v>-142</v>
      </c>
      <c r="O509">
        <f t="shared" si="38"/>
        <v>-76</v>
      </c>
      <c r="P509">
        <f t="shared" si="39"/>
        <v>1</v>
      </c>
      <c r="Q509" t="s">
        <v>5</v>
      </c>
    </row>
    <row r="510" spans="1:17" x14ac:dyDescent="0.35">
      <c r="A510" t="s">
        <v>12</v>
      </c>
      <c r="B510">
        <v>29</v>
      </c>
      <c r="C510">
        <v>434</v>
      </c>
      <c r="D510">
        <v>316</v>
      </c>
      <c r="E510">
        <v>118</v>
      </c>
      <c r="F510">
        <v>1</v>
      </c>
      <c r="G510">
        <v>23</v>
      </c>
      <c r="H510">
        <v>442</v>
      </c>
      <c r="I510">
        <v>348</v>
      </c>
      <c r="J510">
        <v>94</v>
      </c>
      <c r="K510">
        <v>1</v>
      </c>
      <c r="L510">
        <f t="shared" si="35"/>
        <v>6</v>
      </c>
      <c r="M510">
        <f t="shared" si="36"/>
        <v>-8</v>
      </c>
      <c r="N510">
        <f t="shared" si="37"/>
        <v>-32</v>
      </c>
      <c r="O510">
        <f t="shared" si="38"/>
        <v>24</v>
      </c>
      <c r="P510">
        <f t="shared" si="39"/>
        <v>0</v>
      </c>
      <c r="Q510" t="s">
        <v>7</v>
      </c>
    </row>
    <row r="511" spans="1:17" x14ac:dyDescent="0.35">
      <c r="A511" t="s">
        <v>11</v>
      </c>
      <c r="B511">
        <v>23</v>
      </c>
      <c r="C511">
        <v>289</v>
      </c>
      <c r="D511">
        <v>267</v>
      </c>
      <c r="E511">
        <v>22</v>
      </c>
      <c r="F511">
        <v>1</v>
      </c>
      <c r="G511">
        <v>25</v>
      </c>
      <c r="H511">
        <v>475</v>
      </c>
      <c r="I511">
        <v>212</v>
      </c>
      <c r="J511">
        <v>263</v>
      </c>
      <c r="K511">
        <v>0</v>
      </c>
      <c r="L511">
        <f t="shared" si="35"/>
        <v>-2</v>
      </c>
      <c r="M511">
        <f t="shared" si="36"/>
        <v>-186</v>
      </c>
      <c r="N511">
        <f t="shared" si="37"/>
        <v>55</v>
      </c>
      <c r="O511">
        <f t="shared" si="38"/>
        <v>-241</v>
      </c>
      <c r="P511">
        <f t="shared" si="39"/>
        <v>1</v>
      </c>
      <c r="Q511" t="s">
        <v>5</v>
      </c>
    </row>
    <row r="512" spans="1:17" x14ac:dyDescent="0.35">
      <c r="A512" t="s">
        <v>11</v>
      </c>
      <c r="B512">
        <v>17</v>
      </c>
      <c r="C512">
        <v>384</v>
      </c>
      <c r="D512">
        <v>312</v>
      </c>
      <c r="E512">
        <v>72</v>
      </c>
      <c r="F512">
        <v>2</v>
      </c>
      <c r="G512">
        <v>24</v>
      </c>
      <c r="H512">
        <v>499</v>
      </c>
      <c r="I512">
        <v>355</v>
      </c>
      <c r="J512">
        <v>144</v>
      </c>
      <c r="K512">
        <v>1</v>
      </c>
      <c r="L512">
        <f t="shared" si="35"/>
        <v>-7</v>
      </c>
      <c r="M512">
        <f t="shared" si="36"/>
        <v>-115</v>
      </c>
      <c r="N512">
        <f t="shared" si="37"/>
        <v>-43</v>
      </c>
      <c r="O512">
        <f t="shared" si="38"/>
        <v>-72</v>
      </c>
      <c r="P512">
        <f t="shared" si="39"/>
        <v>1</v>
      </c>
      <c r="Q512" t="s">
        <v>7</v>
      </c>
    </row>
    <row r="513" spans="1:17" x14ac:dyDescent="0.35">
      <c r="A513" t="s">
        <v>11</v>
      </c>
      <c r="B513">
        <v>18</v>
      </c>
      <c r="C513">
        <v>322</v>
      </c>
      <c r="D513">
        <v>171</v>
      </c>
      <c r="E513">
        <v>151</v>
      </c>
      <c r="F513">
        <v>0</v>
      </c>
      <c r="G513">
        <v>30</v>
      </c>
      <c r="H513">
        <v>510</v>
      </c>
      <c r="I513">
        <v>441</v>
      </c>
      <c r="J513">
        <v>69</v>
      </c>
      <c r="K513">
        <v>3</v>
      </c>
      <c r="L513">
        <f t="shared" si="35"/>
        <v>-12</v>
      </c>
      <c r="M513">
        <f t="shared" si="36"/>
        <v>-188</v>
      </c>
      <c r="N513">
        <f t="shared" si="37"/>
        <v>-270</v>
      </c>
      <c r="O513">
        <f t="shared" si="38"/>
        <v>82</v>
      </c>
      <c r="P513">
        <f t="shared" si="39"/>
        <v>-3</v>
      </c>
      <c r="Q513" t="s">
        <v>7</v>
      </c>
    </row>
    <row r="514" spans="1:17" x14ac:dyDescent="0.35">
      <c r="A514" t="s">
        <v>12</v>
      </c>
      <c r="B514">
        <v>17</v>
      </c>
      <c r="C514">
        <v>282</v>
      </c>
      <c r="D514">
        <v>181</v>
      </c>
      <c r="E514">
        <v>101</v>
      </c>
      <c r="F514">
        <v>0</v>
      </c>
      <c r="G514">
        <v>16</v>
      </c>
      <c r="H514">
        <v>321</v>
      </c>
      <c r="I514">
        <v>212</v>
      </c>
      <c r="J514">
        <v>109</v>
      </c>
      <c r="K514">
        <v>1</v>
      </c>
      <c r="L514">
        <f t="shared" ref="L514:L533" si="40">B514-G514</f>
        <v>1</v>
      </c>
      <c r="M514">
        <f t="shared" ref="M514:M533" si="41">C514-H514</f>
        <v>-39</v>
      </c>
      <c r="N514">
        <f t="shared" ref="N514:N533" si="42">D514-I514</f>
        <v>-31</v>
      </c>
      <c r="O514">
        <f t="shared" ref="O514:O533" si="43">E514-J514</f>
        <v>-8</v>
      </c>
      <c r="P514">
        <f t="shared" ref="P514:P533" si="44">F514-K514</f>
        <v>-1</v>
      </c>
      <c r="Q514" t="s">
        <v>7</v>
      </c>
    </row>
    <row r="515" spans="1:17" x14ac:dyDescent="0.35">
      <c r="A515" t="s">
        <v>12</v>
      </c>
      <c r="B515">
        <v>20</v>
      </c>
      <c r="C515">
        <v>282</v>
      </c>
      <c r="D515">
        <v>162</v>
      </c>
      <c r="E515">
        <v>120</v>
      </c>
      <c r="F515">
        <v>0</v>
      </c>
      <c r="G515">
        <v>16</v>
      </c>
      <c r="H515">
        <v>382</v>
      </c>
      <c r="I515">
        <v>318</v>
      </c>
      <c r="J515">
        <v>64</v>
      </c>
      <c r="K515">
        <v>0</v>
      </c>
      <c r="L515">
        <f t="shared" si="40"/>
        <v>4</v>
      </c>
      <c r="M515">
        <f t="shared" si="41"/>
        <v>-100</v>
      </c>
      <c r="N515">
        <f t="shared" si="42"/>
        <v>-156</v>
      </c>
      <c r="O515">
        <f t="shared" si="43"/>
        <v>56</v>
      </c>
      <c r="P515">
        <f t="shared" si="44"/>
        <v>0</v>
      </c>
      <c r="Q515" t="s">
        <v>5</v>
      </c>
    </row>
    <row r="516" spans="1:17" x14ac:dyDescent="0.35">
      <c r="A516" t="s">
        <v>12</v>
      </c>
      <c r="B516">
        <v>16</v>
      </c>
      <c r="C516">
        <v>254</v>
      </c>
      <c r="D516">
        <v>208</v>
      </c>
      <c r="E516">
        <v>46</v>
      </c>
      <c r="F516">
        <v>1</v>
      </c>
      <c r="G516">
        <v>13</v>
      </c>
      <c r="H516">
        <v>213</v>
      </c>
      <c r="I516">
        <v>166</v>
      </c>
      <c r="J516">
        <v>47</v>
      </c>
      <c r="K516">
        <v>0</v>
      </c>
      <c r="L516">
        <f t="shared" si="40"/>
        <v>3</v>
      </c>
      <c r="M516">
        <f t="shared" si="41"/>
        <v>41</v>
      </c>
      <c r="N516">
        <f t="shared" si="42"/>
        <v>42</v>
      </c>
      <c r="O516">
        <f t="shared" si="43"/>
        <v>-1</v>
      </c>
      <c r="P516">
        <f t="shared" si="44"/>
        <v>1</v>
      </c>
      <c r="Q516" t="s">
        <v>5</v>
      </c>
    </row>
    <row r="517" spans="1:17" x14ac:dyDescent="0.35">
      <c r="A517" t="s">
        <v>11</v>
      </c>
      <c r="B517">
        <v>11</v>
      </c>
      <c r="C517">
        <v>255</v>
      </c>
      <c r="D517">
        <v>182</v>
      </c>
      <c r="E517">
        <v>73</v>
      </c>
      <c r="F517">
        <v>0</v>
      </c>
      <c r="G517">
        <v>27</v>
      </c>
      <c r="H517">
        <v>418</v>
      </c>
      <c r="I517">
        <v>300</v>
      </c>
      <c r="J517">
        <v>118</v>
      </c>
      <c r="K517">
        <v>1</v>
      </c>
      <c r="L517">
        <f t="shared" si="40"/>
        <v>-16</v>
      </c>
      <c r="M517">
        <f t="shared" si="41"/>
        <v>-163</v>
      </c>
      <c r="N517">
        <f t="shared" si="42"/>
        <v>-118</v>
      </c>
      <c r="O517">
        <f t="shared" si="43"/>
        <v>-45</v>
      </c>
      <c r="P517">
        <f t="shared" si="44"/>
        <v>-1</v>
      </c>
      <c r="Q517" t="s">
        <v>5</v>
      </c>
    </row>
    <row r="518" spans="1:17" x14ac:dyDescent="0.35">
      <c r="A518" t="s">
        <v>12</v>
      </c>
      <c r="B518">
        <v>12</v>
      </c>
      <c r="C518">
        <v>292</v>
      </c>
      <c r="D518">
        <v>204</v>
      </c>
      <c r="E518">
        <v>88</v>
      </c>
      <c r="F518">
        <v>0</v>
      </c>
      <c r="G518">
        <v>21</v>
      </c>
      <c r="H518">
        <v>340</v>
      </c>
      <c r="I518">
        <v>249</v>
      </c>
      <c r="J518">
        <v>91</v>
      </c>
      <c r="K518">
        <v>1</v>
      </c>
      <c r="L518">
        <f t="shared" si="40"/>
        <v>-9</v>
      </c>
      <c r="M518">
        <f t="shared" si="41"/>
        <v>-48</v>
      </c>
      <c r="N518">
        <f t="shared" si="42"/>
        <v>-45</v>
      </c>
      <c r="O518">
        <f t="shared" si="43"/>
        <v>-3</v>
      </c>
      <c r="P518">
        <f t="shared" si="44"/>
        <v>-1</v>
      </c>
      <c r="Q518" t="s">
        <v>7</v>
      </c>
    </row>
    <row r="519" spans="1:17" x14ac:dyDescent="0.35">
      <c r="A519" t="s">
        <v>12</v>
      </c>
      <c r="B519">
        <v>26</v>
      </c>
      <c r="C519">
        <v>372</v>
      </c>
      <c r="D519">
        <v>162</v>
      </c>
      <c r="E519">
        <v>210</v>
      </c>
      <c r="F519">
        <v>2</v>
      </c>
      <c r="G519">
        <v>22</v>
      </c>
      <c r="H519">
        <v>342</v>
      </c>
      <c r="I519">
        <v>268</v>
      </c>
      <c r="J519">
        <v>74</v>
      </c>
      <c r="K519">
        <v>2</v>
      </c>
      <c r="L519">
        <f t="shared" si="40"/>
        <v>4</v>
      </c>
      <c r="M519">
        <f t="shared" si="41"/>
        <v>30</v>
      </c>
      <c r="N519">
        <f t="shared" si="42"/>
        <v>-106</v>
      </c>
      <c r="O519">
        <f t="shared" si="43"/>
        <v>136</v>
      </c>
      <c r="P519">
        <f t="shared" si="44"/>
        <v>0</v>
      </c>
      <c r="Q519" t="s">
        <v>7</v>
      </c>
    </row>
    <row r="520" spans="1:17" x14ac:dyDescent="0.35">
      <c r="A520" t="s">
        <v>12</v>
      </c>
      <c r="B520">
        <v>26</v>
      </c>
      <c r="C520">
        <v>436</v>
      </c>
      <c r="D520">
        <v>268</v>
      </c>
      <c r="E520">
        <v>168</v>
      </c>
      <c r="F520">
        <v>5</v>
      </c>
      <c r="G520">
        <v>11</v>
      </c>
      <c r="H520">
        <v>239</v>
      </c>
      <c r="I520">
        <v>160</v>
      </c>
      <c r="J520">
        <v>79</v>
      </c>
      <c r="K520">
        <v>2</v>
      </c>
      <c r="L520">
        <f t="shared" si="40"/>
        <v>15</v>
      </c>
      <c r="M520">
        <f t="shared" si="41"/>
        <v>197</v>
      </c>
      <c r="N520">
        <f t="shared" si="42"/>
        <v>108</v>
      </c>
      <c r="O520">
        <f t="shared" si="43"/>
        <v>89</v>
      </c>
      <c r="P520">
        <f t="shared" si="44"/>
        <v>3</v>
      </c>
      <c r="Q520" t="s">
        <v>7</v>
      </c>
    </row>
    <row r="521" spans="1:17" x14ac:dyDescent="0.35">
      <c r="A521" t="s">
        <v>11</v>
      </c>
      <c r="B521">
        <v>29</v>
      </c>
      <c r="C521">
        <v>448</v>
      </c>
      <c r="D521">
        <v>303</v>
      </c>
      <c r="E521">
        <v>145</v>
      </c>
      <c r="F521">
        <v>1</v>
      </c>
      <c r="G521">
        <v>16</v>
      </c>
      <c r="H521">
        <v>276</v>
      </c>
      <c r="I521">
        <v>224</v>
      </c>
      <c r="J521">
        <v>52</v>
      </c>
      <c r="K521">
        <v>0</v>
      </c>
      <c r="L521">
        <f t="shared" si="40"/>
        <v>13</v>
      </c>
      <c r="M521">
        <f t="shared" si="41"/>
        <v>172</v>
      </c>
      <c r="N521">
        <f t="shared" si="42"/>
        <v>79</v>
      </c>
      <c r="O521">
        <f t="shared" si="43"/>
        <v>93</v>
      </c>
      <c r="P521">
        <f t="shared" si="44"/>
        <v>1</v>
      </c>
      <c r="Q521" t="s">
        <v>5</v>
      </c>
    </row>
    <row r="522" spans="1:17" x14ac:dyDescent="0.35">
      <c r="A522" t="s">
        <v>12</v>
      </c>
      <c r="B522">
        <v>13</v>
      </c>
      <c r="C522">
        <v>262</v>
      </c>
      <c r="D522">
        <v>169</v>
      </c>
      <c r="E522">
        <v>93</v>
      </c>
      <c r="F522">
        <v>1</v>
      </c>
      <c r="G522">
        <v>16</v>
      </c>
      <c r="H522">
        <v>375</v>
      </c>
      <c r="I522">
        <v>305</v>
      </c>
      <c r="J522">
        <v>70</v>
      </c>
      <c r="K522">
        <v>1</v>
      </c>
      <c r="L522">
        <f t="shared" si="40"/>
        <v>-3</v>
      </c>
      <c r="M522">
        <f t="shared" si="41"/>
        <v>-113</v>
      </c>
      <c r="N522">
        <f t="shared" si="42"/>
        <v>-136</v>
      </c>
      <c r="O522">
        <f t="shared" si="43"/>
        <v>23</v>
      </c>
      <c r="P522">
        <f t="shared" si="44"/>
        <v>0</v>
      </c>
      <c r="Q522" t="s">
        <v>5</v>
      </c>
    </row>
    <row r="523" spans="1:17" x14ac:dyDescent="0.35">
      <c r="A523" t="s">
        <v>11</v>
      </c>
      <c r="B523">
        <v>26</v>
      </c>
      <c r="C523">
        <v>514</v>
      </c>
      <c r="D523">
        <v>248</v>
      </c>
      <c r="E523">
        <v>266</v>
      </c>
      <c r="F523">
        <v>0</v>
      </c>
      <c r="G523">
        <v>21</v>
      </c>
      <c r="H523">
        <v>370</v>
      </c>
      <c r="I523">
        <v>262</v>
      </c>
      <c r="J523">
        <v>108</v>
      </c>
      <c r="K523">
        <v>0</v>
      </c>
      <c r="L523">
        <f t="shared" si="40"/>
        <v>5</v>
      </c>
      <c r="M523">
        <f t="shared" si="41"/>
        <v>144</v>
      </c>
      <c r="N523">
        <f t="shared" si="42"/>
        <v>-14</v>
      </c>
      <c r="O523">
        <f t="shared" si="43"/>
        <v>158</v>
      </c>
      <c r="P523">
        <f t="shared" si="44"/>
        <v>0</v>
      </c>
      <c r="Q523" t="s">
        <v>7</v>
      </c>
    </row>
    <row r="524" spans="1:17" x14ac:dyDescent="0.35">
      <c r="A524" t="s">
        <v>11</v>
      </c>
      <c r="B524">
        <v>21</v>
      </c>
      <c r="C524">
        <v>340</v>
      </c>
      <c r="D524">
        <v>225</v>
      </c>
      <c r="E524">
        <v>115</v>
      </c>
      <c r="F524">
        <v>0</v>
      </c>
      <c r="G524">
        <v>20</v>
      </c>
      <c r="H524">
        <v>321</v>
      </c>
      <c r="I524">
        <v>206</v>
      </c>
      <c r="J524">
        <v>115</v>
      </c>
      <c r="K524">
        <v>1</v>
      </c>
      <c r="L524">
        <f t="shared" si="40"/>
        <v>1</v>
      </c>
      <c r="M524">
        <f t="shared" si="41"/>
        <v>19</v>
      </c>
      <c r="N524">
        <f t="shared" si="42"/>
        <v>19</v>
      </c>
      <c r="O524">
        <f t="shared" si="43"/>
        <v>0</v>
      </c>
      <c r="P524">
        <f t="shared" si="44"/>
        <v>-1</v>
      </c>
      <c r="Q524" t="s">
        <v>7</v>
      </c>
    </row>
    <row r="525" spans="1:17" x14ac:dyDescent="0.35">
      <c r="A525" t="s">
        <v>11</v>
      </c>
      <c r="B525">
        <v>22</v>
      </c>
      <c r="C525">
        <v>356</v>
      </c>
      <c r="D525">
        <v>232</v>
      </c>
      <c r="E525">
        <v>124</v>
      </c>
      <c r="F525">
        <v>0</v>
      </c>
      <c r="G525">
        <v>32</v>
      </c>
      <c r="H525">
        <v>426</v>
      </c>
      <c r="I525">
        <v>323</v>
      </c>
      <c r="J525">
        <v>103</v>
      </c>
      <c r="K525">
        <v>2</v>
      </c>
      <c r="L525">
        <f t="shared" si="40"/>
        <v>-10</v>
      </c>
      <c r="M525">
        <f t="shared" si="41"/>
        <v>-70</v>
      </c>
      <c r="N525">
        <f t="shared" si="42"/>
        <v>-91</v>
      </c>
      <c r="O525">
        <f t="shared" si="43"/>
        <v>21</v>
      </c>
      <c r="P525">
        <f t="shared" si="44"/>
        <v>-2</v>
      </c>
      <c r="Q525" t="s">
        <v>7</v>
      </c>
    </row>
    <row r="526" spans="1:17" x14ac:dyDescent="0.35">
      <c r="A526" t="s">
        <v>11</v>
      </c>
      <c r="B526">
        <v>18</v>
      </c>
      <c r="C526">
        <v>245</v>
      </c>
      <c r="D526">
        <v>89</v>
      </c>
      <c r="E526">
        <v>156</v>
      </c>
      <c r="F526">
        <v>0</v>
      </c>
      <c r="G526">
        <v>21</v>
      </c>
      <c r="H526">
        <v>263</v>
      </c>
      <c r="I526">
        <v>156</v>
      </c>
      <c r="J526">
        <v>107</v>
      </c>
      <c r="K526">
        <v>3</v>
      </c>
      <c r="L526">
        <f t="shared" si="40"/>
        <v>-3</v>
      </c>
      <c r="M526">
        <f t="shared" si="41"/>
        <v>-18</v>
      </c>
      <c r="N526">
        <f t="shared" si="42"/>
        <v>-67</v>
      </c>
      <c r="O526">
        <f t="shared" si="43"/>
        <v>49</v>
      </c>
      <c r="P526">
        <f t="shared" si="44"/>
        <v>-3</v>
      </c>
      <c r="Q526" t="s">
        <v>7</v>
      </c>
    </row>
    <row r="527" spans="1:17" x14ac:dyDescent="0.35">
      <c r="A527" t="s">
        <v>11</v>
      </c>
      <c r="B527">
        <v>22</v>
      </c>
      <c r="C527">
        <v>460</v>
      </c>
      <c r="D527">
        <v>244</v>
      </c>
      <c r="E527">
        <v>216</v>
      </c>
      <c r="F527">
        <v>0</v>
      </c>
      <c r="G527">
        <v>21</v>
      </c>
      <c r="H527">
        <v>291</v>
      </c>
      <c r="I527">
        <v>258</v>
      </c>
      <c r="J527">
        <v>33</v>
      </c>
      <c r="K527">
        <v>4</v>
      </c>
      <c r="L527">
        <f t="shared" si="40"/>
        <v>1</v>
      </c>
      <c r="M527">
        <f t="shared" si="41"/>
        <v>169</v>
      </c>
      <c r="N527">
        <f t="shared" si="42"/>
        <v>-14</v>
      </c>
      <c r="O527">
        <f t="shared" si="43"/>
        <v>183</v>
      </c>
      <c r="P527">
        <f t="shared" si="44"/>
        <v>-4</v>
      </c>
      <c r="Q527" t="s">
        <v>7</v>
      </c>
    </row>
    <row r="528" spans="1:17" x14ac:dyDescent="0.35">
      <c r="A528" t="s">
        <v>11</v>
      </c>
      <c r="B528">
        <v>15</v>
      </c>
      <c r="C528">
        <v>300</v>
      </c>
      <c r="D528">
        <v>83</v>
      </c>
      <c r="E528">
        <v>217</v>
      </c>
      <c r="F528">
        <v>0</v>
      </c>
      <c r="G528">
        <v>29</v>
      </c>
      <c r="H528">
        <v>530</v>
      </c>
      <c r="I528">
        <v>345</v>
      </c>
      <c r="J528">
        <v>185</v>
      </c>
      <c r="K528">
        <v>3</v>
      </c>
      <c r="L528">
        <f t="shared" si="40"/>
        <v>-14</v>
      </c>
      <c r="M528">
        <f t="shared" si="41"/>
        <v>-230</v>
      </c>
      <c r="N528">
        <f t="shared" si="42"/>
        <v>-262</v>
      </c>
      <c r="O528">
        <f t="shared" si="43"/>
        <v>32</v>
      </c>
      <c r="P528">
        <f t="shared" si="44"/>
        <v>-3</v>
      </c>
      <c r="Q528" t="s">
        <v>7</v>
      </c>
    </row>
    <row r="529" spans="1:17" x14ac:dyDescent="0.35">
      <c r="A529" t="s">
        <v>12</v>
      </c>
      <c r="B529">
        <v>23</v>
      </c>
      <c r="C529">
        <v>431</v>
      </c>
      <c r="D529">
        <v>313</v>
      </c>
      <c r="E529">
        <v>118</v>
      </c>
      <c r="F529">
        <v>0</v>
      </c>
      <c r="G529">
        <v>16</v>
      </c>
      <c r="H529">
        <v>311</v>
      </c>
      <c r="I529">
        <v>257</v>
      </c>
      <c r="J529">
        <v>54</v>
      </c>
      <c r="K529">
        <v>1</v>
      </c>
      <c r="L529">
        <f t="shared" si="40"/>
        <v>7</v>
      </c>
      <c r="M529">
        <f t="shared" si="41"/>
        <v>120</v>
      </c>
      <c r="N529">
        <f t="shared" si="42"/>
        <v>56</v>
      </c>
      <c r="O529">
        <f t="shared" si="43"/>
        <v>64</v>
      </c>
      <c r="P529">
        <f t="shared" si="44"/>
        <v>-1</v>
      </c>
      <c r="Q529" t="s">
        <v>7</v>
      </c>
    </row>
    <row r="530" spans="1:17" x14ac:dyDescent="0.35">
      <c r="A530" t="s">
        <v>11</v>
      </c>
      <c r="B530">
        <v>11</v>
      </c>
      <c r="C530">
        <v>224</v>
      </c>
      <c r="D530">
        <v>150</v>
      </c>
      <c r="E530">
        <v>74</v>
      </c>
      <c r="F530">
        <v>1</v>
      </c>
      <c r="G530">
        <v>23</v>
      </c>
      <c r="H530">
        <v>375</v>
      </c>
      <c r="I530">
        <v>240</v>
      </c>
      <c r="J530">
        <v>135</v>
      </c>
      <c r="K530">
        <v>4</v>
      </c>
      <c r="L530">
        <f t="shared" si="40"/>
        <v>-12</v>
      </c>
      <c r="M530">
        <f t="shared" si="41"/>
        <v>-151</v>
      </c>
      <c r="N530">
        <f t="shared" si="42"/>
        <v>-90</v>
      </c>
      <c r="O530">
        <f t="shared" si="43"/>
        <v>-61</v>
      </c>
      <c r="P530">
        <f t="shared" si="44"/>
        <v>-3</v>
      </c>
      <c r="Q530" t="s">
        <v>7</v>
      </c>
    </row>
    <row r="531" spans="1:17" x14ac:dyDescent="0.35">
      <c r="A531" t="s">
        <v>12</v>
      </c>
      <c r="B531">
        <v>21</v>
      </c>
      <c r="C531">
        <v>284</v>
      </c>
      <c r="D531">
        <v>265</v>
      </c>
      <c r="E531">
        <v>19</v>
      </c>
      <c r="F531">
        <v>0</v>
      </c>
      <c r="G531">
        <v>19</v>
      </c>
      <c r="H531">
        <v>366</v>
      </c>
      <c r="I531">
        <v>267</v>
      </c>
      <c r="J531">
        <v>99</v>
      </c>
      <c r="K531">
        <v>0</v>
      </c>
      <c r="L531">
        <f t="shared" si="40"/>
        <v>2</v>
      </c>
      <c r="M531">
        <f t="shared" si="41"/>
        <v>-82</v>
      </c>
      <c r="N531">
        <f t="shared" si="42"/>
        <v>-2</v>
      </c>
      <c r="O531">
        <f t="shared" si="43"/>
        <v>-80</v>
      </c>
      <c r="P531">
        <f t="shared" si="44"/>
        <v>0</v>
      </c>
      <c r="Q531" t="s">
        <v>5</v>
      </c>
    </row>
    <row r="532" spans="1:17" x14ac:dyDescent="0.35">
      <c r="A532" t="s">
        <v>11</v>
      </c>
      <c r="B532">
        <v>18</v>
      </c>
      <c r="C532">
        <v>477</v>
      </c>
      <c r="D532">
        <v>380</v>
      </c>
      <c r="E532">
        <v>97</v>
      </c>
      <c r="F532">
        <v>1</v>
      </c>
      <c r="G532">
        <v>16</v>
      </c>
      <c r="H532">
        <v>238</v>
      </c>
      <c r="I532">
        <v>168</v>
      </c>
      <c r="J532">
        <v>70</v>
      </c>
      <c r="K532">
        <v>1</v>
      </c>
      <c r="L532">
        <f t="shared" si="40"/>
        <v>2</v>
      </c>
      <c r="M532">
        <f t="shared" si="41"/>
        <v>239</v>
      </c>
      <c r="N532">
        <f t="shared" si="42"/>
        <v>212</v>
      </c>
      <c r="O532">
        <f t="shared" si="43"/>
        <v>27</v>
      </c>
      <c r="P532">
        <f t="shared" si="44"/>
        <v>0</v>
      </c>
      <c r="Q532" t="s">
        <v>5</v>
      </c>
    </row>
    <row r="533" spans="1:17" x14ac:dyDescent="0.35">
      <c r="A533" t="s">
        <v>12</v>
      </c>
      <c r="B533">
        <v>23</v>
      </c>
      <c r="C533">
        <v>385</v>
      </c>
      <c r="D533">
        <v>174</v>
      </c>
      <c r="E533">
        <v>211</v>
      </c>
      <c r="F533">
        <v>0</v>
      </c>
      <c r="G533">
        <v>17</v>
      </c>
      <c r="H533">
        <v>302</v>
      </c>
      <c r="I533">
        <v>214</v>
      </c>
      <c r="J533">
        <v>88</v>
      </c>
      <c r="K533">
        <v>1</v>
      </c>
      <c r="L533">
        <f t="shared" si="40"/>
        <v>6</v>
      </c>
      <c r="M533">
        <f t="shared" si="41"/>
        <v>83</v>
      </c>
      <c r="N533">
        <f t="shared" si="42"/>
        <v>-40</v>
      </c>
      <c r="O533">
        <f t="shared" si="43"/>
        <v>123</v>
      </c>
      <c r="P533">
        <f t="shared" si="44"/>
        <v>-1</v>
      </c>
      <c r="Q533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3"/>
  <sheetViews>
    <sheetView workbookViewId="0">
      <pane ySplit="1" topLeftCell="A478" activePane="bottomLeft" state="frozen"/>
      <selection pane="bottomLeft" activeCell="A481" sqref="A481"/>
    </sheetView>
  </sheetViews>
  <sheetFormatPr defaultRowHeight="14.5" x14ac:dyDescent="0.35"/>
  <sheetData>
    <row r="1" spans="1:7" ht="29" x14ac:dyDescent="0.35">
      <c r="A1" s="1" t="s">
        <v>10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9</v>
      </c>
    </row>
    <row r="2" spans="1:7" x14ac:dyDescent="0.35">
      <c r="A2" t="s">
        <v>12</v>
      </c>
      <c r="B2">
        <v>9</v>
      </c>
      <c r="C2">
        <v>259</v>
      </c>
      <c r="D2">
        <v>125</v>
      </c>
      <c r="E2">
        <v>134</v>
      </c>
      <c r="F2">
        <v>-2</v>
      </c>
      <c r="G2" t="s">
        <v>7</v>
      </c>
    </row>
    <row r="3" spans="1:7" x14ac:dyDescent="0.35">
      <c r="A3" t="s">
        <v>11</v>
      </c>
      <c r="B3">
        <v>-4</v>
      </c>
      <c r="C3">
        <v>-151</v>
      </c>
      <c r="D3">
        <v>-158</v>
      </c>
      <c r="E3">
        <v>7</v>
      </c>
      <c r="F3">
        <v>1</v>
      </c>
      <c r="G3" t="s">
        <v>5</v>
      </c>
    </row>
    <row r="4" spans="1:7" x14ac:dyDescent="0.35">
      <c r="A4" t="s">
        <v>12</v>
      </c>
      <c r="B4">
        <v>15</v>
      </c>
      <c r="C4">
        <v>276</v>
      </c>
      <c r="D4">
        <v>244</v>
      </c>
      <c r="E4">
        <v>32</v>
      </c>
      <c r="F4">
        <v>1</v>
      </c>
      <c r="G4" t="s">
        <v>7</v>
      </c>
    </row>
    <row r="5" spans="1:7" x14ac:dyDescent="0.35">
      <c r="A5" t="s">
        <v>11</v>
      </c>
      <c r="B5">
        <v>-2</v>
      </c>
      <c r="C5">
        <v>-74</v>
      </c>
      <c r="D5">
        <v>-28</v>
      </c>
      <c r="E5">
        <v>-46</v>
      </c>
      <c r="F5">
        <v>0</v>
      </c>
      <c r="G5" t="s">
        <v>5</v>
      </c>
    </row>
    <row r="6" spans="1:7" x14ac:dyDescent="0.35">
      <c r="A6" t="s">
        <v>11</v>
      </c>
      <c r="B6">
        <v>9</v>
      </c>
      <c r="C6">
        <v>157</v>
      </c>
      <c r="D6">
        <v>105</v>
      </c>
      <c r="E6">
        <v>52</v>
      </c>
      <c r="F6">
        <v>-3</v>
      </c>
      <c r="G6" t="s">
        <v>7</v>
      </c>
    </row>
    <row r="7" spans="1:7" x14ac:dyDescent="0.35">
      <c r="A7" t="s">
        <v>12</v>
      </c>
      <c r="B7">
        <v>8</v>
      </c>
      <c r="C7">
        <v>247</v>
      </c>
      <c r="D7">
        <v>11</v>
      </c>
      <c r="E7">
        <v>236</v>
      </c>
      <c r="F7">
        <v>0</v>
      </c>
      <c r="G7" t="s">
        <v>7</v>
      </c>
    </row>
    <row r="8" spans="1:7" x14ac:dyDescent="0.35">
      <c r="A8" t="s">
        <v>11</v>
      </c>
      <c r="B8">
        <v>-9</v>
      </c>
      <c r="C8">
        <v>-136</v>
      </c>
      <c r="D8">
        <v>-4</v>
      </c>
      <c r="E8">
        <v>-132</v>
      </c>
      <c r="F8">
        <v>0</v>
      </c>
      <c r="G8" t="s">
        <v>5</v>
      </c>
    </row>
    <row r="9" spans="1:7" x14ac:dyDescent="0.35">
      <c r="A9" t="s">
        <v>12</v>
      </c>
      <c r="B9">
        <v>3</v>
      </c>
      <c r="C9">
        <v>96</v>
      </c>
      <c r="D9">
        <v>128</v>
      </c>
      <c r="E9">
        <v>-32</v>
      </c>
      <c r="F9">
        <v>0</v>
      </c>
      <c r="G9" t="s">
        <v>7</v>
      </c>
    </row>
    <row r="10" spans="1:7" x14ac:dyDescent="0.35">
      <c r="A10" t="s">
        <v>11</v>
      </c>
      <c r="B10">
        <v>7</v>
      </c>
      <c r="C10">
        <v>2</v>
      </c>
      <c r="D10">
        <v>1</v>
      </c>
      <c r="E10">
        <v>1</v>
      </c>
      <c r="F10">
        <v>0</v>
      </c>
      <c r="G10" t="s">
        <v>5</v>
      </c>
    </row>
    <row r="11" spans="1:7" x14ac:dyDescent="0.35">
      <c r="A11" t="s">
        <v>12</v>
      </c>
      <c r="B11">
        <v>3</v>
      </c>
      <c r="C11">
        <v>6</v>
      </c>
      <c r="D11">
        <v>24</v>
      </c>
      <c r="E11">
        <v>-18</v>
      </c>
      <c r="F11">
        <v>0</v>
      </c>
      <c r="G11" t="s">
        <v>7</v>
      </c>
    </row>
    <row r="12" spans="1:7" x14ac:dyDescent="0.35">
      <c r="A12" t="s">
        <v>11</v>
      </c>
      <c r="B12">
        <v>-14</v>
      </c>
      <c r="C12">
        <v>-10</v>
      </c>
      <c r="D12">
        <v>27</v>
      </c>
      <c r="E12">
        <v>-37</v>
      </c>
      <c r="F12">
        <v>0</v>
      </c>
      <c r="G12" t="s">
        <v>5</v>
      </c>
    </row>
    <row r="13" spans="1:7" x14ac:dyDescent="0.35">
      <c r="A13" t="s">
        <v>12</v>
      </c>
      <c r="B13">
        <v>-10</v>
      </c>
      <c r="C13">
        <v>-197</v>
      </c>
      <c r="D13">
        <v>-235</v>
      </c>
      <c r="E13">
        <v>38</v>
      </c>
      <c r="F13">
        <v>-2</v>
      </c>
      <c r="G13" t="s">
        <v>7</v>
      </c>
    </row>
    <row r="14" spans="1:7" x14ac:dyDescent="0.35">
      <c r="A14" t="s">
        <v>11</v>
      </c>
      <c r="B14">
        <v>5</v>
      </c>
      <c r="C14">
        <v>166</v>
      </c>
      <c r="D14">
        <v>30</v>
      </c>
      <c r="E14">
        <v>136</v>
      </c>
      <c r="F14">
        <v>-1</v>
      </c>
      <c r="G14" t="s">
        <v>7</v>
      </c>
    </row>
    <row r="15" spans="1:7" x14ac:dyDescent="0.35">
      <c r="A15" t="s">
        <v>11</v>
      </c>
      <c r="B15">
        <v>-2</v>
      </c>
      <c r="C15">
        <v>-47</v>
      </c>
      <c r="D15">
        <v>-15</v>
      </c>
      <c r="E15">
        <v>-32</v>
      </c>
      <c r="F15">
        <v>2</v>
      </c>
      <c r="G15" t="s">
        <v>5</v>
      </c>
    </row>
    <row r="16" spans="1:7" x14ac:dyDescent="0.35">
      <c r="A16" t="s">
        <v>12</v>
      </c>
      <c r="B16">
        <v>3</v>
      </c>
      <c r="C16">
        <v>31</v>
      </c>
      <c r="D16">
        <v>-11</v>
      </c>
      <c r="E16">
        <v>42</v>
      </c>
      <c r="F16">
        <v>-5</v>
      </c>
      <c r="G16" t="s">
        <v>7</v>
      </c>
    </row>
    <row r="17" spans="1:7" x14ac:dyDescent="0.35">
      <c r="A17" t="s">
        <v>12</v>
      </c>
      <c r="B17">
        <v>-2</v>
      </c>
      <c r="C17">
        <v>-85</v>
      </c>
      <c r="D17">
        <v>-42</v>
      </c>
      <c r="E17">
        <v>-43</v>
      </c>
      <c r="F17">
        <v>0</v>
      </c>
      <c r="G17" t="s">
        <v>7</v>
      </c>
    </row>
    <row r="18" spans="1:7" x14ac:dyDescent="0.35">
      <c r="A18" t="s">
        <v>12</v>
      </c>
      <c r="B18">
        <v>3</v>
      </c>
      <c r="C18">
        <v>13</v>
      </c>
      <c r="D18">
        <v>-40</v>
      </c>
      <c r="E18">
        <v>53</v>
      </c>
      <c r="F18">
        <v>-2</v>
      </c>
      <c r="G18" t="s">
        <v>7</v>
      </c>
    </row>
    <row r="19" spans="1:7" x14ac:dyDescent="0.35">
      <c r="A19" t="s">
        <v>12</v>
      </c>
      <c r="B19">
        <v>10</v>
      </c>
      <c r="C19">
        <v>70</v>
      </c>
      <c r="D19">
        <v>91</v>
      </c>
      <c r="E19">
        <v>-21</v>
      </c>
      <c r="F19">
        <v>2</v>
      </c>
      <c r="G19" t="s">
        <v>5</v>
      </c>
    </row>
    <row r="20" spans="1:7" x14ac:dyDescent="0.35">
      <c r="A20" t="s">
        <v>12</v>
      </c>
      <c r="B20">
        <v>-1</v>
      </c>
      <c r="C20">
        <v>-169</v>
      </c>
      <c r="D20">
        <v>14</v>
      </c>
      <c r="E20">
        <v>-183</v>
      </c>
      <c r="F20">
        <v>4</v>
      </c>
      <c r="G20" t="s">
        <v>5</v>
      </c>
    </row>
    <row r="21" spans="1:7" x14ac:dyDescent="0.35">
      <c r="A21" t="s">
        <v>12</v>
      </c>
      <c r="B21">
        <v>-11</v>
      </c>
      <c r="C21">
        <v>-157</v>
      </c>
      <c r="D21">
        <v>-150</v>
      </c>
      <c r="E21">
        <v>-7</v>
      </c>
      <c r="F21">
        <v>1</v>
      </c>
      <c r="G21" t="s">
        <v>5</v>
      </c>
    </row>
    <row r="22" spans="1:7" x14ac:dyDescent="0.35">
      <c r="A22" t="s">
        <v>11</v>
      </c>
      <c r="B22">
        <v>1</v>
      </c>
      <c r="C22">
        <v>23</v>
      </c>
      <c r="D22">
        <v>104</v>
      </c>
      <c r="E22">
        <v>-81</v>
      </c>
      <c r="F22">
        <v>2</v>
      </c>
      <c r="G22" t="s">
        <v>5</v>
      </c>
    </row>
    <row r="23" spans="1:7" x14ac:dyDescent="0.35">
      <c r="A23" t="s">
        <v>12</v>
      </c>
      <c r="B23">
        <v>-2</v>
      </c>
      <c r="C23">
        <v>-48</v>
      </c>
      <c r="D23">
        <v>-34</v>
      </c>
      <c r="E23">
        <v>-14</v>
      </c>
      <c r="F23">
        <v>0</v>
      </c>
      <c r="G23" t="s">
        <v>5</v>
      </c>
    </row>
    <row r="24" spans="1:7" x14ac:dyDescent="0.35">
      <c r="A24" t="s">
        <v>12</v>
      </c>
      <c r="B24">
        <v>7</v>
      </c>
      <c r="C24">
        <v>119</v>
      </c>
      <c r="D24">
        <v>45</v>
      </c>
      <c r="E24">
        <v>74</v>
      </c>
      <c r="F24">
        <v>-3</v>
      </c>
      <c r="G24" t="s">
        <v>7</v>
      </c>
    </row>
    <row r="25" spans="1:7" x14ac:dyDescent="0.35">
      <c r="A25" t="s">
        <v>12</v>
      </c>
      <c r="B25">
        <v>4</v>
      </c>
      <c r="C25">
        <v>63</v>
      </c>
      <c r="D25">
        <v>124</v>
      </c>
      <c r="E25">
        <v>-61</v>
      </c>
      <c r="F25">
        <v>1</v>
      </c>
      <c r="G25" t="s">
        <v>5</v>
      </c>
    </row>
    <row r="26" spans="1:7" x14ac:dyDescent="0.35">
      <c r="A26" t="s">
        <v>11</v>
      </c>
      <c r="B26">
        <v>9</v>
      </c>
      <c r="C26">
        <v>50</v>
      </c>
      <c r="D26">
        <v>-24</v>
      </c>
      <c r="E26">
        <v>74</v>
      </c>
      <c r="F26">
        <v>-3</v>
      </c>
      <c r="G26" t="s">
        <v>7</v>
      </c>
    </row>
    <row r="27" spans="1:7" x14ac:dyDescent="0.35">
      <c r="A27" t="s">
        <v>12</v>
      </c>
      <c r="B27">
        <v>-1</v>
      </c>
      <c r="C27">
        <v>35</v>
      </c>
      <c r="D27">
        <v>138</v>
      </c>
      <c r="E27">
        <v>-103</v>
      </c>
      <c r="F27">
        <v>1</v>
      </c>
      <c r="G27" t="s">
        <v>5</v>
      </c>
    </row>
    <row r="28" spans="1:7" x14ac:dyDescent="0.35">
      <c r="A28" t="s">
        <v>12</v>
      </c>
      <c r="B28">
        <v>-13</v>
      </c>
      <c r="C28">
        <v>-255</v>
      </c>
      <c r="D28">
        <v>-21</v>
      </c>
      <c r="E28">
        <v>-234</v>
      </c>
      <c r="F28">
        <v>0</v>
      </c>
      <c r="G28" t="s">
        <v>5</v>
      </c>
    </row>
    <row r="29" spans="1:7" x14ac:dyDescent="0.35">
      <c r="A29" t="s">
        <v>11</v>
      </c>
      <c r="B29">
        <v>13</v>
      </c>
      <c r="C29">
        <v>255</v>
      </c>
      <c r="D29">
        <v>21</v>
      </c>
      <c r="E29">
        <v>234</v>
      </c>
      <c r="F29">
        <v>0</v>
      </c>
      <c r="G29" t="s">
        <v>7</v>
      </c>
    </row>
    <row r="30" spans="1:7" x14ac:dyDescent="0.35">
      <c r="A30" t="s">
        <v>12</v>
      </c>
      <c r="B30">
        <v>5</v>
      </c>
      <c r="C30">
        <v>136</v>
      </c>
      <c r="D30">
        <v>78</v>
      </c>
      <c r="E30">
        <v>58</v>
      </c>
      <c r="F30">
        <v>0</v>
      </c>
      <c r="G30" t="s">
        <v>7</v>
      </c>
    </row>
    <row r="31" spans="1:7" x14ac:dyDescent="0.35">
      <c r="A31" t="s">
        <v>12</v>
      </c>
      <c r="B31">
        <v>-7</v>
      </c>
      <c r="C31">
        <v>-197</v>
      </c>
      <c r="D31">
        <v>-243</v>
      </c>
      <c r="E31">
        <v>46</v>
      </c>
      <c r="F31">
        <v>-1</v>
      </c>
      <c r="G31" t="s">
        <v>5</v>
      </c>
    </row>
    <row r="32" spans="1:7" x14ac:dyDescent="0.35">
      <c r="A32" t="s">
        <v>11</v>
      </c>
      <c r="B32">
        <v>-9</v>
      </c>
      <c r="C32">
        <v>-219</v>
      </c>
      <c r="D32">
        <v>-110</v>
      </c>
      <c r="E32">
        <v>-109</v>
      </c>
      <c r="F32">
        <v>0</v>
      </c>
      <c r="G32" t="s">
        <v>5</v>
      </c>
    </row>
    <row r="33" spans="1:7" x14ac:dyDescent="0.35">
      <c r="A33" t="s">
        <v>11</v>
      </c>
      <c r="B33">
        <v>3</v>
      </c>
      <c r="C33">
        <v>-79</v>
      </c>
      <c r="D33">
        <v>-182</v>
      </c>
      <c r="E33">
        <v>103</v>
      </c>
      <c r="F33">
        <v>-1</v>
      </c>
      <c r="G33" t="s">
        <v>7</v>
      </c>
    </row>
    <row r="34" spans="1:7" x14ac:dyDescent="0.35">
      <c r="A34" t="s">
        <v>12</v>
      </c>
      <c r="B34">
        <v>7</v>
      </c>
      <c r="C34">
        <v>90</v>
      </c>
      <c r="D34">
        <v>-50</v>
      </c>
      <c r="E34">
        <v>140</v>
      </c>
      <c r="F34">
        <v>-1</v>
      </c>
      <c r="G34" t="s">
        <v>7</v>
      </c>
    </row>
    <row r="35" spans="1:7" x14ac:dyDescent="0.35">
      <c r="A35" t="s">
        <v>12</v>
      </c>
      <c r="B35">
        <v>-2</v>
      </c>
      <c r="C35">
        <v>51</v>
      </c>
      <c r="D35">
        <v>114</v>
      </c>
      <c r="E35">
        <v>-63</v>
      </c>
      <c r="F35">
        <v>0</v>
      </c>
      <c r="G35" t="s">
        <v>7</v>
      </c>
    </row>
    <row r="36" spans="1:7" x14ac:dyDescent="0.35">
      <c r="A36" t="s">
        <v>12</v>
      </c>
      <c r="B36">
        <v>-10</v>
      </c>
      <c r="C36">
        <v>-169</v>
      </c>
      <c r="D36">
        <v>-176</v>
      </c>
      <c r="E36">
        <v>7</v>
      </c>
      <c r="F36">
        <v>5</v>
      </c>
      <c r="G36" t="s">
        <v>5</v>
      </c>
    </row>
    <row r="37" spans="1:7" x14ac:dyDescent="0.35">
      <c r="A37" t="s">
        <v>12</v>
      </c>
      <c r="B37">
        <v>-2</v>
      </c>
      <c r="C37">
        <v>-1</v>
      </c>
      <c r="D37">
        <v>-11</v>
      </c>
      <c r="E37">
        <v>10</v>
      </c>
      <c r="F37">
        <v>-1</v>
      </c>
      <c r="G37" t="s">
        <v>7</v>
      </c>
    </row>
    <row r="38" spans="1:7" x14ac:dyDescent="0.35">
      <c r="A38" t="s">
        <v>12</v>
      </c>
      <c r="B38">
        <v>15</v>
      </c>
      <c r="C38">
        <v>157</v>
      </c>
      <c r="D38">
        <v>31</v>
      </c>
      <c r="E38">
        <v>126</v>
      </c>
      <c r="F38">
        <v>1</v>
      </c>
      <c r="G38" t="s">
        <v>5</v>
      </c>
    </row>
    <row r="39" spans="1:7" x14ac:dyDescent="0.35">
      <c r="A39" t="s">
        <v>12</v>
      </c>
      <c r="B39">
        <v>-3</v>
      </c>
      <c r="C39">
        <v>-45</v>
      </c>
      <c r="D39">
        <v>-2</v>
      </c>
      <c r="E39">
        <v>-43</v>
      </c>
      <c r="F39">
        <v>-2</v>
      </c>
      <c r="G39" t="s">
        <v>5</v>
      </c>
    </row>
    <row r="40" spans="1:7" x14ac:dyDescent="0.35">
      <c r="A40" t="s">
        <v>11</v>
      </c>
      <c r="B40">
        <v>-8</v>
      </c>
      <c r="C40">
        <v>40</v>
      </c>
      <c r="D40">
        <v>-21</v>
      </c>
      <c r="E40">
        <v>61</v>
      </c>
      <c r="F40">
        <v>-2</v>
      </c>
      <c r="G40" t="s">
        <v>7</v>
      </c>
    </row>
    <row r="41" spans="1:7" x14ac:dyDescent="0.35">
      <c r="A41" t="s">
        <v>12</v>
      </c>
      <c r="B41">
        <v>16</v>
      </c>
      <c r="C41">
        <v>209</v>
      </c>
      <c r="D41">
        <v>125</v>
      </c>
      <c r="E41">
        <v>84</v>
      </c>
      <c r="F41">
        <v>-1</v>
      </c>
      <c r="G41" t="s">
        <v>7</v>
      </c>
    </row>
    <row r="42" spans="1:7" x14ac:dyDescent="0.35">
      <c r="A42" t="s">
        <v>12</v>
      </c>
      <c r="B42">
        <v>2</v>
      </c>
      <c r="C42">
        <v>-8</v>
      </c>
      <c r="D42">
        <v>30</v>
      </c>
      <c r="E42">
        <v>-38</v>
      </c>
      <c r="F42">
        <v>-1</v>
      </c>
      <c r="G42" t="s">
        <v>7</v>
      </c>
    </row>
    <row r="43" spans="1:7" x14ac:dyDescent="0.35">
      <c r="A43" t="s">
        <v>12</v>
      </c>
      <c r="B43">
        <v>-5</v>
      </c>
      <c r="C43">
        <v>-46</v>
      </c>
      <c r="D43">
        <v>-58</v>
      </c>
      <c r="E43">
        <v>12</v>
      </c>
      <c r="F43">
        <v>0</v>
      </c>
      <c r="G43" t="s">
        <v>5</v>
      </c>
    </row>
    <row r="44" spans="1:7" x14ac:dyDescent="0.35">
      <c r="A44" t="s">
        <v>11</v>
      </c>
      <c r="B44">
        <v>-4</v>
      </c>
      <c r="C44">
        <v>-30</v>
      </c>
      <c r="D44">
        <v>106</v>
      </c>
      <c r="E44">
        <v>-136</v>
      </c>
      <c r="F44">
        <v>0</v>
      </c>
      <c r="G44" t="s">
        <v>5</v>
      </c>
    </row>
    <row r="45" spans="1:7" x14ac:dyDescent="0.35">
      <c r="A45" t="s">
        <v>12</v>
      </c>
      <c r="B45">
        <v>0</v>
      </c>
      <c r="C45">
        <v>-54</v>
      </c>
      <c r="D45">
        <v>88</v>
      </c>
      <c r="E45">
        <v>-142</v>
      </c>
      <c r="F45">
        <v>3</v>
      </c>
      <c r="G45" t="s">
        <v>5</v>
      </c>
    </row>
    <row r="46" spans="1:7" x14ac:dyDescent="0.35">
      <c r="A46" t="s">
        <v>11</v>
      </c>
      <c r="B46">
        <v>5</v>
      </c>
      <c r="C46">
        <v>160</v>
      </c>
      <c r="D46">
        <v>258</v>
      </c>
      <c r="E46">
        <v>-98</v>
      </c>
      <c r="F46">
        <v>-1</v>
      </c>
      <c r="G46" t="s">
        <v>7</v>
      </c>
    </row>
    <row r="47" spans="1:7" x14ac:dyDescent="0.35">
      <c r="A47" t="s">
        <v>11</v>
      </c>
      <c r="B47">
        <v>8</v>
      </c>
      <c r="C47">
        <v>164</v>
      </c>
      <c r="D47">
        <v>94</v>
      </c>
      <c r="E47">
        <v>70</v>
      </c>
      <c r="F47">
        <v>1</v>
      </c>
      <c r="G47" t="s">
        <v>7</v>
      </c>
    </row>
    <row r="48" spans="1:7" x14ac:dyDescent="0.35">
      <c r="A48" t="s">
        <v>12</v>
      </c>
      <c r="B48">
        <v>8</v>
      </c>
      <c r="C48">
        <v>81</v>
      </c>
      <c r="D48">
        <v>-154</v>
      </c>
      <c r="E48">
        <v>235</v>
      </c>
      <c r="F48">
        <v>1</v>
      </c>
      <c r="G48" t="s">
        <v>7</v>
      </c>
    </row>
    <row r="49" spans="1:7" x14ac:dyDescent="0.35">
      <c r="A49" t="s">
        <v>12</v>
      </c>
      <c r="B49">
        <v>1</v>
      </c>
      <c r="C49">
        <v>52</v>
      </c>
      <c r="D49">
        <v>-22</v>
      </c>
      <c r="E49">
        <v>74</v>
      </c>
      <c r="F49">
        <v>-1</v>
      </c>
      <c r="G49" t="s">
        <v>7</v>
      </c>
    </row>
    <row r="50" spans="1:7" x14ac:dyDescent="0.35">
      <c r="A50" t="s">
        <v>12</v>
      </c>
      <c r="B50">
        <v>9</v>
      </c>
      <c r="C50">
        <v>136</v>
      </c>
      <c r="D50">
        <v>4</v>
      </c>
      <c r="E50">
        <v>132</v>
      </c>
      <c r="F50">
        <v>0</v>
      </c>
      <c r="G50" t="s">
        <v>7</v>
      </c>
    </row>
    <row r="51" spans="1:7" x14ac:dyDescent="0.35">
      <c r="A51" t="s">
        <v>11</v>
      </c>
      <c r="B51">
        <v>1</v>
      </c>
      <c r="C51">
        <v>-57</v>
      </c>
      <c r="D51">
        <v>-11</v>
      </c>
      <c r="E51">
        <v>-46</v>
      </c>
      <c r="F51">
        <v>4</v>
      </c>
      <c r="G51" t="s">
        <v>5</v>
      </c>
    </row>
    <row r="52" spans="1:7" x14ac:dyDescent="0.35">
      <c r="A52" t="s">
        <v>12</v>
      </c>
      <c r="B52">
        <v>-8</v>
      </c>
      <c r="C52">
        <v>-127</v>
      </c>
      <c r="D52">
        <v>-178</v>
      </c>
      <c r="E52">
        <v>51</v>
      </c>
      <c r="F52">
        <v>0</v>
      </c>
      <c r="G52" t="s">
        <v>5</v>
      </c>
    </row>
    <row r="53" spans="1:7" x14ac:dyDescent="0.35">
      <c r="A53" t="s">
        <v>12</v>
      </c>
      <c r="B53">
        <v>-14</v>
      </c>
      <c r="C53">
        <v>-240</v>
      </c>
      <c r="D53">
        <v>-54</v>
      </c>
      <c r="E53">
        <v>-186</v>
      </c>
      <c r="F53">
        <v>0</v>
      </c>
      <c r="G53" t="s">
        <v>5</v>
      </c>
    </row>
    <row r="54" spans="1:7" x14ac:dyDescent="0.35">
      <c r="A54" t="s">
        <v>11</v>
      </c>
      <c r="B54">
        <v>-8</v>
      </c>
      <c r="C54">
        <v>-110</v>
      </c>
      <c r="D54">
        <v>-1</v>
      </c>
      <c r="E54">
        <v>-109</v>
      </c>
      <c r="F54">
        <v>2</v>
      </c>
      <c r="G54" t="s">
        <v>5</v>
      </c>
    </row>
    <row r="55" spans="1:7" x14ac:dyDescent="0.35">
      <c r="A55" t="s">
        <v>12</v>
      </c>
      <c r="B55">
        <v>-8</v>
      </c>
      <c r="C55">
        <v>-63</v>
      </c>
      <c r="D55">
        <v>-7</v>
      </c>
      <c r="E55">
        <v>-56</v>
      </c>
      <c r="F55">
        <v>0</v>
      </c>
      <c r="G55" t="s">
        <v>5</v>
      </c>
    </row>
    <row r="56" spans="1:7" x14ac:dyDescent="0.35">
      <c r="A56" t="s">
        <v>11</v>
      </c>
      <c r="B56">
        <v>2</v>
      </c>
      <c r="C56">
        <v>74</v>
      </c>
      <c r="D56">
        <v>79</v>
      </c>
      <c r="E56">
        <v>-5</v>
      </c>
      <c r="F56">
        <v>2</v>
      </c>
      <c r="G56" t="s">
        <v>7</v>
      </c>
    </row>
    <row r="57" spans="1:7" x14ac:dyDescent="0.35">
      <c r="A57" t="s">
        <v>11</v>
      </c>
      <c r="B57">
        <v>-4</v>
      </c>
      <c r="C57">
        <v>-123</v>
      </c>
      <c r="D57">
        <v>-73</v>
      </c>
      <c r="E57">
        <v>-50</v>
      </c>
      <c r="F57">
        <v>2</v>
      </c>
      <c r="G57" t="s">
        <v>5</v>
      </c>
    </row>
    <row r="58" spans="1:7" x14ac:dyDescent="0.35">
      <c r="A58" t="s">
        <v>11</v>
      </c>
      <c r="B58">
        <v>-6</v>
      </c>
      <c r="C58">
        <v>-71</v>
      </c>
      <c r="D58">
        <v>-32</v>
      </c>
      <c r="E58">
        <v>-39</v>
      </c>
      <c r="F58">
        <v>-1</v>
      </c>
      <c r="G58" t="s">
        <v>7</v>
      </c>
    </row>
    <row r="59" spans="1:7" x14ac:dyDescent="0.35">
      <c r="A59" t="s">
        <v>11</v>
      </c>
      <c r="B59">
        <v>-17</v>
      </c>
      <c r="C59">
        <v>-214</v>
      </c>
      <c r="D59">
        <v>-152</v>
      </c>
      <c r="E59">
        <v>-62</v>
      </c>
      <c r="F59">
        <v>2</v>
      </c>
      <c r="G59" t="s">
        <v>5</v>
      </c>
    </row>
    <row r="60" spans="1:7" x14ac:dyDescent="0.35">
      <c r="A60" t="s">
        <v>12</v>
      </c>
      <c r="B60">
        <v>-13</v>
      </c>
      <c r="C60">
        <v>-172</v>
      </c>
      <c r="D60">
        <v>-79</v>
      </c>
      <c r="E60">
        <v>-93</v>
      </c>
      <c r="F60">
        <v>-1</v>
      </c>
      <c r="G60" t="s">
        <v>7</v>
      </c>
    </row>
    <row r="61" spans="1:7" x14ac:dyDescent="0.35">
      <c r="A61" t="s">
        <v>11</v>
      </c>
      <c r="B61">
        <v>-6</v>
      </c>
      <c r="C61">
        <v>-38</v>
      </c>
      <c r="D61">
        <v>93</v>
      </c>
      <c r="E61">
        <v>-131</v>
      </c>
      <c r="F61">
        <v>3</v>
      </c>
      <c r="G61" t="s">
        <v>5</v>
      </c>
    </row>
    <row r="62" spans="1:7" x14ac:dyDescent="0.35">
      <c r="A62" t="s">
        <v>11</v>
      </c>
      <c r="B62">
        <v>-3</v>
      </c>
      <c r="C62">
        <v>-13</v>
      </c>
      <c r="D62">
        <v>40</v>
      </c>
      <c r="E62">
        <v>-53</v>
      </c>
      <c r="F62">
        <v>2</v>
      </c>
      <c r="G62" t="s">
        <v>5</v>
      </c>
    </row>
    <row r="63" spans="1:7" x14ac:dyDescent="0.35">
      <c r="A63" t="s">
        <v>11</v>
      </c>
      <c r="B63">
        <v>-6</v>
      </c>
      <c r="C63">
        <v>-25</v>
      </c>
      <c r="D63">
        <v>-30</v>
      </c>
      <c r="E63">
        <v>5</v>
      </c>
      <c r="F63">
        <v>0</v>
      </c>
      <c r="G63" t="s">
        <v>5</v>
      </c>
    </row>
    <row r="64" spans="1:7" x14ac:dyDescent="0.35">
      <c r="A64" t="s">
        <v>12</v>
      </c>
      <c r="B64">
        <v>-2</v>
      </c>
      <c r="C64">
        <v>24</v>
      </c>
      <c r="D64">
        <v>86</v>
      </c>
      <c r="E64">
        <v>-62</v>
      </c>
      <c r="F64">
        <v>-2</v>
      </c>
      <c r="G64" t="s">
        <v>7</v>
      </c>
    </row>
    <row r="65" spans="1:7" x14ac:dyDescent="0.35">
      <c r="A65" t="s">
        <v>11</v>
      </c>
      <c r="B65">
        <v>-4</v>
      </c>
      <c r="C65">
        <v>-23</v>
      </c>
      <c r="D65">
        <v>21</v>
      </c>
      <c r="E65">
        <v>-44</v>
      </c>
      <c r="F65">
        <v>-2</v>
      </c>
      <c r="G65" t="s">
        <v>7</v>
      </c>
    </row>
    <row r="66" spans="1:7" x14ac:dyDescent="0.35">
      <c r="A66" t="s">
        <v>11</v>
      </c>
      <c r="B66">
        <v>-4</v>
      </c>
      <c r="C66">
        <v>-140</v>
      </c>
      <c r="D66">
        <v>-200</v>
      </c>
      <c r="E66">
        <v>60</v>
      </c>
      <c r="F66">
        <v>0</v>
      </c>
      <c r="G66" t="s">
        <v>5</v>
      </c>
    </row>
    <row r="67" spans="1:7" x14ac:dyDescent="0.35">
      <c r="A67" t="s">
        <v>11</v>
      </c>
      <c r="B67">
        <v>4</v>
      </c>
      <c r="C67">
        <v>158</v>
      </c>
      <c r="D67">
        <v>86</v>
      </c>
      <c r="E67">
        <v>72</v>
      </c>
      <c r="F67">
        <v>-1</v>
      </c>
      <c r="G67" t="s">
        <v>7</v>
      </c>
    </row>
    <row r="68" spans="1:7" x14ac:dyDescent="0.35">
      <c r="A68" t="s">
        <v>12</v>
      </c>
      <c r="B68">
        <v>6</v>
      </c>
      <c r="C68">
        <v>71</v>
      </c>
      <c r="D68">
        <v>32</v>
      </c>
      <c r="E68">
        <v>39</v>
      </c>
      <c r="F68">
        <v>1</v>
      </c>
      <c r="G68" t="s">
        <v>5</v>
      </c>
    </row>
    <row r="69" spans="1:7" x14ac:dyDescent="0.35">
      <c r="A69" t="s">
        <v>12</v>
      </c>
      <c r="B69">
        <v>2</v>
      </c>
      <c r="C69">
        <v>74</v>
      </c>
      <c r="D69">
        <v>28</v>
      </c>
      <c r="E69">
        <v>46</v>
      </c>
      <c r="F69">
        <v>0</v>
      </c>
      <c r="G69" t="s">
        <v>7</v>
      </c>
    </row>
    <row r="70" spans="1:7" x14ac:dyDescent="0.35">
      <c r="A70" t="s">
        <v>11</v>
      </c>
      <c r="B70">
        <v>10</v>
      </c>
      <c r="C70">
        <v>169</v>
      </c>
      <c r="D70">
        <v>176</v>
      </c>
      <c r="E70">
        <v>-7</v>
      </c>
      <c r="F70">
        <v>-5</v>
      </c>
      <c r="G70" t="s">
        <v>7</v>
      </c>
    </row>
    <row r="71" spans="1:7" x14ac:dyDescent="0.35">
      <c r="A71" t="s">
        <v>11</v>
      </c>
      <c r="B71">
        <v>-2</v>
      </c>
      <c r="C71">
        <v>-28</v>
      </c>
      <c r="D71">
        <v>-12</v>
      </c>
      <c r="E71">
        <v>-16</v>
      </c>
      <c r="F71">
        <v>-2</v>
      </c>
      <c r="G71" t="s">
        <v>5</v>
      </c>
    </row>
    <row r="72" spans="1:7" x14ac:dyDescent="0.35">
      <c r="A72" t="s">
        <v>11</v>
      </c>
      <c r="B72">
        <v>-4</v>
      </c>
      <c r="C72">
        <v>-72</v>
      </c>
      <c r="D72">
        <v>-35</v>
      </c>
      <c r="E72">
        <v>-37</v>
      </c>
      <c r="F72">
        <v>0</v>
      </c>
      <c r="G72" t="s">
        <v>5</v>
      </c>
    </row>
    <row r="73" spans="1:7" x14ac:dyDescent="0.35">
      <c r="A73" t="s">
        <v>11</v>
      </c>
      <c r="B73">
        <v>4</v>
      </c>
      <c r="C73">
        <v>197</v>
      </c>
      <c r="D73">
        <v>133</v>
      </c>
      <c r="E73">
        <v>64</v>
      </c>
      <c r="F73">
        <v>0</v>
      </c>
      <c r="G73" t="s">
        <v>7</v>
      </c>
    </row>
    <row r="74" spans="1:7" x14ac:dyDescent="0.35">
      <c r="A74" t="s">
        <v>11</v>
      </c>
      <c r="B74">
        <v>12</v>
      </c>
      <c r="C74">
        <v>273</v>
      </c>
      <c r="D74">
        <v>166</v>
      </c>
      <c r="E74">
        <v>107</v>
      </c>
      <c r="F74">
        <v>0</v>
      </c>
      <c r="G74" t="s">
        <v>7</v>
      </c>
    </row>
    <row r="75" spans="1:7" x14ac:dyDescent="0.35">
      <c r="A75" t="s">
        <v>12</v>
      </c>
      <c r="B75">
        <v>4</v>
      </c>
      <c r="C75">
        <v>206</v>
      </c>
      <c r="D75">
        <v>168</v>
      </c>
      <c r="E75">
        <v>38</v>
      </c>
      <c r="F75">
        <v>3</v>
      </c>
      <c r="G75" t="s">
        <v>5</v>
      </c>
    </row>
    <row r="76" spans="1:7" x14ac:dyDescent="0.35">
      <c r="A76" t="s">
        <v>12</v>
      </c>
      <c r="B76">
        <v>0</v>
      </c>
      <c r="C76">
        <v>9</v>
      </c>
      <c r="D76">
        <v>-54</v>
      </c>
      <c r="E76">
        <v>63</v>
      </c>
      <c r="F76">
        <v>-1</v>
      </c>
      <c r="G76" t="s">
        <v>5</v>
      </c>
    </row>
    <row r="77" spans="1:7" x14ac:dyDescent="0.35">
      <c r="A77" t="s">
        <v>11</v>
      </c>
      <c r="B77">
        <v>4</v>
      </c>
      <c r="C77">
        <v>141</v>
      </c>
      <c r="D77">
        <v>110</v>
      </c>
      <c r="E77">
        <v>31</v>
      </c>
      <c r="F77">
        <v>1</v>
      </c>
      <c r="G77" t="s">
        <v>5</v>
      </c>
    </row>
    <row r="78" spans="1:7" x14ac:dyDescent="0.35">
      <c r="A78" t="s">
        <v>11</v>
      </c>
      <c r="B78">
        <v>-4</v>
      </c>
      <c r="C78">
        <v>-63</v>
      </c>
      <c r="D78">
        <v>-124</v>
      </c>
      <c r="E78">
        <v>61</v>
      </c>
      <c r="F78">
        <v>-1</v>
      </c>
      <c r="G78" t="s">
        <v>7</v>
      </c>
    </row>
    <row r="79" spans="1:7" x14ac:dyDescent="0.35">
      <c r="A79" t="s">
        <v>12</v>
      </c>
      <c r="B79">
        <v>-8</v>
      </c>
      <c r="C79">
        <v>-188</v>
      </c>
      <c r="D79">
        <v>-26</v>
      </c>
      <c r="E79">
        <v>-162</v>
      </c>
      <c r="F79">
        <v>1</v>
      </c>
      <c r="G79" t="s">
        <v>5</v>
      </c>
    </row>
    <row r="80" spans="1:7" x14ac:dyDescent="0.35">
      <c r="A80" t="s">
        <v>11</v>
      </c>
      <c r="B80">
        <v>4</v>
      </c>
      <c r="C80">
        <v>279</v>
      </c>
      <c r="D80">
        <v>132</v>
      </c>
      <c r="E80">
        <v>147</v>
      </c>
      <c r="F80">
        <v>0</v>
      </c>
      <c r="G80" t="s">
        <v>7</v>
      </c>
    </row>
    <row r="81" spans="1:7" x14ac:dyDescent="0.35">
      <c r="A81" t="s">
        <v>11</v>
      </c>
      <c r="B81">
        <v>-13</v>
      </c>
      <c r="C81">
        <v>-233</v>
      </c>
      <c r="D81">
        <v>-224</v>
      </c>
      <c r="E81">
        <v>-9</v>
      </c>
      <c r="F81">
        <v>-3</v>
      </c>
      <c r="G81" t="s">
        <v>5</v>
      </c>
    </row>
    <row r="82" spans="1:7" x14ac:dyDescent="0.35">
      <c r="A82" t="s">
        <v>12</v>
      </c>
      <c r="B82">
        <v>0</v>
      </c>
      <c r="C82">
        <v>12</v>
      </c>
      <c r="D82">
        <v>22</v>
      </c>
      <c r="E82">
        <v>-10</v>
      </c>
      <c r="F82">
        <v>0</v>
      </c>
      <c r="G82" t="s">
        <v>7</v>
      </c>
    </row>
    <row r="83" spans="1:7" x14ac:dyDescent="0.35">
      <c r="A83" t="s">
        <v>11</v>
      </c>
      <c r="B83">
        <v>0</v>
      </c>
      <c r="C83">
        <v>-6</v>
      </c>
      <c r="D83">
        <v>-79</v>
      </c>
      <c r="E83">
        <v>73</v>
      </c>
      <c r="F83">
        <v>-4</v>
      </c>
      <c r="G83" t="s">
        <v>7</v>
      </c>
    </row>
    <row r="84" spans="1:7" x14ac:dyDescent="0.35">
      <c r="A84" t="s">
        <v>12</v>
      </c>
      <c r="B84">
        <v>12</v>
      </c>
      <c r="C84">
        <v>158</v>
      </c>
      <c r="D84">
        <v>56</v>
      </c>
      <c r="E84">
        <v>102</v>
      </c>
      <c r="F84">
        <v>-2</v>
      </c>
      <c r="G84" t="s">
        <v>7</v>
      </c>
    </row>
    <row r="85" spans="1:7" x14ac:dyDescent="0.35">
      <c r="A85" t="s">
        <v>11</v>
      </c>
      <c r="B85">
        <v>1</v>
      </c>
      <c r="C85">
        <v>73</v>
      </c>
      <c r="D85">
        <v>-14</v>
      </c>
      <c r="E85">
        <v>87</v>
      </c>
      <c r="F85">
        <v>-1</v>
      </c>
      <c r="G85" t="s">
        <v>5</v>
      </c>
    </row>
    <row r="86" spans="1:7" x14ac:dyDescent="0.35">
      <c r="A86" t="s">
        <v>12</v>
      </c>
      <c r="B86">
        <v>-1</v>
      </c>
      <c r="C86">
        <v>44</v>
      </c>
      <c r="D86">
        <v>26</v>
      </c>
      <c r="E86">
        <v>18</v>
      </c>
      <c r="F86">
        <v>-1</v>
      </c>
      <c r="G86" t="s">
        <v>7</v>
      </c>
    </row>
    <row r="87" spans="1:7" x14ac:dyDescent="0.35">
      <c r="A87" t="s">
        <v>11</v>
      </c>
      <c r="B87">
        <v>-12</v>
      </c>
      <c r="C87">
        <v>-157</v>
      </c>
      <c r="D87">
        <v>-103</v>
      </c>
      <c r="E87">
        <v>-54</v>
      </c>
      <c r="F87">
        <v>0</v>
      </c>
      <c r="G87" t="s">
        <v>5</v>
      </c>
    </row>
    <row r="88" spans="1:7" x14ac:dyDescent="0.35">
      <c r="A88" t="s">
        <v>11</v>
      </c>
      <c r="B88">
        <v>-1</v>
      </c>
      <c r="C88">
        <v>3</v>
      </c>
      <c r="D88">
        <v>-92</v>
      </c>
      <c r="E88">
        <v>95</v>
      </c>
      <c r="F88">
        <v>2</v>
      </c>
      <c r="G88" t="s">
        <v>5</v>
      </c>
    </row>
    <row r="89" spans="1:7" x14ac:dyDescent="0.35">
      <c r="A89" t="s">
        <v>12</v>
      </c>
      <c r="B89">
        <v>2</v>
      </c>
      <c r="C89">
        <v>-10</v>
      </c>
      <c r="D89">
        <v>-44</v>
      </c>
      <c r="E89">
        <v>34</v>
      </c>
      <c r="F89">
        <v>0</v>
      </c>
      <c r="G89" t="s">
        <v>5</v>
      </c>
    </row>
    <row r="90" spans="1:7" x14ac:dyDescent="0.35">
      <c r="A90" t="s">
        <v>12</v>
      </c>
      <c r="B90">
        <v>9</v>
      </c>
      <c r="C90">
        <v>-50</v>
      </c>
      <c r="D90">
        <v>-47</v>
      </c>
      <c r="E90">
        <v>-3</v>
      </c>
      <c r="F90">
        <v>0</v>
      </c>
      <c r="G90" t="s">
        <v>5</v>
      </c>
    </row>
    <row r="91" spans="1:7" x14ac:dyDescent="0.35">
      <c r="A91" t="s">
        <v>12</v>
      </c>
      <c r="B91">
        <v>-15</v>
      </c>
      <c r="C91">
        <v>-244</v>
      </c>
      <c r="D91">
        <v>-117</v>
      </c>
      <c r="E91">
        <v>-127</v>
      </c>
      <c r="F91">
        <v>-2</v>
      </c>
      <c r="G91" t="s">
        <v>5</v>
      </c>
    </row>
    <row r="92" spans="1:7" x14ac:dyDescent="0.35">
      <c r="A92" t="s">
        <v>11</v>
      </c>
      <c r="B92">
        <v>6</v>
      </c>
      <c r="C92">
        <v>63</v>
      </c>
      <c r="D92">
        <v>31</v>
      </c>
      <c r="E92">
        <v>32</v>
      </c>
      <c r="F92">
        <v>-2</v>
      </c>
      <c r="G92" t="s">
        <v>7</v>
      </c>
    </row>
    <row r="93" spans="1:7" x14ac:dyDescent="0.35">
      <c r="A93" t="s">
        <v>11</v>
      </c>
      <c r="B93">
        <v>-7</v>
      </c>
      <c r="C93">
        <v>-38</v>
      </c>
      <c r="D93">
        <v>57</v>
      </c>
      <c r="E93">
        <v>-95</v>
      </c>
      <c r="F93">
        <v>0</v>
      </c>
      <c r="G93" t="s">
        <v>5</v>
      </c>
    </row>
    <row r="94" spans="1:7" x14ac:dyDescent="0.35">
      <c r="A94" t="s">
        <v>12</v>
      </c>
      <c r="B94">
        <v>16</v>
      </c>
      <c r="C94">
        <v>163</v>
      </c>
      <c r="D94">
        <v>118</v>
      </c>
      <c r="E94">
        <v>45</v>
      </c>
      <c r="F94">
        <v>1</v>
      </c>
      <c r="G94" t="s">
        <v>7</v>
      </c>
    </row>
    <row r="95" spans="1:7" x14ac:dyDescent="0.35">
      <c r="A95" t="s">
        <v>11</v>
      </c>
      <c r="B95">
        <v>3</v>
      </c>
      <c r="C95">
        <v>39</v>
      </c>
      <c r="D95">
        <v>-30</v>
      </c>
      <c r="E95">
        <v>69</v>
      </c>
      <c r="F95">
        <v>-1</v>
      </c>
      <c r="G95" t="s">
        <v>7</v>
      </c>
    </row>
    <row r="96" spans="1:7" x14ac:dyDescent="0.35">
      <c r="A96" t="s">
        <v>12</v>
      </c>
      <c r="B96">
        <v>1</v>
      </c>
      <c r="C96">
        <v>-66</v>
      </c>
      <c r="D96">
        <v>-57</v>
      </c>
      <c r="E96">
        <v>-9</v>
      </c>
      <c r="F96">
        <v>1</v>
      </c>
      <c r="G96" t="s">
        <v>5</v>
      </c>
    </row>
    <row r="97" spans="1:7" x14ac:dyDescent="0.35">
      <c r="A97" t="s">
        <v>12</v>
      </c>
      <c r="B97">
        <v>-14</v>
      </c>
      <c r="C97">
        <v>-44</v>
      </c>
      <c r="D97">
        <v>-93</v>
      </c>
      <c r="E97">
        <v>49</v>
      </c>
      <c r="F97">
        <v>2</v>
      </c>
      <c r="G97" t="s">
        <v>5</v>
      </c>
    </row>
    <row r="98" spans="1:7" x14ac:dyDescent="0.35">
      <c r="A98" t="s">
        <v>11</v>
      </c>
      <c r="B98">
        <v>10</v>
      </c>
      <c r="C98">
        <v>37</v>
      </c>
      <c r="D98">
        <v>53</v>
      </c>
      <c r="E98">
        <v>-16</v>
      </c>
      <c r="F98">
        <v>-2</v>
      </c>
      <c r="G98" t="s">
        <v>7</v>
      </c>
    </row>
    <row r="99" spans="1:7" x14ac:dyDescent="0.35">
      <c r="A99" t="s">
        <v>11</v>
      </c>
      <c r="B99">
        <v>1</v>
      </c>
      <c r="C99">
        <v>-66</v>
      </c>
      <c r="D99">
        <v>-2</v>
      </c>
      <c r="E99">
        <v>-64</v>
      </c>
      <c r="F99">
        <v>2</v>
      </c>
      <c r="G99" t="s">
        <v>5</v>
      </c>
    </row>
    <row r="100" spans="1:7" x14ac:dyDescent="0.35">
      <c r="A100" t="s">
        <v>11</v>
      </c>
      <c r="B100">
        <v>-5</v>
      </c>
      <c r="C100">
        <v>-164</v>
      </c>
      <c r="D100">
        <v>-66</v>
      </c>
      <c r="E100">
        <v>-98</v>
      </c>
      <c r="F100">
        <v>3</v>
      </c>
      <c r="G100" t="s">
        <v>5</v>
      </c>
    </row>
    <row r="101" spans="1:7" x14ac:dyDescent="0.35">
      <c r="A101" t="s">
        <v>12</v>
      </c>
      <c r="B101">
        <v>10</v>
      </c>
      <c r="C101">
        <v>162</v>
      </c>
      <c r="D101">
        <v>35</v>
      </c>
      <c r="E101">
        <v>127</v>
      </c>
      <c r="F101">
        <v>0</v>
      </c>
      <c r="G101" t="s">
        <v>7</v>
      </c>
    </row>
    <row r="102" spans="1:7" x14ac:dyDescent="0.35">
      <c r="A102" t="s">
        <v>12</v>
      </c>
      <c r="B102">
        <v>-10</v>
      </c>
      <c r="C102">
        <v>-175</v>
      </c>
      <c r="D102">
        <v>-114</v>
      </c>
      <c r="E102">
        <v>-61</v>
      </c>
      <c r="F102">
        <v>-1</v>
      </c>
      <c r="G102" t="s">
        <v>5</v>
      </c>
    </row>
    <row r="103" spans="1:7" x14ac:dyDescent="0.35">
      <c r="A103" t="s">
        <v>11</v>
      </c>
      <c r="B103">
        <v>-5</v>
      </c>
      <c r="C103">
        <v>-136</v>
      </c>
      <c r="D103">
        <v>-78</v>
      </c>
      <c r="E103">
        <v>-58</v>
      </c>
      <c r="F103">
        <v>0</v>
      </c>
      <c r="G103" t="s">
        <v>5</v>
      </c>
    </row>
    <row r="104" spans="1:7" x14ac:dyDescent="0.35">
      <c r="A104" t="s">
        <v>12</v>
      </c>
      <c r="B104">
        <v>-10</v>
      </c>
      <c r="C104">
        <v>-37</v>
      </c>
      <c r="D104">
        <v>-53</v>
      </c>
      <c r="E104">
        <v>16</v>
      </c>
      <c r="F104">
        <v>2</v>
      </c>
      <c r="G104" t="s">
        <v>5</v>
      </c>
    </row>
    <row r="105" spans="1:7" x14ac:dyDescent="0.35">
      <c r="A105" t="s">
        <v>12</v>
      </c>
      <c r="B105">
        <v>11</v>
      </c>
      <c r="C105">
        <v>91</v>
      </c>
      <c r="D105">
        <v>-71</v>
      </c>
      <c r="E105">
        <v>162</v>
      </c>
      <c r="F105">
        <v>0</v>
      </c>
      <c r="G105" t="s">
        <v>7</v>
      </c>
    </row>
    <row r="106" spans="1:7" x14ac:dyDescent="0.35">
      <c r="A106" t="s">
        <v>12</v>
      </c>
      <c r="B106">
        <v>-2</v>
      </c>
      <c r="C106">
        <v>102</v>
      </c>
      <c r="D106">
        <v>0</v>
      </c>
      <c r="E106">
        <v>102</v>
      </c>
      <c r="F106">
        <v>1</v>
      </c>
      <c r="G106" t="s">
        <v>7</v>
      </c>
    </row>
    <row r="107" spans="1:7" x14ac:dyDescent="0.35">
      <c r="A107" t="s">
        <v>12</v>
      </c>
      <c r="B107">
        <v>4</v>
      </c>
      <c r="C107">
        <v>23</v>
      </c>
      <c r="D107">
        <v>-21</v>
      </c>
      <c r="E107">
        <v>44</v>
      </c>
      <c r="F107">
        <v>2</v>
      </c>
      <c r="G107" t="s">
        <v>5</v>
      </c>
    </row>
    <row r="108" spans="1:7" x14ac:dyDescent="0.35">
      <c r="A108" t="s">
        <v>12</v>
      </c>
      <c r="B108">
        <v>-5</v>
      </c>
      <c r="C108">
        <v>-73</v>
      </c>
      <c r="D108">
        <v>-48</v>
      </c>
      <c r="E108">
        <v>-25</v>
      </c>
      <c r="F108">
        <v>3</v>
      </c>
      <c r="G108" t="s">
        <v>5</v>
      </c>
    </row>
    <row r="109" spans="1:7" x14ac:dyDescent="0.35">
      <c r="A109" t="s">
        <v>11</v>
      </c>
      <c r="B109">
        <v>3</v>
      </c>
      <c r="C109">
        <v>55</v>
      </c>
      <c r="D109">
        <v>72</v>
      </c>
      <c r="E109">
        <v>-17</v>
      </c>
      <c r="F109">
        <v>0</v>
      </c>
      <c r="G109" t="s">
        <v>7</v>
      </c>
    </row>
    <row r="110" spans="1:7" x14ac:dyDescent="0.35">
      <c r="A110" t="s">
        <v>11</v>
      </c>
      <c r="B110">
        <v>-6</v>
      </c>
      <c r="C110">
        <v>-139</v>
      </c>
      <c r="D110">
        <v>-156</v>
      </c>
      <c r="E110">
        <v>17</v>
      </c>
      <c r="F110">
        <v>-6</v>
      </c>
      <c r="G110" t="s">
        <v>7</v>
      </c>
    </row>
    <row r="111" spans="1:7" x14ac:dyDescent="0.35">
      <c r="A111" t="s">
        <v>12</v>
      </c>
      <c r="B111">
        <v>-5</v>
      </c>
      <c r="C111">
        <v>-65</v>
      </c>
      <c r="D111">
        <v>-34</v>
      </c>
      <c r="E111">
        <v>-31</v>
      </c>
      <c r="F111">
        <v>0</v>
      </c>
      <c r="G111" t="s">
        <v>7</v>
      </c>
    </row>
    <row r="112" spans="1:7" x14ac:dyDescent="0.35">
      <c r="A112" t="s">
        <v>11</v>
      </c>
      <c r="B112">
        <v>-13</v>
      </c>
      <c r="C112">
        <v>-69</v>
      </c>
      <c r="D112">
        <v>-75</v>
      </c>
      <c r="E112">
        <v>6</v>
      </c>
      <c r="F112">
        <v>-3</v>
      </c>
      <c r="G112" t="s">
        <v>7</v>
      </c>
    </row>
    <row r="113" spans="1:7" x14ac:dyDescent="0.35">
      <c r="A113" t="s">
        <v>12</v>
      </c>
      <c r="B113">
        <v>-7</v>
      </c>
      <c r="C113">
        <v>-76</v>
      </c>
      <c r="D113">
        <v>-84</v>
      </c>
      <c r="E113">
        <v>8</v>
      </c>
      <c r="F113">
        <v>-2</v>
      </c>
      <c r="G113" t="s">
        <v>7</v>
      </c>
    </row>
    <row r="114" spans="1:7" x14ac:dyDescent="0.35">
      <c r="A114" t="s">
        <v>11</v>
      </c>
      <c r="B114">
        <v>-6</v>
      </c>
      <c r="C114">
        <v>-176</v>
      </c>
      <c r="D114">
        <v>-111</v>
      </c>
      <c r="E114">
        <v>-65</v>
      </c>
      <c r="F114">
        <v>2</v>
      </c>
      <c r="G114" t="s">
        <v>5</v>
      </c>
    </row>
    <row r="115" spans="1:7" x14ac:dyDescent="0.35">
      <c r="A115" t="s">
        <v>12</v>
      </c>
      <c r="B115">
        <v>0</v>
      </c>
      <c r="C115">
        <v>23</v>
      </c>
      <c r="D115">
        <v>-8</v>
      </c>
      <c r="E115">
        <v>31</v>
      </c>
      <c r="F115">
        <v>1</v>
      </c>
      <c r="G115" t="s">
        <v>5</v>
      </c>
    </row>
    <row r="116" spans="1:7" x14ac:dyDescent="0.35">
      <c r="A116" t="s">
        <v>11</v>
      </c>
      <c r="B116">
        <v>4</v>
      </c>
      <c r="C116">
        <v>61</v>
      </c>
      <c r="D116">
        <v>54</v>
      </c>
      <c r="E116">
        <v>7</v>
      </c>
      <c r="F116">
        <v>1</v>
      </c>
      <c r="G116" t="s">
        <v>7</v>
      </c>
    </row>
    <row r="117" spans="1:7" x14ac:dyDescent="0.35">
      <c r="A117" t="s">
        <v>12</v>
      </c>
      <c r="B117">
        <v>-3</v>
      </c>
      <c r="C117">
        <v>-13</v>
      </c>
      <c r="D117">
        <v>-56</v>
      </c>
      <c r="E117">
        <v>43</v>
      </c>
      <c r="F117">
        <v>-2</v>
      </c>
      <c r="G117" t="s">
        <v>7</v>
      </c>
    </row>
    <row r="118" spans="1:7" x14ac:dyDescent="0.35">
      <c r="A118" t="s">
        <v>12</v>
      </c>
      <c r="B118">
        <v>-3</v>
      </c>
      <c r="C118">
        <v>-39</v>
      </c>
      <c r="D118">
        <v>30</v>
      </c>
      <c r="E118">
        <v>-69</v>
      </c>
      <c r="F118">
        <v>1</v>
      </c>
      <c r="G118" t="s">
        <v>5</v>
      </c>
    </row>
    <row r="119" spans="1:7" x14ac:dyDescent="0.35">
      <c r="A119" t="s">
        <v>12</v>
      </c>
      <c r="B119">
        <v>0</v>
      </c>
      <c r="C119">
        <v>79</v>
      </c>
      <c r="D119">
        <v>26</v>
      </c>
      <c r="E119">
        <v>53</v>
      </c>
      <c r="F119">
        <v>0</v>
      </c>
      <c r="G119" t="s">
        <v>7</v>
      </c>
    </row>
    <row r="120" spans="1:7" x14ac:dyDescent="0.35">
      <c r="A120" t="s">
        <v>12</v>
      </c>
      <c r="B120">
        <v>9</v>
      </c>
      <c r="C120">
        <v>246</v>
      </c>
      <c r="D120">
        <v>111</v>
      </c>
      <c r="E120">
        <v>135</v>
      </c>
      <c r="F120">
        <v>-1</v>
      </c>
      <c r="G120" t="s">
        <v>7</v>
      </c>
    </row>
    <row r="121" spans="1:7" x14ac:dyDescent="0.35">
      <c r="A121" t="s">
        <v>12</v>
      </c>
      <c r="B121">
        <v>5</v>
      </c>
      <c r="C121">
        <v>164</v>
      </c>
      <c r="D121">
        <v>66</v>
      </c>
      <c r="E121">
        <v>98</v>
      </c>
      <c r="F121">
        <v>-3</v>
      </c>
      <c r="G121" t="s">
        <v>7</v>
      </c>
    </row>
    <row r="122" spans="1:7" x14ac:dyDescent="0.35">
      <c r="A122" t="s">
        <v>12</v>
      </c>
      <c r="B122">
        <v>6</v>
      </c>
      <c r="C122">
        <v>38</v>
      </c>
      <c r="D122">
        <v>-93</v>
      </c>
      <c r="E122">
        <v>131</v>
      </c>
      <c r="F122">
        <v>-3</v>
      </c>
      <c r="G122" t="s">
        <v>7</v>
      </c>
    </row>
    <row r="123" spans="1:7" x14ac:dyDescent="0.35">
      <c r="A123" t="s">
        <v>12</v>
      </c>
      <c r="B123">
        <v>-12</v>
      </c>
      <c r="C123">
        <v>-273</v>
      </c>
      <c r="D123">
        <v>-166</v>
      </c>
      <c r="E123">
        <v>-107</v>
      </c>
      <c r="F123">
        <v>0</v>
      </c>
      <c r="G123" t="s">
        <v>5</v>
      </c>
    </row>
    <row r="124" spans="1:7" x14ac:dyDescent="0.35">
      <c r="A124" t="s">
        <v>12</v>
      </c>
      <c r="B124">
        <v>6</v>
      </c>
      <c r="C124">
        <v>25</v>
      </c>
      <c r="D124">
        <v>30</v>
      </c>
      <c r="E124">
        <v>-5</v>
      </c>
      <c r="F124">
        <v>0</v>
      </c>
      <c r="G124" t="s">
        <v>7</v>
      </c>
    </row>
    <row r="125" spans="1:7" x14ac:dyDescent="0.35">
      <c r="A125" t="s">
        <v>11</v>
      </c>
      <c r="B125">
        <v>4</v>
      </c>
      <c r="C125">
        <v>-16</v>
      </c>
      <c r="D125">
        <v>20</v>
      </c>
      <c r="E125">
        <v>-36</v>
      </c>
      <c r="F125">
        <v>-1</v>
      </c>
      <c r="G125" t="s">
        <v>5</v>
      </c>
    </row>
    <row r="126" spans="1:7" x14ac:dyDescent="0.35">
      <c r="A126" t="s">
        <v>12</v>
      </c>
      <c r="B126">
        <v>-7</v>
      </c>
      <c r="C126">
        <v>-7</v>
      </c>
      <c r="D126">
        <v>137</v>
      </c>
      <c r="E126">
        <v>-144</v>
      </c>
      <c r="F126">
        <v>0</v>
      </c>
      <c r="G126" t="s">
        <v>5</v>
      </c>
    </row>
    <row r="127" spans="1:7" x14ac:dyDescent="0.35">
      <c r="A127" t="s">
        <v>11</v>
      </c>
      <c r="B127">
        <v>-7</v>
      </c>
      <c r="C127">
        <v>-48</v>
      </c>
      <c r="D127">
        <v>57</v>
      </c>
      <c r="E127">
        <v>-105</v>
      </c>
      <c r="F127">
        <v>2</v>
      </c>
      <c r="G127" t="s">
        <v>5</v>
      </c>
    </row>
    <row r="128" spans="1:7" x14ac:dyDescent="0.35">
      <c r="A128" t="s">
        <v>11</v>
      </c>
      <c r="B128">
        <v>-7</v>
      </c>
      <c r="C128">
        <v>-120</v>
      </c>
      <c r="D128">
        <v>-56</v>
      </c>
      <c r="E128">
        <v>-64</v>
      </c>
      <c r="F128">
        <v>1</v>
      </c>
      <c r="G128" t="s">
        <v>5</v>
      </c>
    </row>
    <row r="129" spans="1:7" x14ac:dyDescent="0.35">
      <c r="A129" t="s">
        <v>12</v>
      </c>
      <c r="B129">
        <v>-5</v>
      </c>
      <c r="C129">
        <v>-61</v>
      </c>
      <c r="D129">
        <v>-108</v>
      </c>
      <c r="E129">
        <v>47</v>
      </c>
      <c r="F129">
        <v>1</v>
      </c>
      <c r="G129" t="s">
        <v>7</v>
      </c>
    </row>
    <row r="130" spans="1:7" x14ac:dyDescent="0.35">
      <c r="A130" t="s">
        <v>11</v>
      </c>
      <c r="B130">
        <v>-9</v>
      </c>
      <c r="C130">
        <v>-99</v>
      </c>
      <c r="D130">
        <v>-162</v>
      </c>
      <c r="E130">
        <v>63</v>
      </c>
      <c r="F130">
        <v>-1</v>
      </c>
      <c r="G130" t="s">
        <v>7</v>
      </c>
    </row>
    <row r="131" spans="1:7" x14ac:dyDescent="0.35">
      <c r="A131" t="s">
        <v>12</v>
      </c>
      <c r="B131">
        <v>1</v>
      </c>
      <c r="C131">
        <v>81</v>
      </c>
      <c r="D131">
        <v>73</v>
      </c>
      <c r="E131">
        <v>8</v>
      </c>
      <c r="F131">
        <v>0</v>
      </c>
      <c r="G131" t="s">
        <v>7</v>
      </c>
    </row>
    <row r="132" spans="1:7" x14ac:dyDescent="0.35">
      <c r="A132" t="s">
        <v>11</v>
      </c>
      <c r="B132">
        <v>8</v>
      </c>
      <c r="C132">
        <v>172</v>
      </c>
      <c r="D132">
        <v>38</v>
      </c>
      <c r="E132">
        <v>134</v>
      </c>
      <c r="F132">
        <v>-2</v>
      </c>
      <c r="G132" t="s">
        <v>7</v>
      </c>
    </row>
    <row r="133" spans="1:7" x14ac:dyDescent="0.35">
      <c r="A133" t="s">
        <v>12</v>
      </c>
      <c r="B133">
        <v>-6</v>
      </c>
      <c r="C133">
        <v>-17</v>
      </c>
      <c r="D133">
        <v>56</v>
      </c>
      <c r="E133">
        <v>-73</v>
      </c>
      <c r="F133">
        <v>1</v>
      </c>
      <c r="G133" t="s">
        <v>7</v>
      </c>
    </row>
    <row r="134" spans="1:7" x14ac:dyDescent="0.35">
      <c r="A134" t="s">
        <v>11</v>
      </c>
      <c r="B134">
        <v>-1</v>
      </c>
      <c r="C134">
        <v>66</v>
      </c>
      <c r="D134">
        <v>57</v>
      </c>
      <c r="E134">
        <v>9</v>
      </c>
      <c r="F134">
        <v>-1</v>
      </c>
      <c r="G134" t="s">
        <v>7</v>
      </c>
    </row>
    <row r="135" spans="1:7" x14ac:dyDescent="0.35">
      <c r="A135" t="s">
        <v>12</v>
      </c>
      <c r="B135">
        <v>11</v>
      </c>
      <c r="C135">
        <v>258</v>
      </c>
      <c r="D135">
        <v>144</v>
      </c>
      <c r="E135">
        <v>114</v>
      </c>
      <c r="F135">
        <v>0</v>
      </c>
      <c r="G135" t="s">
        <v>7</v>
      </c>
    </row>
    <row r="136" spans="1:7" x14ac:dyDescent="0.35">
      <c r="A136" t="s">
        <v>12</v>
      </c>
      <c r="B136">
        <v>-1</v>
      </c>
      <c r="C136">
        <v>57</v>
      </c>
      <c r="D136">
        <v>11</v>
      </c>
      <c r="E136">
        <v>46</v>
      </c>
      <c r="F136">
        <v>-4</v>
      </c>
      <c r="G136" t="s">
        <v>7</v>
      </c>
    </row>
    <row r="137" spans="1:7" x14ac:dyDescent="0.35">
      <c r="A137" t="s">
        <v>11</v>
      </c>
      <c r="B137">
        <v>-16</v>
      </c>
      <c r="C137">
        <v>-209</v>
      </c>
      <c r="D137">
        <v>-125</v>
      </c>
      <c r="E137">
        <v>-84</v>
      </c>
      <c r="F137">
        <v>1</v>
      </c>
      <c r="G137" t="s">
        <v>5</v>
      </c>
    </row>
    <row r="138" spans="1:7" x14ac:dyDescent="0.35">
      <c r="A138" t="s">
        <v>11</v>
      </c>
      <c r="B138">
        <v>-6</v>
      </c>
      <c r="C138">
        <v>-7</v>
      </c>
      <c r="D138">
        <v>-100</v>
      </c>
      <c r="E138">
        <v>93</v>
      </c>
      <c r="F138">
        <v>-2</v>
      </c>
      <c r="G138" t="s">
        <v>7</v>
      </c>
    </row>
    <row r="139" spans="1:7" x14ac:dyDescent="0.35">
      <c r="A139" t="s">
        <v>12</v>
      </c>
      <c r="B139">
        <v>-9</v>
      </c>
      <c r="C139">
        <v>-159</v>
      </c>
      <c r="D139">
        <v>-287</v>
      </c>
      <c r="E139">
        <v>128</v>
      </c>
      <c r="F139">
        <v>0</v>
      </c>
      <c r="G139" t="s">
        <v>7</v>
      </c>
    </row>
    <row r="140" spans="1:7" x14ac:dyDescent="0.35">
      <c r="A140" t="s">
        <v>11</v>
      </c>
      <c r="B140">
        <v>-6</v>
      </c>
      <c r="C140">
        <v>48</v>
      </c>
      <c r="D140">
        <v>52</v>
      </c>
      <c r="E140">
        <v>-4</v>
      </c>
      <c r="F140">
        <v>0</v>
      </c>
      <c r="G140" t="s">
        <v>5</v>
      </c>
    </row>
    <row r="141" spans="1:7" x14ac:dyDescent="0.35">
      <c r="A141" t="s">
        <v>11</v>
      </c>
      <c r="B141">
        <v>8</v>
      </c>
      <c r="C141">
        <v>37</v>
      </c>
      <c r="D141">
        <v>-31</v>
      </c>
      <c r="E141">
        <v>68</v>
      </c>
      <c r="F141">
        <v>3</v>
      </c>
      <c r="G141" t="s">
        <v>5</v>
      </c>
    </row>
    <row r="142" spans="1:7" x14ac:dyDescent="0.35">
      <c r="A142" t="s">
        <v>11</v>
      </c>
      <c r="B142">
        <v>12</v>
      </c>
      <c r="C142">
        <v>174</v>
      </c>
      <c r="D142">
        <v>184</v>
      </c>
      <c r="E142">
        <v>-10</v>
      </c>
      <c r="F142">
        <v>1</v>
      </c>
      <c r="G142" t="s">
        <v>7</v>
      </c>
    </row>
    <row r="143" spans="1:7" x14ac:dyDescent="0.35">
      <c r="A143" t="s">
        <v>12</v>
      </c>
      <c r="B143">
        <v>-3</v>
      </c>
      <c r="C143">
        <v>100</v>
      </c>
      <c r="D143">
        <v>176</v>
      </c>
      <c r="E143">
        <v>-76</v>
      </c>
      <c r="F143">
        <v>1</v>
      </c>
      <c r="G143" t="s">
        <v>7</v>
      </c>
    </row>
    <row r="144" spans="1:7" x14ac:dyDescent="0.35">
      <c r="A144" t="s">
        <v>11</v>
      </c>
      <c r="B144">
        <v>-1</v>
      </c>
      <c r="C144">
        <v>-52</v>
      </c>
      <c r="D144">
        <v>22</v>
      </c>
      <c r="E144">
        <v>-74</v>
      </c>
      <c r="F144">
        <v>1</v>
      </c>
      <c r="G144" t="s">
        <v>5</v>
      </c>
    </row>
    <row r="145" spans="1:7" x14ac:dyDescent="0.35">
      <c r="A145" t="s">
        <v>12</v>
      </c>
      <c r="B145">
        <v>-16</v>
      </c>
      <c r="C145">
        <v>-195</v>
      </c>
      <c r="D145">
        <v>-113</v>
      </c>
      <c r="E145">
        <v>-82</v>
      </c>
      <c r="F145">
        <v>3</v>
      </c>
      <c r="G145" t="s">
        <v>5</v>
      </c>
    </row>
    <row r="146" spans="1:7" x14ac:dyDescent="0.35">
      <c r="A146" t="s">
        <v>12</v>
      </c>
      <c r="B146">
        <v>-8</v>
      </c>
      <c r="C146">
        <v>-131</v>
      </c>
      <c r="D146">
        <v>-114</v>
      </c>
      <c r="E146">
        <v>-17</v>
      </c>
      <c r="F146">
        <v>-1</v>
      </c>
      <c r="G146" t="s">
        <v>7</v>
      </c>
    </row>
    <row r="147" spans="1:7" x14ac:dyDescent="0.35">
      <c r="A147" t="s">
        <v>11</v>
      </c>
      <c r="B147">
        <v>5</v>
      </c>
      <c r="C147">
        <v>65</v>
      </c>
      <c r="D147">
        <v>34</v>
      </c>
      <c r="E147">
        <v>31</v>
      </c>
      <c r="F147">
        <v>0</v>
      </c>
      <c r="G147" t="s">
        <v>5</v>
      </c>
    </row>
    <row r="148" spans="1:7" x14ac:dyDescent="0.35">
      <c r="A148" t="s">
        <v>12</v>
      </c>
      <c r="B148">
        <v>-5</v>
      </c>
      <c r="C148">
        <v>-144</v>
      </c>
      <c r="D148">
        <v>14</v>
      </c>
      <c r="E148">
        <v>-158</v>
      </c>
      <c r="F148">
        <v>0</v>
      </c>
      <c r="G148" t="s">
        <v>5</v>
      </c>
    </row>
    <row r="149" spans="1:7" x14ac:dyDescent="0.35">
      <c r="A149" t="s">
        <v>11</v>
      </c>
      <c r="B149">
        <v>-4</v>
      </c>
      <c r="C149">
        <v>-206</v>
      </c>
      <c r="D149">
        <v>-168</v>
      </c>
      <c r="E149">
        <v>-38</v>
      </c>
      <c r="F149">
        <v>-3</v>
      </c>
      <c r="G149" t="s">
        <v>7</v>
      </c>
    </row>
    <row r="150" spans="1:7" x14ac:dyDescent="0.35">
      <c r="A150" t="s">
        <v>11</v>
      </c>
      <c r="B150">
        <v>-8</v>
      </c>
      <c r="C150">
        <v>-183</v>
      </c>
      <c r="D150">
        <v>-128</v>
      </c>
      <c r="E150">
        <v>-55</v>
      </c>
      <c r="F150">
        <v>1</v>
      </c>
      <c r="G150" t="s">
        <v>5</v>
      </c>
    </row>
    <row r="151" spans="1:7" x14ac:dyDescent="0.35">
      <c r="A151" t="s">
        <v>11</v>
      </c>
      <c r="B151">
        <v>-3</v>
      </c>
      <c r="C151">
        <v>-23</v>
      </c>
      <c r="D151">
        <v>-57</v>
      </c>
      <c r="E151">
        <v>34</v>
      </c>
      <c r="F151">
        <v>0</v>
      </c>
      <c r="G151" t="s">
        <v>5</v>
      </c>
    </row>
    <row r="152" spans="1:7" x14ac:dyDescent="0.35">
      <c r="A152" t="s">
        <v>11</v>
      </c>
      <c r="B152">
        <v>4</v>
      </c>
      <c r="C152">
        <v>-2</v>
      </c>
      <c r="D152">
        <v>-74</v>
      </c>
      <c r="E152">
        <v>72</v>
      </c>
      <c r="F152">
        <v>3</v>
      </c>
      <c r="G152" t="s">
        <v>5</v>
      </c>
    </row>
    <row r="153" spans="1:7" x14ac:dyDescent="0.35">
      <c r="A153" t="s">
        <v>12</v>
      </c>
      <c r="B153">
        <v>-3</v>
      </c>
      <c r="C153">
        <v>-38</v>
      </c>
      <c r="D153">
        <v>1</v>
      </c>
      <c r="E153">
        <v>-39</v>
      </c>
      <c r="F153">
        <v>1</v>
      </c>
      <c r="G153" t="s">
        <v>5</v>
      </c>
    </row>
    <row r="154" spans="1:7" x14ac:dyDescent="0.35">
      <c r="A154" t="s">
        <v>11</v>
      </c>
      <c r="B154">
        <v>-9</v>
      </c>
      <c r="C154">
        <v>-146</v>
      </c>
      <c r="D154">
        <v>-95</v>
      </c>
      <c r="E154">
        <v>-51</v>
      </c>
      <c r="F154">
        <v>-1</v>
      </c>
      <c r="G154" t="s">
        <v>5</v>
      </c>
    </row>
    <row r="155" spans="1:7" x14ac:dyDescent="0.35">
      <c r="A155" t="s">
        <v>12</v>
      </c>
      <c r="B155">
        <v>-9</v>
      </c>
      <c r="C155">
        <v>-76</v>
      </c>
      <c r="D155">
        <v>-175</v>
      </c>
      <c r="E155">
        <v>99</v>
      </c>
      <c r="F155">
        <v>-3</v>
      </c>
      <c r="G155" t="s">
        <v>7</v>
      </c>
    </row>
    <row r="156" spans="1:7" x14ac:dyDescent="0.35">
      <c r="A156" t="s">
        <v>12</v>
      </c>
      <c r="B156">
        <v>-1</v>
      </c>
      <c r="C156">
        <v>-33</v>
      </c>
      <c r="D156">
        <v>-75</v>
      </c>
      <c r="E156">
        <v>42</v>
      </c>
      <c r="F156">
        <v>-1</v>
      </c>
      <c r="G156" t="s">
        <v>5</v>
      </c>
    </row>
    <row r="157" spans="1:7" x14ac:dyDescent="0.35">
      <c r="A157" t="s">
        <v>11</v>
      </c>
      <c r="B157">
        <v>-8</v>
      </c>
      <c r="C157">
        <v>-137</v>
      </c>
      <c r="D157">
        <v>-120</v>
      </c>
      <c r="E157">
        <v>-17</v>
      </c>
      <c r="F157">
        <v>2</v>
      </c>
      <c r="G157" t="s">
        <v>5</v>
      </c>
    </row>
    <row r="158" spans="1:7" x14ac:dyDescent="0.35">
      <c r="A158" t="s">
        <v>12</v>
      </c>
      <c r="B158">
        <v>-1</v>
      </c>
      <c r="C158">
        <v>1</v>
      </c>
      <c r="D158">
        <v>76</v>
      </c>
      <c r="E158">
        <v>-75</v>
      </c>
      <c r="F158">
        <v>6</v>
      </c>
      <c r="G158" t="s">
        <v>5</v>
      </c>
    </row>
    <row r="159" spans="1:7" x14ac:dyDescent="0.35">
      <c r="A159" t="s">
        <v>12</v>
      </c>
      <c r="B159">
        <v>-6</v>
      </c>
      <c r="C159">
        <v>-62</v>
      </c>
      <c r="D159">
        <v>-198</v>
      </c>
      <c r="E159">
        <v>136</v>
      </c>
      <c r="F159">
        <v>-3</v>
      </c>
      <c r="G159" t="s">
        <v>7</v>
      </c>
    </row>
    <row r="160" spans="1:7" x14ac:dyDescent="0.35">
      <c r="A160" t="s">
        <v>11</v>
      </c>
      <c r="B160">
        <v>0</v>
      </c>
      <c r="C160">
        <v>-23</v>
      </c>
      <c r="D160">
        <v>8</v>
      </c>
      <c r="E160">
        <v>-31</v>
      </c>
      <c r="F160">
        <v>-1</v>
      </c>
      <c r="G160" t="s">
        <v>7</v>
      </c>
    </row>
    <row r="161" spans="1:7" x14ac:dyDescent="0.35">
      <c r="A161" t="s">
        <v>11</v>
      </c>
      <c r="B161">
        <v>1</v>
      </c>
      <c r="C161">
        <v>-44</v>
      </c>
      <c r="D161">
        <v>-26</v>
      </c>
      <c r="E161">
        <v>-18</v>
      </c>
      <c r="F161">
        <v>1</v>
      </c>
      <c r="G161" t="s">
        <v>5</v>
      </c>
    </row>
    <row r="162" spans="1:7" x14ac:dyDescent="0.35">
      <c r="A162" t="s">
        <v>12</v>
      </c>
      <c r="B162">
        <v>6</v>
      </c>
      <c r="C162">
        <v>139</v>
      </c>
      <c r="D162">
        <v>156</v>
      </c>
      <c r="E162">
        <v>-17</v>
      </c>
      <c r="F162">
        <v>6</v>
      </c>
      <c r="G162" t="s">
        <v>5</v>
      </c>
    </row>
    <row r="163" spans="1:7" x14ac:dyDescent="0.35">
      <c r="A163" t="s">
        <v>12</v>
      </c>
      <c r="B163">
        <v>7</v>
      </c>
      <c r="C163">
        <v>155</v>
      </c>
      <c r="D163">
        <v>254</v>
      </c>
      <c r="E163">
        <v>-99</v>
      </c>
      <c r="F163">
        <v>2</v>
      </c>
      <c r="G163" t="s">
        <v>5</v>
      </c>
    </row>
    <row r="164" spans="1:7" x14ac:dyDescent="0.35">
      <c r="A164" t="s">
        <v>12</v>
      </c>
      <c r="B164">
        <v>-1</v>
      </c>
      <c r="C164">
        <v>38</v>
      </c>
      <c r="D164">
        <v>51</v>
      </c>
      <c r="E164">
        <v>-13</v>
      </c>
      <c r="F164">
        <v>2</v>
      </c>
      <c r="G164" t="s">
        <v>5</v>
      </c>
    </row>
    <row r="165" spans="1:7" x14ac:dyDescent="0.35">
      <c r="A165" t="s">
        <v>12</v>
      </c>
      <c r="B165">
        <v>0</v>
      </c>
      <c r="C165">
        <v>-165</v>
      </c>
      <c r="D165">
        <v>-113</v>
      </c>
      <c r="E165">
        <v>-52</v>
      </c>
      <c r="F165">
        <v>1</v>
      </c>
      <c r="G165" t="s">
        <v>5</v>
      </c>
    </row>
    <row r="166" spans="1:7" x14ac:dyDescent="0.35">
      <c r="A166" t="s">
        <v>11</v>
      </c>
      <c r="B166">
        <v>8</v>
      </c>
      <c r="C166">
        <v>134</v>
      </c>
      <c r="D166">
        <v>45</v>
      </c>
      <c r="E166">
        <v>89</v>
      </c>
      <c r="F166">
        <v>2</v>
      </c>
      <c r="G166" t="s">
        <v>5</v>
      </c>
    </row>
    <row r="167" spans="1:7" x14ac:dyDescent="0.35">
      <c r="A167" t="s">
        <v>11</v>
      </c>
      <c r="B167">
        <v>-16</v>
      </c>
      <c r="C167">
        <v>-213</v>
      </c>
      <c r="D167">
        <v>-104</v>
      </c>
      <c r="E167">
        <v>-109</v>
      </c>
      <c r="F167">
        <v>0</v>
      </c>
      <c r="G167" t="s">
        <v>5</v>
      </c>
    </row>
    <row r="168" spans="1:7" x14ac:dyDescent="0.35">
      <c r="A168" t="s">
        <v>12</v>
      </c>
      <c r="B168">
        <v>-5</v>
      </c>
      <c r="C168">
        <v>-55</v>
      </c>
      <c r="D168">
        <v>-6</v>
      </c>
      <c r="E168">
        <v>-49</v>
      </c>
      <c r="F168">
        <v>-1</v>
      </c>
      <c r="G168" t="s">
        <v>7</v>
      </c>
    </row>
    <row r="169" spans="1:7" x14ac:dyDescent="0.35">
      <c r="A169" t="s">
        <v>11</v>
      </c>
      <c r="B169">
        <v>-7</v>
      </c>
      <c r="C169">
        <v>-47</v>
      </c>
      <c r="D169">
        <v>-33</v>
      </c>
      <c r="E169">
        <v>-14</v>
      </c>
      <c r="F169">
        <v>1</v>
      </c>
      <c r="G169" t="s">
        <v>5</v>
      </c>
    </row>
    <row r="170" spans="1:7" x14ac:dyDescent="0.35">
      <c r="A170" t="s">
        <v>11</v>
      </c>
      <c r="B170">
        <v>-1</v>
      </c>
      <c r="C170">
        <v>72</v>
      </c>
      <c r="D170">
        <v>93</v>
      </c>
      <c r="E170">
        <v>-21</v>
      </c>
      <c r="F170">
        <v>-2</v>
      </c>
      <c r="G170" t="s">
        <v>7</v>
      </c>
    </row>
    <row r="171" spans="1:7" x14ac:dyDescent="0.35">
      <c r="A171" t="s">
        <v>12</v>
      </c>
      <c r="B171">
        <v>0</v>
      </c>
      <c r="C171">
        <v>24</v>
      </c>
      <c r="D171">
        <v>35</v>
      </c>
      <c r="E171">
        <v>-11</v>
      </c>
      <c r="F171">
        <v>5</v>
      </c>
      <c r="G171" t="s">
        <v>5</v>
      </c>
    </row>
    <row r="172" spans="1:7" x14ac:dyDescent="0.35">
      <c r="A172" t="s">
        <v>12</v>
      </c>
      <c r="B172">
        <v>3</v>
      </c>
      <c r="C172">
        <v>-73</v>
      </c>
      <c r="D172">
        <v>-47</v>
      </c>
      <c r="E172">
        <v>-26</v>
      </c>
      <c r="F172">
        <v>-3</v>
      </c>
      <c r="G172" t="s">
        <v>7</v>
      </c>
    </row>
    <row r="173" spans="1:7" x14ac:dyDescent="0.35">
      <c r="A173" t="s">
        <v>12</v>
      </c>
      <c r="B173">
        <v>-1</v>
      </c>
      <c r="C173">
        <v>-19</v>
      </c>
      <c r="D173">
        <v>-19</v>
      </c>
      <c r="E173">
        <v>0</v>
      </c>
      <c r="F173">
        <v>1</v>
      </c>
      <c r="G173" t="s">
        <v>5</v>
      </c>
    </row>
    <row r="174" spans="1:7" x14ac:dyDescent="0.35">
      <c r="A174" t="s">
        <v>11</v>
      </c>
      <c r="B174">
        <v>0</v>
      </c>
      <c r="C174">
        <v>54</v>
      </c>
      <c r="D174">
        <v>-88</v>
      </c>
      <c r="E174">
        <v>142</v>
      </c>
      <c r="F174">
        <v>-3</v>
      </c>
      <c r="G174" t="s">
        <v>7</v>
      </c>
    </row>
    <row r="175" spans="1:7" x14ac:dyDescent="0.35">
      <c r="A175" t="s">
        <v>12</v>
      </c>
      <c r="B175">
        <v>13</v>
      </c>
      <c r="C175">
        <v>233</v>
      </c>
      <c r="D175">
        <v>224</v>
      </c>
      <c r="E175">
        <v>9</v>
      </c>
      <c r="F175">
        <v>3</v>
      </c>
      <c r="G175" t="s">
        <v>7</v>
      </c>
    </row>
    <row r="176" spans="1:7" x14ac:dyDescent="0.35">
      <c r="A176" t="s">
        <v>12</v>
      </c>
      <c r="B176">
        <v>4</v>
      </c>
      <c r="C176">
        <v>72</v>
      </c>
      <c r="D176">
        <v>35</v>
      </c>
      <c r="E176">
        <v>37</v>
      </c>
      <c r="F176">
        <v>0</v>
      </c>
      <c r="G176" t="s">
        <v>7</v>
      </c>
    </row>
    <row r="177" spans="1:7" x14ac:dyDescent="0.35">
      <c r="A177" t="s">
        <v>12</v>
      </c>
      <c r="B177">
        <v>4</v>
      </c>
      <c r="C177">
        <v>39</v>
      </c>
      <c r="D177">
        <v>16</v>
      </c>
      <c r="E177">
        <v>23</v>
      </c>
      <c r="F177">
        <v>2</v>
      </c>
      <c r="G177" t="s">
        <v>5</v>
      </c>
    </row>
    <row r="178" spans="1:7" x14ac:dyDescent="0.35">
      <c r="A178" t="s">
        <v>11</v>
      </c>
      <c r="B178">
        <v>-15</v>
      </c>
      <c r="C178">
        <v>-157</v>
      </c>
      <c r="D178">
        <v>-31</v>
      </c>
      <c r="E178">
        <v>-126</v>
      </c>
      <c r="F178">
        <v>-1</v>
      </c>
      <c r="G178" t="s">
        <v>7</v>
      </c>
    </row>
    <row r="179" spans="1:7" x14ac:dyDescent="0.35">
      <c r="A179" t="s">
        <v>12</v>
      </c>
      <c r="B179">
        <v>0</v>
      </c>
      <c r="C179">
        <v>69</v>
      </c>
      <c r="D179">
        <v>18</v>
      </c>
      <c r="E179">
        <v>51</v>
      </c>
      <c r="F179">
        <v>1</v>
      </c>
      <c r="G179" t="s">
        <v>7</v>
      </c>
    </row>
    <row r="180" spans="1:7" x14ac:dyDescent="0.35">
      <c r="A180" t="s">
        <v>12</v>
      </c>
      <c r="B180">
        <v>8</v>
      </c>
      <c r="C180">
        <v>110</v>
      </c>
      <c r="D180">
        <v>1</v>
      </c>
      <c r="E180">
        <v>109</v>
      </c>
      <c r="F180">
        <v>-2</v>
      </c>
      <c r="G180" t="s">
        <v>7</v>
      </c>
    </row>
    <row r="181" spans="1:7" x14ac:dyDescent="0.35">
      <c r="A181" t="s">
        <v>11</v>
      </c>
      <c r="B181">
        <v>-2</v>
      </c>
      <c r="C181">
        <v>109</v>
      </c>
      <c r="D181">
        <v>33</v>
      </c>
      <c r="E181">
        <v>76</v>
      </c>
      <c r="F181">
        <v>0</v>
      </c>
      <c r="G181" t="s">
        <v>7</v>
      </c>
    </row>
    <row r="182" spans="1:7" x14ac:dyDescent="0.35">
      <c r="A182" t="s">
        <v>12</v>
      </c>
      <c r="B182">
        <v>12</v>
      </c>
      <c r="C182">
        <v>168</v>
      </c>
      <c r="D182">
        <v>128</v>
      </c>
      <c r="E182">
        <v>40</v>
      </c>
      <c r="F182">
        <v>0</v>
      </c>
      <c r="G182" t="s">
        <v>7</v>
      </c>
    </row>
    <row r="183" spans="1:7" x14ac:dyDescent="0.35">
      <c r="A183" t="s">
        <v>11</v>
      </c>
      <c r="B183">
        <v>-5</v>
      </c>
      <c r="C183">
        <v>86</v>
      </c>
      <c r="D183">
        <v>32</v>
      </c>
      <c r="E183">
        <v>54</v>
      </c>
      <c r="F183">
        <v>2</v>
      </c>
      <c r="G183" t="s">
        <v>5</v>
      </c>
    </row>
    <row r="184" spans="1:7" x14ac:dyDescent="0.35">
      <c r="A184" t="s">
        <v>12</v>
      </c>
      <c r="B184">
        <v>-2</v>
      </c>
      <c r="C184">
        <v>-61</v>
      </c>
      <c r="D184">
        <v>-96</v>
      </c>
      <c r="E184">
        <v>35</v>
      </c>
      <c r="F184">
        <v>-2</v>
      </c>
      <c r="G184" t="s">
        <v>7</v>
      </c>
    </row>
    <row r="185" spans="1:7" x14ac:dyDescent="0.35">
      <c r="A185" t="s">
        <v>11</v>
      </c>
      <c r="B185">
        <v>12</v>
      </c>
      <c r="C185">
        <v>219</v>
      </c>
      <c r="D185">
        <v>234</v>
      </c>
      <c r="E185">
        <v>-15</v>
      </c>
      <c r="F185">
        <v>-1</v>
      </c>
      <c r="G185" t="s">
        <v>7</v>
      </c>
    </row>
    <row r="186" spans="1:7" x14ac:dyDescent="0.35">
      <c r="A186" t="s">
        <v>12</v>
      </c>
      <c r="B186">
        <v>8</v>
      </c>
      <c r="C186">
        <v>228</v>
      </c>
      <c r="D186">
        <v>226</v>
      </c>
      <c r="E186">
        <v>2</v>
      </c>
      <c r="F186">
        <v>3</v>
      </c>
      <c r="G186" t="s">
        <v>5</v>
      </c>
    </row>
    <row r="187" spans="1:7" x14ac:dyDescent="0.35">
      <c r="A187" t="s">
        <v>11</v>
      </c>
      <c r="B187">
        <v>3</v>
      </c>
      <c r="C187">
        <v>68</v>
      </c>
      <c r="D187">
        <v>87</v>
      </c>
      <c r="E187">
        <v>-19</v>
      </c>
      <c r="F187">
        <v>1</v>
      </c>
      <c r="G187" t="s">
        <v>7</v>
      </c>
    </row>
    <row r="188" spans="1:7" x14ac:dyDescent="0.35">
      <c r="A188" t="s">
        <v>12</v>
      </c>
      <c r="B188">
        <v>11</v>
      </c>
      <c r="C188">
        <v>230</v>
      </c>
      <c r="D188">
        <v>210</v>
      </c>
      <c r="E188">
        <v>20</v>
      </c>
      <c r="F188">
        <v>1</v>
      </c>
      <c r="G188" t="s">
        <v>7</v>
      </c>
    </row>
    <row r="189" spans="1:7" x14ac:dyDescent="0.35">
      <c r="A189" t="s">
        <v>12</v>
      </c>
      <c r="B189">
        <v>-3</v>
      </c>
      <c r="C189">
        <v>67</v>
      </c>
      <c r="D189">
        <v>70</v>
      </c>
      <c r="E189">
        <v>-3</v>
      </c>
      <c r="F189">
        <v>0</v>
      </c>
      <c r="G189" t="s">
        <v>7</v>
      </c>
    </row>
    <row r="190" spans="1:7" x14ac:dyDescent="0.35">
      <c r="A190" t="s">
        <v>11</v>
      </c>
      <c r="B190">
        <v>-3</v>
      </c>
      <c r="C190">
        <v>73</v>
      </c>
      <c r="D190">
        <v>47</v>
      </c>
      <c r="E190">
        <v>26</v>
      </c>
      <c r="F190">
        <v>3</v>
      </c>
      <c r="G190" t="s">
        <v>5</v>
      </c>
    </row>
    <row r="191" spans="1:7" x14ac:dyDescent="0.35">
      <c r="A191" t="s">
        <v>11</v>
      </c>
      <c r="B191">
        <v>-10</v>
      </c>
      <c r="C191">
        <v>-147</v>
      </c>
      <c r="D191">
        <v>-91</v>
      </c>
      <c r="E191">
        <v>-56</v>
      </c>
      <c r="F191">
        <v>-1</v>
      </c>
      <c r="G191" t="s">
        <v>5</v>
      </c>
    </row>
    <row r="192" spans="1:7" x14ac:dyDescent="0.35">
      <c r="A192" t="s">
        <v>12</v>
      </c>
      <c r="B192">
        <v>-8</v>
      </c>
      <c r="C192">
        <v>-123</v>
      </c>
      <c r="D192">
        <v>-127</v>
      </c>
      <c r="E192">
        <v>4</v>
      </c>
      <c r="F192">
        <v>-3</v>
      </c>
      <c r="G192" t="s">
        <v>7</v>
      </c>
    </row>
    <row r="193" spans="1:7" x14ac:dyDescent="0.35">
      <c r="A193" t="s">
        <v>11</v>
      </c>
      <c r="B193">
        <v>-3</v>
      </c>
      <c r="C193">
        <v>-6</v>
      </c>
      <c r="D193">
        <v>-24</v>
      </c>
      <c r="E193">
        <v>18</v>
      </c>
      <c r="F193">
        <v>0</v>
      </c>
      <c r="G193" t="s">
        <v>5</v>
      </c>
    </row>
    <row r="194" spans="1:7" x14ac:dyDescent="0.35">
      <c r="A194" t="s">
        <v>12</v>
      </c>
      <c r="B194">
        <v>2</v>
      </c>
      <c r="C194">
        <v>186</v>
      </c>
      <c r="D194">
        <v>-55</v>
      </c>
      <c r="E194">
        <v>241</v>
      </c>
      <c r="F194">
        <v>-1</v>
      </c>
      <c r="G194" t="s">
        <v>7</v>
      </c>
    </row>
    <row r="195" spans="1:7" x14ac:dyDescent="0.35">
      <c r="A195" t="s">
        <v>11</v>
      </c>
      <c r="B195">
        <v>8</v>
      </c>
      <c r="C195">
        <v>49</v>
      </c>
      <c r="D195">
        <v>86</v>
      </c>
      <c r="E195">
        <v>-37</v>
      </c>
      <c r="F195">
        <v>-1</v>
      </c>
      <c r="G195" t="s">
        <v>5</v>
      </c>
    </row>
    <row r="196" spans="1:7" x14ac:dyDescent="0.35">
      <c r="A196" t="s">
        <v>11</v>
      </c>
      <c r="B196">
        <v>6</v>
      </c>
      <c r="C196">
        <v>7</v>
      </c>
      <c r="D196">
        <v>-84</v>
      </c>
      <c r="E196">
        <v>91</v>
      </c>
      <c r="F196">
        <v>1</v>
      </c>
      <c r="G196" t="s">
        <v>7</v>
      </c>
    </row>
    <row r="197" spans="1:7" x14ac:dyDescent="0.35">
      <c r="A197" t="s">
        <v>12</v>
      </c>
      <c r="B197">
        <v>9</v>
      </c>
      <c r="C197">
        <v>146</v>
      </c>
      <c r="D197">
        <v>95</v>
      </c>
      <c r="E197">
        <v>51</v>
      </c>
      <c r="F197">
        <v>1</v>
      </c>
      <c r="G197" t="s">
        <v>7</v>
      </c>
    </row>
    <row r="198" spans="1:7" x14ac:dyDescent="0.35">
      <c r="A198" t="s">
        <v>12</v>
      </c>
      <c r="B198">
        <v>7</v>
      </c>
      <c r="C198">
        <v>48</v>
      </c>
      <c r="D198">
        <v>-57</v>
      </c>
      <c r="E198">
        <v>105</v>
      </c>
      <c r="F198">
        <v>-2</v>
      </c>
      <c r="G198" t="s">
        <v>7</v>
      </c>
    </row>
    <row r="199" spans="1:7" x14ac:dyDescent="0.35">
      <c r="A199" t="s">
        <v>11</v>
      </c>
      <c r="B199">
        <v>7</v>
      </c>
      <c r="C199">
        <v>129</v>
      </c>
      <c r="D199">
        <v>96</v>
      </c>
      <c r="E199">
        <v>33</v>
      </c>
      <c r="F199">
        <v>0</v>
      </c>
      <c r="G199" t="s">
        <v>7</v>
      </c>
    </row>
    <row r="200" spans="1:7" x14ac:dyDescent="0.35">
      <c r="A200" t="s">
        <v>11</v>
      </c>
      <c r="B200">
        <v>-2</v>
      </c>
      <c r="C200">
        <v>84</v>
      </c>
      <c r="D200">
        <v>-99</v>
      </c>
      <c r="E200">
        <v>183</v>
      </c>
      <c r="F200">
        <v>-2</v>
      </c>
      <c r="G200" t="s">
        <v>7</v>
      </c>
    </row>
    <row r="201" spans="1:7" x14ac:dyDescent="0.35">
      <c r="A201" t="s">
        <v>12</v>
      </c>
      <c r="B201">
        <v>-4</v>
      </c>
      <c r="C201">
        <v>-8</v>
      </c>
      <c r="D201">
        <v>53</v>
      </c>
      <c r="E201">
        <v>-61</v>
      </c>
      <c r="F201">
        <v>-1</v>
      </c>
      <c r="G201" t="s">
        <v>5</v>
      </c>
    </row>
    <row r="202" spans="1:7" x14ac:dyDescent="0.35">
      <c r="A202" t="s">
        <v>11</v>
      </c>
      <c r="B202">
        <v>14</v>
      </c>
      <c r="C202">
        <v>351</v>
      </c>
      <c r="D202">
        <v>293</v>
      </c>
      <c r="E202">
        <v>58</v>
      </c>
      <c r="F202">
        <v>-1</v>
      </c>
      <c r="G202" t="s">
        <v>7</v>
      </c>
    </row>
    <row r="203" spans="1:7" x14ac:dyDescent="0.35">
      <c r="A203" t="s">
        <v>12</v>
      </c>
      <c r="B203">
        <v>4</v>
      </c>
      <c r="C203">
        <v>58</v>
      </c>
      <c r="D203">
        <v>79</v>
      </c>
      <c r="E203">
        <v>-21</v>
      </c>
      <c r="F203">
        <v>4</v>
      </c>
      <c r="G203" t="s">
        <v>5</v>
      </c>
    </row>
    <row r="204" spans="1:7" x14ac:dyDescent="0.35">
      <c r="A204" t="s">
        <v>12</v>
      </c>
      <c r="B204">
        <v>-1</v>
      </c>
      <c r="C204">
        <v>-6</v>
      </c>
      <c r="D204">
        <v>33</v>
      </c>
      <c r="E204">
        <v>-39</v>
      </c>
      <c r="F204">
        <v>2</v>
      </c>
      <c r="G204" t="s">
        <v>5</v>
      </c>
    </row>
    <row r="205" spans="1:7" x14ac:dyDescent="0.35">
      <c r="A205" t="s">
        <v>12</v>
      </c>
      <c r="B205">
        <v>0</v>
      </c>
      <c r="C205">
        <v>-37</v>
      </c>
      <c r="D205">
        <v>-7</v>
      </c>
      <c r="E205">
        <v>-30</v>
      </c>
      <c r="F205">
        <v>1</v>
      </c>
      <c r="G205" t="s">
        <v>5</v>
      </c>
    </row>
    <row r="206" spans="1:7" x14ac:dyDescent="0.35">
      <c r="A206" t="s">
        <v>11</v>
      </c>
      <c r="B206">
        <v>9</v>
      </c>
      <c r="C206">
        <v>30</v>
      </c>
      <c r="D206">
        <v>84</v>
      </c>
      <c r="E206">
        <v>-54</v>
      </c>
      <c r="F206">
        <v>1</v>
      </c>
      <c r="G206" t="s">
        <v>5</v>
      </c>
    </row>
    <row r="207" spans="1:7" x14ac:dyDescent="0.35">
      <c r="A207" t="s">
        <v>12</v>
      </c>
      <c r="B207">
        <v>-4</v>
      </c>
      <c r="C207">
        <v>-158</v>
      </c>
      <c r="D207">
        <v>-86</v>
      </c>
      <c r="E207">
        <v>-72</v>
      </c>
      <c r="F207">
        <v>1</v>
      </c>
      <c r="G207" t="s">
        <v>5</v>
      </c>
    </row>
    <row r="208" spans="1:7" x14ac:dyDescent="0.35">
      <c r="A208" t="s">
        <v>12</v>
      </c>
      <c r="B208">
        <v>3</v>
      </c>
      <c r="C208">
        <v>18</v>
      </c>
      <c r="D208">
        <v>67</v>
      </c>
      <c r="E208">
        <v>-49</v>
      </c>
      <c r="F208">
        <v>3</v>
      </c>
      <c r="G208" t="s">
        <v>5</v>
      </c>
    </row>
    <row r="209" spans="1:7" x14ac:dyDescent="0.35">
      <c r="A209" t="s">
        <v>11</v>
      </c>
      <c r="B209">
        <v>-1</v>
      </c>
      <c r="C209">
        <v>-58</v>
      </c>
      <c r="D209">
        <v>-35</v>
      </c>
      <c r="E209">
        <v>-23</v>
      </c>
      <c r="F209">
        <v>1</v>
      </c>
      <c r="G209" t="s">
        <v>7</v>
      </c>
    </row>
    <row r="210" spans="1:7" x14ac:dyDescent="0.35">
      <c r="A210" t="s">
        <v>12</v>
      </c>
      <c r="B210">
        <v>-7</v>
      </c>
      <c r="C210">
        <v>-129</v>
      </c>
      <c r="D210">
        <v>-96</v>
      </c>
      <c r="E210">
        <v>-33</v>
      </c>
      <c r="F210">
        <v>0</v>
      </c>
      <c r="G210" t="s">
        <v>5</v>
      </c>
    </row>
    <row r="211" spans="1:7" x14ac:dyDescent="0.35">
      <c r="A211" t="s">
        <v>12</v>
      </c>
      <c r="B211">
        <v>-5</v>
      </c>
      <c r="C211">
        <v>69</v>
      </c>
      <c r="D211">
        <v>75</v>
      </c>
      <c r="E211">
        <v>-6</v>
      </c>
      <c r="F211">
        <v>0</v>
      </c>
      <c r="G211" t="s">
        <v>7</v>
      </c>
    </row>
    <row r="212" spans="1:7" x14ac:dyDescent="0.35">
      <c r="A212" t="s">
        <v>11</v>
      </c>
      <c r="B212">
        <v>5</v>
      </c>
      <c r="C212">
        <v>73</v>
      </c>
      <c r="D212">
        <v>48</v>
      </c>
      <c r="E212">
        <v>25</v>
      </c>
      <c r="F212">
        <v>-3</v>
      </c>
      <c r="G212" t="s">
        <v>7</v>
      </c>
    </row>
    <row r="213" spans="1:7" x14ac:dyDescent="0.35">
      <c r="A213" t="s">
        <v>12</v>
      </c>
      <c r="B213">
        <v>1</v>
      </c>
      <c r="C213">
        <v>13</v>
      </c>
      <c r="D213">
        <v>10</v>
      </c>
      <c r="E213">
        <v>3</v>
      </c>
      <c r="F213">
        <v>0</v>
      </c>
      <c r="G213" t="s">
        <v>7</v>
      </c>
    </row>
    <row r="214" spans="1:7" x14ac:dyDescent="0.35">
      <c r="A214" t="s">
        <v>12</v>
      </c>
      <c r="B214">
        <v>-2</v>
      </c>
      <c r="C214">
        <v>-54</v>
      </c>
      <c r="D214">
        <v>-106</v>
      </c>
      <c r="E214">
        <v>52</v>
      </c>
      <c r="F214">
        <v>0</v>
      </c>
      <c r="G214" t="s">
        <v>5</v>
      </c>
    </row>
    <row r="215" spans="1:7" x14ac:dyDescent="0.35">
      <c r="A215" t="s">
        <v>11</v>
      </c>
      <c r="B215">
        <v>-6</v>
      </c>
      <c r="C215">
        <v>-86</v>
      </c>
      <c r="D215">
        <v>-45</v>
      </c>
      <c r="E215">
        <v>-41</v>
      </c>
      <c r="F215">
        <v>-2</v>
      </c>
      <c r="G215" t="s">
        <v>7</v>
      </c>
    </row>
    <row r="216" spans="1:7" x14ac:dyDescent="0.35">
      <c r="A216" t="s">
        <v>11</v>
      </c>
      <c r="B216">
        <v>9</v>
      </c>
      <c r="C216">
        <v>76</v>
      </c>
      <c r="D216">
        <v>175</v>
      </c>
      <c r="E216">
        <v>-99</v>
      </c>
      <c r="F216">
        <v>3</v>
      </c>
      <c r="G216" t="s">
        <v>5</v>
      </c>
    </row>
    <row r="217" spans="1:7" x14ac:dyDescent="0.35">
      <c r="A217" t="s">
        <v>12</v>
      </c>
      <c r="B217">
        <v>6</v>
      </c>
      <c r="C217">
        <v>205</v>
      </c>
      <c r="D217">
        <v>187</v>
      </c>
      <c r="E217">
        <v>18</v>
      </c>
      <c r="F217">
        <v>1</v>
      </c>
      <c r="G217" t="s">
        <v>7</v>
      </c>
    </row>
    <row r="218" spans="1:7" x14ac:dyDescent="0.35">
      <c r="A218" t="s">
        <v>11</v>
      </c>
      <c r="B218">
        <v>3</v>
      </c>
      <c r="C218">
        <v>-141</v>
      </c>
      <c r="D218">
        <v>-146</v>
      </c>
      <c r="E218">
        <v>5</v>
      </c>
      <c r="F218">
        <v>1</v>
      </c>
      <c r="G218" t="s">
        <v>5</v>
      </c>
    </row>
    <row r="219" spans="1:7" x14ac:dyDescent="0.35">
      <c r="A219" t="s">
        <v>11</v>
      </c>
      <c r="B219">
        <v>5</v>
      </c>
      <c r="C219">
        <v>55</v>
      </c>
      <c r="D219">
        <v>6</v>
      </c>
      <c r="E219">
        <v>49</v>
      </c>
      <c r="F219">
        <v>1</v>
      </c>
      <c r="G219" t="s">
        <v>5</v>
      </c>
    </row>
    <row r="220" spans="1:7" x14ac:dyDescent="0.35">
      <c r="A220" t="s">
        <v>12</v>
      </c>
      <c r="B220">
        <v>-5</v>
      </c>
      <c r="C220">
        <v>-94</v>
      </c>
      <c r="D220">
        <v>-21</v>
      </c>
      <c r="E220">
        <v>-73</v>
      </c>
      <c r="F220">
        <v>1</v>
      </c>
      <c r="G220" t="s">
        <v>5</v>
      </c>
    </row>
    <row r="221" spans="1:7" x14ac:dyDescent="0.35">
      <c r="A221" t="s">
        <v>11</v>
      </c>
      <c r="B221">
        <v>-2</v>
      </c>
      <c r="C221">
        <v>34</v>
      </c>
      <c r="D221">
        <v>-26</v>
      </c>
      <c r="E221">
        <v>60</v>
      </c>
      <c r="F221">
        <v>1</v>
      </c>
      <c r="G221" t="s">
        <v>7</v>
      </c>
    </row>
    <row r="222" spans="1:7" x14ac:dyDescent="0.35">
      <c r="A222" t="s">
        <v>11</v>
      </c>
      <c r="B222">
        <v>7</v>
      </c>
      <c r="C222">
        <v>197</v>
      </c>
      <c r="D222">
        <v>243</v>
      </c>
      <c r="E222">
        <v>-46</v>
      </c>
      <c r="F222">
        <v>1</v>
      </c>
      <c r="G222" t="s">
        <v>7</v>
      </c>
    </row>
    <row r="223" spans="1:7" x14ac:dyDescent="0.35">
      <c r="A223" t="s">
        <v>11</v>
      </c>
      <c r="B223">
        <v>0</v>
      </c>
      <c r="C223">
        <v>37</v>
      </c>
      <c r="D223">
        <v>7</v>
      </c>
      <c r="E223">
        <v>30</v>
      </c>
      <c r="F223">
        <v>-1</v>
      </c>
      <c r="G223" t="s">
        <v>7</v>
      </c>
    </row>
    <row r="224" spans="1:7" x14ac:dyDescent="0.35">
      <c r="A224" t="s">
        <v>12</v>
      </c>
      <c r="B224">
        <v>17</v>
      </c>
      <c r="C224">
        <v>214</v>
      </c>
      <c r="D224">
        <v>152</v>
      </c>
      <c r="E224">
        <v>62</v>
      </c>
      <c r="F224">
        <v>-2</v>
      </c>
      <c r="G224" t="s">
        <v>7</v>
      </c>
    </row>
    <row r="225" spans="1:7" x14ac:dyDescent="0.35">
      <c r="A225" t="s">
        <v>12</v>
      </c>
      <c r="B225">
        <v>6</v>
      </c>
      <c r="C225">
        <v>78</v>
      </c>
      <c r="D225">
        <v>143</v>
      </c>
      <c r="E225">
        <v>-65</v>
      </c>
      <c r="F225">
        <v>-1</v>
      </c>
      <c r="G225" t="s">
        <v>7</v>
      </c>
    </row>
    <row r="226" spans="1:7" x14ac:dyDescent="0.35">
      <c r="A226" t="s">
        <v>12</v>
      </c>
      <c r="B226">
        <v>1</v>
      </c>
      <c r="C226">
        <v>-3</v>
      </c>
      <c r="D226">
        <v>92</v>
      </c>
      <c r="E226">
        <v>-95</v>
      </c>
      <c r="F226">
        <v>-2</v>
      </c>
      <c r="G226" t="s">
        <v>7</v>
      </c>
    </row>
    <row r="227" spans="1:7" x14ac:dyDescent="0.35">
      <c r="A227" t="s">
        <v>11</v>
      </c>
      <c r="B227">
        <v>-6</v>
      </c>
      <c r="C227">
        <v>8</v>
      </c>
      <c r="D227">
        <v>32</v>
      </c>
      <c r="E227">
        <v>-24</v>
      </c>
      <c r="F227">
        <v>0</v>
      </c>
      <c r="G227" t="s">
        <v>5</v>
      </c>
    </row>
    <row r="228" spans="1:7" x14ac:dyDescent="0.35">
      <c r="A228" t="s">
        <v>11</v>
      </c>
      <c r="B228">
        <v>0</v>
      </c>
      <c r="C228">
        <v>-79</v>
      </c>
      <c r="D228">
        <v>-26</v>
      </c>
      <c r="E228">
        <v>-53</v>
      </c>
      <c r="F228">
        <v>0</v>
      </c>
      <c r="G228" t="s">
        <v>5</v>
      </c>
    </row>
    <row r="229" spans="1:7" x14ac:dyDescent="0.35">
      <c r="A229" t="s">
        <v>11</v>
      </c>
      <c r="B229">
        <v>-5</v>
      </c>
      <c r="C229">
        <v>5</v>
      </c>
      <c r="D229">
        <v>-28</v>
      </c>
      <c r="E229">
        <v>33</v>
      </c>
      <c r="F229">
        <v>1</v>
      </c>
      <c r="G229" t="s">
        <v>5</v>
      </c>
    </row>
    <row r="230" spans="1:7" x14ac:dyDescent="0.35">
      <c r="A230" t="s">
        <v>11</v>
      </c>
      <c r="B230">
        <v>3</v>
      </c>
      <c r="C230">
        <v>13</v>
      </c>
      <c r="D230">
        <v>56</v>
      </c>
      <c r="E230">
        <v>-43</v>
      </c>
      <c r="F230">
        <v>2</v>
      </c>
      <c r="G230" t="s">
        <v>5</v>
      </c>
    </row>
    <row r="231" spans="1:7" x14ac:dyDescent="0.35">
      <c r="A231" t="s">
        <v>11</v>
      </c>
      <c r="B231">
        <v>-7</v>
      </c>
      <c r="C231">
        <v>-119</v>
      </c>
      <c r="D231">
        <v>-45</v>
      </c>
      <c r="E231">
        <v>-74</v>
      </c>
      <c r="F231">
        <v>3</v>
      </c>
      <c r="G231" t="s">
        <v>5</v>
      </c>
    </row>
    <row r="232" spans="1:7" x14ac:dyDescent="0.35">
      <c r="A232" t="s">
        <v>11</v>
      </c>
      <c r="B232">
        <v>-11</v>
      </c>
      <c r="C232">
        <v>-230</v>
      </c>
      <c r="D232">
        <v>-210</v>
      </c>
      <c r="E232">
        <v>-20</v>
      </c>
      <c r="F232">
        <v>-1</v>
      </c>
      <c r="G232" t="s">
        <v>5</v>
      </c>
    </row>
    <row r="233" spans="1:7" x14ac:dyDescent="0.35">
      <c r="A233" t="s">
        <v>11</v>
      </c>
      <c r="B233">
        <v>-4</v>
      </c>
      <c r="C233">
        <v>104</v>
      </c>
      <c r="D233">
        <v>-52</v>
      </c>
      <c r="E233">
        <v>156</v>
      </c>
      <c r="F233">
        <v>-1</v>
      </c>
      <c r="G233" t="s">
        <v>7</v>
      </c>
    </row>
    <row r="234" spans="1:7" x14ac:dyDescent="0.35">
      <c r="A234" t="s">
        <v>12</v>
      </c>
      <c r="B234">
        <v>8</v>
      </c>
      <c r="C234">
        <v>137</v>
      </c>
      <c r="D234">
        <v>120</v>
      </c>
      <c r="E234">
        <v>17</v>
      </c>
      <c r="F234">
        <v>-2</v>
      </c>
      <c r="G234" t="s">
        <v>7</v>
      </c>
    </row>
    <row r="235" spans="1:7" x14ac:dyDescent="0.35">
      <c r="A235" t="s">
        <v>12</v>
      </c>
      <c r="B235">
        <v>2</v>
      </c>
      <c r="C235">
        <v>-26</v>
      </c>
      <c r="D235">
        <v>-95</v>
      </c>
      <c r="E235">
        <v>69</v>
      </c>
      <c r="F235">
        <v>2</v>
      </c>
      <c r="G235" t="s">
        <v>7</v>
      </c>
    </row>
    <row r="236" spans="1:7" x14ac:dyDescent="0.35">
      <c r="A236" t="s">
        <v>12</v>
      </c>
      <c r="B236">
        <v>2</v>
      </c>
      <c r="C236">
        <v>28</v>
      </c>
      <c r="D236">
        <v>12</v>
      </c>
      <c r="E236">
        <v>16</v>
      </c>
      <c r="F236">
        <v>2</v>
      </c>
      <c r="G236" t="s">
        <v>7</v>
      </c>
    </row>
    <row r="237" spans="1:7" x14ac:dyDescent="0.35">
      <c r="A237" t="s">
        <v>12</v>
      </c>
      <c r="B237">
        <v>-12</v>
      </c>
      <c r="C237">
        <v>-219</v>
      </c>
      <c r="D237">
        <v>-234</v>
      </c>
      <c r="E237">
        <v>15</v>
      </c>
      <c r="F237">
        <v>1</v>
      </c>
      <c r="G237" t="s">
        <v>5</v>
      </c>
    </row>
    <row r="238" spans="1:7" x14ac:dyDescent="0.35">
      <c r="A238" t="s">
        <v>11</v>
      </c>
      <c r="B238">
        <v>-9</v>
      </c>
      <c r="C238">
        <v>-246</v>
      </c>
      <c r="D238">
        <v>-111</v>
      </c>
      <c r="E238">
        <v>-135</v>
      </c>
      <c r="F238">
        <v>1</v>
      </c>
      <c r="G238" t="s">
        <v>5</v>
      </c>
    </row>
    <row r="239" spans="1:7" x14ac:dyDescent="0.35">
      <c r="A239" t="s">
        <v>11</v>
      </c>
      <c r="B239">
        <v>3</v>
      </c>
      <c r="C239">
        <v>45</v>
      </c>
      <c r="D239">
        <v>2</v>
      </c>
      <c r="E239">
        <v>43</v>
      </c>
      <c r="F239">
        <v>2</v>
      </c>
      <c r="G239" t="s">
        <v>7</v>
      </c>
    </row>
    <row r="240" spans="1:7" x14ac:dyDescent="0.35">
      <c r="A240" t="s">
        <v>12</v>
      </c>
      <c r="B240">
        <v>4</v>
      </c>
      <c r="C240">
        <v>151</v>
      </c>
      <c r="D240">
        <v>158</v>
      </c>
      <c r="E240">
        <v>-7</v>
      </c>
      <c r="F240">
        <v>-1</v>
      </c>
      <c r="G240" t="s">
        <v>7</v>
      </c>
    </row>
    <row r="241" spans="1:7" x14ac:dyDescent="0.35">
      <c r="A241" t="s">
        <v>11</v>
      </c>
      <c r="B241">
        <v>7</v>
      </c>
      <c r="C241">
        <v>76</v>
      </c>
      <c r="D241">
        <v>84</v>
      </c>
      <c r="E241">
        <v>-8</v>
      </c>
      <c r="F241">
        <v>2</v>
      </c>
      <c r="G241" t="s">
        <v>5</v>
      </c>
    </row>
    <row r="242" spans="1:7" x14ac:dyDescent="0.35">
      <c r="A242" t="s">
        <v>11</v>
      </c>
      <c r="B242">
        <v>-1</v>
      </c>
      <c r="C242">
        <v>31</v>
      </c>
      <c r="D242">
        <v>-76</v>
      </c>
      <c r="E242">
        <v>107</v>
      </c>
      <c r="F242">
        <v>-1</v>
      </c>
      <c r="G242" t="s">
        <v>7</v>
      </c>
    </row>
    <row r="243" spans="1:7" x14ac:dyDescent="0.35">
      <c r="A243" t="s">
        <v>11</v>
      </c>
      <c r="B243">
        <v>2</v>
      </c>
      <c r="C243">
        <v>-51</v>
      </c>
      <c r="D243">
        <v>-114</v>
      </c>
      <c r="E243">
        <v>63</v>
      </c>
      <c r="F243">
        <v>0</v>
      </c>
      <c r="G243" t="s">
        <v>5</v>
      </c>
    </row>
    <row r="244" spans="1:7" x14ac:dyDescent="0.35">
      <c r="A244" t="s">
        <v>11</v>
      </c>
      <c r="B244">
        <v>-9</v>
      </c>
      <c r="C244">
        <v>-157</v>
      </c>
      <c r="D244">
        <v>-90</v>
      </c>
      <c r="E244">
        <v>-67</v>
      </c>
      <c r="F244">
        <v>1</v>
      </c>
      <c r="G244" t="s">
        <v>5</v>
      </c>
    </row>
    <row r="245" spans="1:7" x14ac:dyDescent="0.35">
      <c r="A245" t="s">
        <v>11</v>
      </c>
      <c r="B245">
        <v>1</v>
      </c>
      <c r="C245">
        <v>-1</v>
      </c>
      <c r="D245">
        <v>-76</v>
      </c>
      <c r="E245">
        <v>75</v>
      </c>
      <c r="F245">
        <v>-6</v>
      </c>
      <c r="G245" t="s">
        <v>7</v>
      </c>
    </row>
    <row r="246" spans="1:7" x14ac:dyDescent="0.35">
      <c r="A246" t="s">
        <v>12</v>
      </c>
      <c r="B246">
        <v>18</v>
      </c>
      <c r="C246">
        <v>273</v>
      </c>
      <c r="D246">
        <v>176</v>
      </c>
      <c r="E246">
        <v>97</v>
      </c>
      <c r="F246">
        <v>1</v>
      </c>
      <c r="G246" t="s">
        <v>7</v>
      </c>
    </row>
    <row r="247" spans="1:7" x14ac:dyDescent="0.35">
      <c r="A247" t="s">
        <v>11</v>
      </c>
      <c r="B247">
        <v>-2</v>
      </c>
      <c r="C247">
        <v>43</v>
      </c>
      <c r="D247">
        <v>50</v>
      </c>
      <c r="E247">
        <v>-7</v>
      </c>
      <c r="F247">
        <v>-1</v>
      </c>
      <c r="G247" t="s">
        <v>7</v>
      </c>
    </row>
    <row r="248" spans="1:7" x14ac:dyDescent="0.35">
      <c r="A248" t="s">
        <v>11</v>
      </c>
      <c r="B248">
        <v>2</v>
      </c>
      <c r="C248">
        <v>48</v>
      </c>
      <c r="D248">
        <v>34</v>
      </c>
      <c r="E248">
        <v>14</v>
      </c>
      <c r="F248">
        <v>0</v>
      </c>
      <c r="G248" t="s">
        <v>7</v>
      </c>
    </row>
    <row r="249" spans="1:7" x14ac:dyDescent="0.35">
      <c r="A249" t="s">
        <v>12</v>
      </c>
      <c r="B249">
        <v>2</v>
      </c>
      <c r="C249">
        <v>57</v>
      </c>
      <c r="D249">
        <v>137</v>
      </c>
      <c r="E249">
        <v>-80</v>
      </c>
      <c r="F249">
        <v>1</v>
      </c>
      <c r="G249" t="s">
        <v>5</v>
      </c>
    </row>
    <row r="250" spans="1:7" x14ac:dyDescent="0.35">
      <c r="A250" t="s">
        <v>11</v>
      </c>
      <c r="B250">
        <v>15</v>
      </c>
      <c r="C250">
        <v>163</v>
      </c>
      <c r="D250">
        <v>24</v>
      </c>
      <c r="E250">
        <v>139</v>
      </c>
      <c r="F250">
        <v>1</v>
      </c>
      <c r="G250" t="s">
        <v>7</v>
      </c>
    </row>
    <row r="251" spans="1:7" x14ac:dyDescent="0.35">
      <c r="A251" t="s">
        <v>11</v>
      </c>
      <c r="B251">
        <v>8</v>
      </c>
      <c r="C251">
        <v>127</v>
      </c>
      <c r="D251">
        <v>178</v>
      </c>
      <c r="E251">
        <v>-51</v>
      </c>
      <c r="F251">
        <v>0</v>
      </c>
      <c r="G251" t="s">
        <v>7</v>
      </c>
    </row>
    <row r="252" spans="1:7" x14ac:dyDescent="0.35">
      <c r="A252" t="s">
        <v>11</v>
      </c>
      <c r="B252">
        <v>5</v>
      </c>
      <c r="C252">
        <v>-69</v>
      </c>
      <c r="D252">
        <v>-75</v>
      </c>
      <c r="E252">
        <v>6</v>
      </c>
      <c r="F252">
        <v>0</v>
      </c>
      <c r="G252" t="s">
        <v>5</v>
      </c>
    </row>
    <row r="253" spans="1:7" x14ac:dyDescent="0.35">
      <c r="A253" t="s">
        <v>11</v>
      </c>
      <c r="B253">
        <v>-3</v>
      </c>
      <c r="C253">
        <v>-59</v>
      </c>
      <c r="D253">
        <v>-137</v>
      </c>
      <c r="E253">
        <v>78</v>
      </c>
      <c r="F253">
        <v>-2</v>
      </c>
      <c r="G253" t="s">
        <v>5</v>
      </c>
    </row>
    <row r="254" spans="1:7" x14ac:dyDescent="0.35">
      <c r="A254" t="s">
        <v>11</v>
      </c>
      <c r="B254">
        <v>8</v>
      </c>
      <c r="C254">
        <v>123</v>
      </c>
      <c r="D254">
        <v>127</v>
      </c>
      <c r="E254">
        <v>-4</v>
      </c>
      <c r="F254">
        <v>3</v>
      </c>
      <c r="G254" t="s">
        <v>5</v>
      </c>
    </row>
    <row r="255" spans="1:7" x14ac:dyDescent="0.35">
      <c r="A255" t="s">
        <v>12</v>
      </c>
      <c r="B255">
        <v>2</v>
      </c>
      <c r="C255">
        <v>-84</v>
      </c>
      <c r="D255">
        <v>99</v>
      </c>
      <c r="E255">
        <v>-183</v>
      </c>
      <c r="F255">
        <v>2</v>
      </c>
      <c r="G255" t="s">
        <v>5</v>
      </c>
    </row>
    <row r="256" spans="1:7" x14ac:dyDescent="0.35">
      <c r="A256" t="s">
        <v>11</v>
      </c>
      <c r="B256">
        <v>7</v>
      </c>
      <c r="C256">
        <v>7</v>
      </c>
      <c r="D256">
        <v>-137</v>
      </c>
      <c r="E256">
        <v>144</v>
      </c>
      <c r="F256">
        <v>0</v>
      </c>
      <c r="G256" t="s">
        <v>7</v>
      </c>
    </row>
    <row r="257" spans="1:7" x14ac:dyDescent="0.35">
      <c r="A257" t="s">
        <v>12</v>
      </c>
      <c r="B257">
        <v>5</v>
      </c>
      <c r="C257">
        <v>46</v>
      </c>
      <c r="D257">
        <v>58</v>
      </c>
      <c r="E257">
        <v>-12</v>
      </c>
      <c r="F257">
        <v>0</v>
      </c>
      <c r="G257" t="s">
        <v>7</v>
      </c>
    </row>
    <row r="258" spans="1:7" x14ac:dyDescent="0.35">
      <c r="A258" t="s">
        <v>11</v>
      </c>
      <c r="B258">
        <v>0</v>
      </c>
      <c r="C258">
        <v>-69</v>
      </c>
      <c r="D258">
        <v>-18</v>
      </c>
      <c r="E258">
        <v>-51</v>
      </c>
      <c r="F258">
        <v>-1</v>
      </c>
      <c r="G258" t="s">
        <v>5</v>
      </c>
    </row>
    <row r="259" spans="1:7" x14ac:dyDescent="0.35">
      <c r="A259" t="s">
        <v>12</v>
      </c>
      <c r="B259">
        <v>3</v>
      </c>
      <c r="C259">
        <v>9</v>
      </c>
      <c r="D259">
        <v>-63</v>
      </c>
      <c r="E259">
        <v>72</v>
      </c>
      <c r="F259">
        <v>-2</v>
      </c>
      <c r="G259" t="s">
        <v>7</v>
      </c>
    </row>
    <row r="260" spans="1:7" x14ac:dyDescent="0.35">
      <c r="A260" t="s">
        <v>12</v>
      </c>
      <c r="B260">
        <v>-3</v>
      </c>
      <c r="C260">
        <v>79</v>
      </c>
      <c r="D260">
        <v>182</v>
      </c>
      <c r="E260">
        <v>-103</v>
      </c>
      <c r="F260">
        <v>1</v>
      </c>
      <c r="G260" t="s">
        <v>5</v>
      </c>
    </row>
    <row r="261" spans="1:7" x14ac:dyDescent="0.35">
      <c r="A261" t="s">
        <v>11</v>
      </c>
      <c r="B261">
        <v>-2</v>
      </c>
      <c r="C261">
        <v>82</v>
      </c>
      <c r="D261">
        <v>2</v>
      </c>
      <c r="E261">
        <v>80</v>
      </c>
      <c r="F261">
        <v>0</v>
      </c>
      <c r="G261" t="s">
        <v>7</v>
      </c>
    </row>
    <row r="262" spans="1:7" x14ac:dyDescent="0.35">
      <c r="A262" t="s">
        <v>12</v>
      </c>
      <c r="B262">
        <v>12</v>
      </c>
      <c r="C262">
        <v>188</v>
      </c>
      <c r="D262">
        <v>270</v>
      </c>
      <c r="E262">
        <v>-82</v>
      </c>
      <c r="F262">
        <v>3</v>
      </c>
      <c r="G262" t="s">
        <v>5</v>
      </c>
    </row>
    <row r="263" spans="1:7" x14ac:dyDescent="0.35">
      <c r="A263" t="s">
        <v>11</v>
      </c>
      <c r="B263">
        <v>1</v>
      </c>
      <c r="C263">
        <v>33</v>
      </c>
      <c r="D263">
        <v>75</v>
      </c>
      <c r="E263">
        <v>-42</v>
      </c>
      <c r="F263">
        <v>1</v>
      </c>
      <c r="G263" t="s">
        <v>7</v>
      </c>
    </row>
    <row r="264" spans="1:7" x14ac:dyDescent="0.35">
      <c r="A264" t="s">
        <v>12</v>
      </c>
      <c r="B264">
        <v>8</v>
      </c>
      <c r="C264">
        <v>218</v>
      </c>
      <c r="D264">
        <v>142</v>
      </c>
      <c r="E264">
        <v>76</v>
      </c>
      <c r="F264">
        <v>-1</v>
      </c>
      <c r="G264" t="s">
        <v>7</v>
      </c>
    </row>
    <row r="265" spans="1:7" x14ac:dyDescent="0.35">
      <c r="A265" t="s">
        <v>12</v>
      </c>
      <c r="B265">
        <v>-6</v>
      </c>
      <c r="C265">
        <v>-84</v>
      </c>
      <c r="D265">
        <v>117</v>
      </c>
      <c r="E265">
        <v>-201</v>
      </c>
      <c r="F265">
        <v>1</v>
      </c>
      <c r="G265" t="s">
        <v>5</v>
      </c>
    </row>
    <row r="266" spans="1:7" x14ac:dyDescent="0.35">
      <c r="A266" t="s">
        <v>11</v>
      </c>
      <c r="B266">
        <v>10</v>
      </c>
      <c r="C266">
        <v>197</v>
      </c>
      <c r="D266">
        <v>235</v>
      </c>
      <c r="E266">
        <v>-38</v>
      </c>
      <c r="F266">
        <v>2</v>
      </c>
      <c r="G266" t="s">
        <v>5</v>
      </c>
    </row>
    <row r="267" spans="1:7" x14ac:dyDescent="0.35">
      <c r="A267" t="s">
        <v>12</v>
      </c>
      <c r="B267">
        <v>9</v>
      </c>
      <c r="C267">
        <v>99</v>
      </c>
      <c r="D267">
        <v>162</v>
      </c>
      <c r="E267">
        <v>-63</v>
      </c>
      <c r="F267">
        <v>1</v>
      </c>
      <c r="G267" t="s">
        <v>5</v>
      </c>
    </row>
    <row r="268" spans="1:7" x14ac:dyDescent="0.35">
      <c r="A268" t="s">
        <v>11</v>
      </c>
      <c r="B268">
        <v>0</v>
      </c>
      <c r="C268">
        <v>-12</v>
      </c>
      <c r="D268">
        <v>-22</v>
      </c>
      <c r="E268">
        <v>10</v>
      </c>
      <c r="F268">
        <v>0</v>
      </c>
      <c r="G268" t="s">
        <v>5</v>
      </c>
    </row>
    <row r="269" spans="1:7" x14ac:dyDescent="0.35">
      <c r="A269" t="s">
        <v>12</v>
      </c>
      <c r="B269">
        <v>-17</v>
      </c>
      <c r="C269">
        <v>-259</v>
      </c>
      <c r="D269">
        <v>4</v>
      </c>
      <c r="E269">
        <v>-263</v>
      </c>
      <c r="F269">
        <v>2</v>
      </c>
      <c r="G269" t="s">
        <v>5</v>
      </c>
    </row>
    <row r="270" spans="1:7" x14ac:dyDescent="0.35">
      <c r="A270" t="s">
        <v>11</v>
      </c>
      <c r="B270">
        <v>-6</v>
      </c>
      <c r="C270">
        <v>-205</v>
      </c>
      <c r="D270">
        <v>-187</v>
      </c>
      <c r="E270">
        <v>-18</v>
      </c>
      <c r="F270">
        <v>-1</v>
      </c>
      <c r="G270" t="s">
        <v>5</v>
      </c>
    </row>
    <row r="271" spans="1:7" x14ac:dyDescent="0.35">
      <c r="A271" t="s">
        <v>11</v>
      </c>
      <c r="B271">
        <v>-7</v>
      </c>
      <c r="C271">
        <v>-109</v>
      </c>
      <c r="D271">
        <v>-82</v>
      </c>
      <c r="E271">
        <v>-27</v>
      </c>
      <c r="F271">
        <v>0</v>
      </c>
      <c r="G271" t="s">
        <v>5</v>
      </c>
    </row>
    <row r="272" spans="1:7" x14ac:dyDescent="0.35">
      <c r="A272" t="s">
        <v>11</v>
      </c>
      <c r="B272">
        <v>3</v>
      </c>
      <c r="C272">
        <v>121</v>
      </c>
      <c r="D272">
        <v>-24</v>
      </c>
      <c r="E272">
        <v>145</v>
      </c>
      <c r="F272">
        <v>-1</v>
      </c>
      <c r="G272" t="s">
        <v>7</v>
      </c>
    </row>
    <row r="273" spans="1:7" x14ac:dyDescent="0.35">
      <c r="A273" t="s">
        <v>11</v>
      </c>
      <c r="B273">
        <v>7</v>
      </c>
      <c r="C273">
        <v>-5</v>
      </c>
      <c r="D273">
        <v>-26</v>
      </c>
      <c r="E273">
        <v>21</v>
      </c>
      <c r="F273">
        <v>-1</v>
      </c>
      <c r="G273" t="s">
        <v>5</v>
      </c>
    </row>
    <row r="274" spans="1:7" x14ac:dyDescent="0.35">
      <c r="A274" t="s">
        <v>12</v>
      </c>
      <c r="B274">
        <v>2</v>
      </c>
      <c r="C274">
        <v>47</v>
      </c>
      <c r="D274">
        <v>15</v>
      </c>
      <c r="E274">
        <v>32</v>
      </c>
      <c r="F274">
        <v>-2</v>
      </c>
      <c r="G274" t="s">
        <v>7</v>
      </c>
    </row>
    <row r="275" spans="1:7" x14ac:dyDescent="0.35">
      <c r="A275" t="s">
        <v>11</v>
      </c>
      <c r="B275">
        <v>19</v>
      </c>
      <c r="C275">
        <v>443</v>
      </c>
      <c r="D275">
        <v>199</v>
      </c>
      <c r="E275">
        <v>244</v>
      </c>
      <c r="F275">
        <v>-3</v>
      </c>
      <c r="G275" t="s">
        <v>7</v>
      </c>
    </row>
    <row r="276" spans="1:7" x14ac:dyDescent="0.35">
      <c r="A276" t="s">
        <v>12</v>
      </c>
      <c r="B276">
        <v>5</v>
      </c>
      <c r="C276">
        <v>-5</v>
      </c>
      <c r="D276">
        <v>28</v>
      </c>
      <c r="E276">
        <v>-33</v>
      </c>
      <c r="F276">
        <v>-1</v>
      </c>
      <c r="G276" t="s">
        <v>7</v>
      </c>
    </row>
    <row r="277" spans="1:7" x14ac:dyDescent="0.35">
      <c r="A277" t="s">
        <v>11</v>
      </c>
      <c r="B277">
        <v>7</v>
      </c>
      <c r="C277">
        <v>100</v>
      </c>
      <c r="D277">
        <v>71</v>
      </c>
      <c r="E277">
        <v>29</v>
      </c>
      <c r="F277">
        <v>-1</v>
      </c>
      <c r="G277" t="s">
        <v>7</v>
      </c>
    </row>
    <row r="278" spans="1:7" x14ac:dyDescent="0.35">
      <c r="A278" t="s">
        <v>11</v>
      </c>
      <c r="B278">
        <v>3</v>
      </c>
      <c r="C278">
        <v>191</v>
      </c>
      <c r="D278">
        <v>65</v>
      </c>
      <c r="E278">
        <v>126</v>
      </c>
      <c r="F278">
        <v>0</v>
      </c>
      <c r="G278" t="s">
        <v>7</v>
      </c>
    </row>
    <row r="279" spans="1:7" x14ac:dyDescent="0.35">
      <c r="A279" t="s">
        <v>11</v>
      </c>
      <c r="B279">
        <v>-13</v>
      </c>
      <c r="C279">
        <v>-266</v>
      </c>
      <c r="D279">
        <v>-93</v>
      </c>
      <c r="E279">
        <v>-173</v>
      </c>
      <c r="F279">
        <v>4</v>
      </c>
      <c r="G279" t="s">
        <v>5</v>
      </c>
    </row>
    <row r="280" spans="1:7" x14ac:dyDescent="0.35">
      <c r="A280" t="s">
        <v>11</v>
      </c>
      <c r="B280">
        <v>2</v>
      </c>
      <c r="C280">
        <v>-24</v>
      </c>
      <c r="D280">
        <v>-86</v>
      </c>
      <c r="E280">
        <v>62</v>
      </c>
      <c r="F280">
        <v>2</v>
      </c>
      <c r="G280" t="s">
        <v>5</v>
      </c>
    </row>
    <row r="281" spans="1:7" x14ac:dyDescent="0.35">
      <c r="A281" t="s">
        <v>11</v>
      </c>
      <c r="B281">
        <v>6</v>
      </c>
      <c r="C281">
        <v>219</v>
      </c>
      <c r="D281">
        <v>53</v>
      </c>
      <c r="E281">
        <v>166</v>
      </c>
      <c r="F281">
        <v>1</v>
      </c>
      <c r="G281" t="s">
        <v>7</v>
      </c>
    </row>
    <row r="282" spans="1:7" x14ac:dyDescent="0.35">
      <c r="A282" t="s">
        <v>11</v>
      </c>
      <c r="B282">
        <v>-3</v>
      </c>
      <c r="C282">
        <v>51</v>
      </c>
      <c r="D282">
        <v>5</v>
      </c>
      <c r="E282">
        <v>46</v>
      </c>
      <c r="F282">
        <v>0</v>
      </c>
      <c r="G282" t="s">
        <v>7</v>
      </c>
    </row>
    <row r="283" spans="1:7" x14ac:dyDescent="0.35">
      <c r="A283" t="s">
        <v>12</v>
      </c>
      <c r="B283">
        <v>3</v>
      </c>
      <c r="C283">
        <v>59</v>
      </c>
      <c r="D283">
        <v>137</v>
      </c>
      <c r="E283">
        <v>-78</v>
      </c>
      <c r="F283">
        <v>2</v>
      </c>
      <c r="G283" t="s">
        <v>7</v>
      </c>
    </row>
    <row r="284" spans="1:7" x14ac:dyDescent="0.35">
      <c r="A284" t="s">
        <v>12</v>
      </c>
      <c r="B284">
        <v>4</v>
      </c>
      <c r="C284">
        <v>-104</v>
      </c>
      <c r="D284">
        <v>52</v>
      </c>
      <c r="E284">
        <v>-156</v>
      </c>
      <c r="F284">
        <v>1</v>
      </c>
      <c r="G284" t="s">
        <v>5</v>
      </c>
    </row>
    <row r="285" spans="1:7" x14ac:dyDescent="0.35">
      <c r="A285" t="s">
        <v>11</v>
      </c>
      <c r="B285">
        <v>8</v>
      </c>
      <c r="C285">
        <v>188</v>
      </c>
      <c r="D285">
        <v>26</v>
      </c>
      <c r="E285">
        <v>162</v>
      </c>
      <c r="F285">
        <v>-1</v>
      </c>
      <c r="G285" t="s">
        <v>7</v>
      </c>
    </row>
    <row r="286" spans="1:7" x14ac:dyDescent="0.35">
      <c r="A286" t="s">
        <v>11</v>
      </c>
      <c r="B286">
        <v>-8</v>
      </c>
      <c r="C286">
        <v>-228</v>
      </c>
      <c r="D286">
        <v>-226</v>
      </c>
      <c r="E286">
        <v>-2</v>
      </c>
      <c r="F286">
        <v>-3</v>
      </c>
      <c r="G286" t="s">
        <v>7</v>
      </c>
    </row>
    <row r="287" spans="1:7" x14ac:dyDescent="0.35">
      <c r="A287" t="s">
        <v>12</v>
      </c>
      <c r="B287">
        <v>7</v>
      </c>
      <c r="C287">
        <v>109</v>
      </c>
      <c r="D287">
        <v>82</v>
      </c>
      <c r="E287">
        <v>27</v>
      </c>
      <c r="F287">
        <v>0</v>
      </c>
      <c r="G287" t="s">
        <v>7</v>
      </c>
    </row>
    <row r="288" spans="1:7" x14ac:dyDescent="0.35">
      <c r="A288" t="s">
        <v>12</v>
      </c>
      <c r="B288">
        <v>-7</v>
      </c>
      <c r="C288">
        <v>5</v>
      </c>
      <c r="D288">
        <v>26</v>
      </c>
      <c r="E288">
        <v>-21</v>
      </c>
      <c r="F288">
        <v>1</v>
      </c>
      <c r="G288" t="s">
        <v>7</v>
      </c>
    </row>
    <row r="289" spans="1:7" x14ac:dyDescent="0.35">
      <c r="A289" t="s">
        <v>11</v>
      </c>
      <c r="B289">
        <v>3</v>
      </c>
      <c r="C289">
        <v>113</v>
      </c>
      <c r="D289">
        <v>136</v>
      </c>
      <c r="E289">
        <v>-23</v>
      </c>
      <c r="F289">
        <v>0</v>
      </c>
      <c r="G289" t="s">
        <v>7</v>
      </c>
    </row>
    <row r="290" spans="1:7" x14ac:dyDescent="0.35">
      <c r="A290" t="s">
        <v>12</v>
      </c>
      <c r="B290">
        <v>1</v>
      </c>
      <c r="C290">
        <v>13</v>
      </c>
      <c r="D290">
        <v>-3</v>
      </c>
      <c r="E290">
        <v>16</v>
      </c>
      <c r="F290">
        <v>3</v>
      </c>
      <c r="G290" t="s">
        <v>5</v>
      </c>
    </row>
    <row r="291" spans="1:7" x14ac:dyDescent="0.35">
      <c r="A291" t="s">
        <v>12</v>
      </c>
      <c r="B291">
        <v>5</v>
      </c>
      <c r="C291">
        <v>92</v>
      </c>
      <c r="D291">
        <v>184</v>
      </c>
      <c r="E291">
        <v>-92</v>
      </c>
      <c r="F291">
        <v>2</v>
      </c>
      <c r="G291" t="s">
        <v>5</v>
      </c>
    </row>
    <row r="292" spans="1:7" x14ac:dyDescent="0.35">
      <c r="A292" t="s">
        <v>11</v>
      </c>
      <c r="B292">
        <v>-5</v>
      </c>
      <c r="C292">
        <v>-92</v>
      </c>
      <c r="D292">
        <v>-184</v>
      </c>
      <c r="E292">
        <v>92</v>
      </c>
      <c r="F292">
        <v>-2</v>
      </c>
      <c r="G292" t="s">
        <v>7</v>
      </c>
    </row>
    <row r="293" spans="1:7" x14ac:dyDescent="0.35">
      <c r="A293" t="s">
        <v>12</v>
      </c>
      <c r="B293">
        <v>1</v>
      </c>
      <c r="C293">
        <v>-72</v>
      </c>
      <c r="D293">
        <v>-93</v>
      </c>
      <c r="E293">
        <v>21</v>
      </c>
      <c r="F293">
        <v>2</v>
      </c>
      <c r="G293" t="s">
        <v>5</v>
      </c>
    </row>
    <row r="294" spans="1:7" x14ac:dyDescent="0.35">
      <c r="A294" t="s">
        <v>12</v>
      </c>
      <c r="B294">
        <v>-3</v>
      </c>
      <c r="C294">
        <v>-18</v>
      </c>
      <c r="D294">
        <v>4</v>
      </c>
      <c r="E294">
        <v>-22</v>
      </c>
      <c r="F294">
        <v>2</v>
      </c>
      <c r="G294" t="s">
        <v>5</v>
      </c>
    </row>
    <row r="295" spans="1:7" x14ac:dyDescent="0.35">
      <c r="A295" t="s">
        <v>11</v>
      </c>
      <c r="B295">
        <v>-2</v>
      </c>
      <c r="C295">
        <v>10</v>
      </c>
      <c r="D295">
        <v>44</v>
      </c>
      <c r="E295">
        <v>-34</v>
      </c>
      <c r="F295">
        <v>0</v>
      </c>
      <c r="G295" t="s">
        <v>7</v>
      </c>
    </row>
    <row r="296" spans="1:7" x14ac:dyDescent="0.35">
      <c r="A296" t="s">
        <v>11</v>
      </c>
      <c r="B296">
        <v>14</v>
      </c>
      <c r="C296">
        <v>240</v>
      </c>
      <c r="D296">
        <v>54</v>
      </c>
      <c r="E296">
        <v>186</v>
      </c>
      <c r="F296">
        <v>0</v>
      </c>
      <c r="G296" t="s">
        <v>7</v>
      </c>
    </row>
    <row r="297" spans="1:7" x14ac:dyDescent="0.35">
      <c r="A297" t="s">
        <v>12</v>
      </c>
      <c r="B297">
        <v>1</v>
      </c>
      <c r="C297">
        <v>-18</v>
      </c>
      <c r="D297">
        <v>-41</v>
      </c>
      <c r="E297">
        <v>23</v>
      </c>
      <c r="F297">
        <v>-1</v>
      </c>
      <c r="G297" t="s">
        <v>7</v>
      </c>
    </row>
    <row r="298" spans="1:7" x14ac:dyDescent="0.35">
      <c r="A298" t="s">
        <v>11</v>
      </c>
      <c r="B298">
        <v>-8</v>
      </c>
      <c r="C298">
        <v>-81</v>
      </c>
      <c r="D298">
        <v>154</v>
      </c>
      <c r="E298">
        <v>-235</v>
      </c>
      <c r="F298">
        <v>-1</v>
      </c>
      <c r="G298" t="s">
        <v>5</v>
      </c>
    </row>
    <row r="299" spans="1:7" x14ac:dyDescent="0.35">
      <c r="A299" t="s">
        <v>11</v>
      </c>
      <c r="B299">
        <v>-9</v>
      </c>
      <c r="C299">
        <v>-148</v>
      </c>
      <c r="D299">
        <v>-34</v>
      </c>
      <c r="E299">
        <v>-114</v>
      </c>
      <c r="F299">
        <v>-3</v>
      </c>
      <c r="G299" t="s">
        <v>5</v>
      </c>
    </row>
    <row r="300" spans="1:7" x14ac:dyDescent="0.35">
      <c r="A300" t="s">
        <v>11</v>
      </c>
      <c r="B300">
        <v>-10</v>
      </c>
      <c r="C300">
        <v>-162</v>
      </c>
      <c r="D300">
        <v>-35</v>
      </c>
      <c r="E300">
        <v>-127</v>
      </c>
      <c r="F300">
        <v>0</v>
      </c>
      <c r="G300" t="s">
        <v>5</v>
      </c>
    </row>
    <row r="301" spans="1:7" x14ac:dyDescent="0.35">
      <c r="A301" t="s">
        <v>12</v>
      </c>
      <c r="B301">
        <v>8</v>
      </c>
      <c r="C301">
        <v>-40</v>
      </c>
      <c r="D301">
        <v>21</v>
      </c>
      <c r="E301">
        <v>-61</v>
      </c>
      <c r="F301">
        <v>2</v>
      </c>
      <c r="G301" t="s">
        <v>5</v>
      </c>
    </row>
    <row r="302" spans="1:7" x14ac:dyDescent="0.35">
      <c r="A302" t="s">
        <v>12</v>
      </c>
      <c r="B302">
        <v>3</v>
      </c>
      <c r="C302">
        <v>-51</v>
      </c>
      <c r="D302">
        <v>-5</v>
      </c>
      <c r="E302">
        <v>-46</v>
      </c>
      <c r="F302">
        <v>0</v>
      </c>
      <c r="G302" t="s">
        <v>5</v>
      </c>
    </row>
    <row r="303" spans="1:7" x14ac:dyDescent="0.35">
      <c r="A303" t="s">
        <v>11</v>
      </c>
      <c r="B303">
        <v>7</v>
      </c>
      <c r="C303">
        <v>143</v>
      </c>
      <c r="D303">
        <v>109</v>
      </c>
      <c r="E303">
        <v>34</v>
      </c>
      <c r="F303">
        <v>3</v>
      </c>
      <c r="G303" t="s">
        <v>5</v>
      </c>
    </row>
    <row r="304" spans="1:7" x14ac:dyDescent="0.35">
      <c r="A304" t="s">
        <v>12</v>
      </c>
      <c r="B304">
        <v>-15</v>
      </c>
      <c r="C304">
        <v>-163</v>
      </c>
      <c r="D304">
        <v>-24</v>
      </c>
      <c r="E304">
        <v>-139</v>
      </c>
      <c r="F304">
        <v>-1</v>
      </c>
      <c r="G304" t="s">
        <v>5</v>
      </c>
    </row>
    <row r="305" spans="1:7" x14ac:dyDescent="0.35">
      <c r="A305" t="s">
        <v>12</v>
      </c>
      <c r="B305">
        <v>-14</v>
      </c>
      <c r="C305">
        <v>-351</v>
      </c>
      <c r="D305">
        <v>-293</v>
      </c>
      <c r="E305">
        <v>-58</v>
      </c>
      <c r="F305">
        <v>1</v>
      </c>
      <c r="G305" t="s">
        <v>5</v>
      </c>
    </row>
    <row r="306" spans="1:7" x14ac:dyDescent="0.35">
      <c r="A306" t="s">
        <v>12</v>
      </c>
      <c r="B306">
        <v>-7</v>
      </c>
      <c r="C306">
        <v>-200</v>
      </c>
      <c r="D306">
        <v>-196</v>
      </c>
      <c r="E306">
        <v>-4</v>
      </c>
      <c r="F306">
        <v>2</v>
      </c>
      <c r="G306" t="s">
        <v>5</v>
      </c>
    </row>
    <row r="307" spans="1:7" x14ac:dyDescent="0.35">
      <c r="A307" t="s">
        <v>11</v>
      </c>
      <c r="B307">
        <v>-10</v>
      </c>
      <c r="C307">
        <v>-120</v>
      </c>
      <c r="D307">
        <v>-5</v>
      </c>
      <c r="E307">
        <v>-115</v>
      </c>
      <c r="F307">
        <v>2</v>
      </c>
      <c r="G307" t="s">
        <v>5</v>
      </c>
    </row>
    <row r="308" spans="1:7" x14ac:dyDescent="0.35">
      <c r="A308" t="s">
        <v>11</v>
      </c>
      <c r="B308">
        <v>8</v>
      </c>
      <c r="C308">
        <v>131</v>
      </c>
      <c r="D308">
        <v>114</v>
      </c>
      <c r="E308">
        <v>17</v>
      </c>
      <c r="F308">
        <v>1</v>
      </c>
      <c r="G308" t="s">
        <v>5</v>
      </c>
    </row>
    <row r="309" spans="1:7" x14ac:dyDescent="0.35">
      <c r="A309" t="s">
        <v>12</v>
      </c>
      <c r="B309">
        <v>4</v>
      </c>
      <c r="C309">
        <v>-18</v>
      </c>
      <c r="D309">
        <v>-4</v>
      </c>
      <c r="E309">
        <v>-14</v>
      </c>
      <c r="F309">
        <v>-1</v>
      </c>
      <c r="G309" t="s">
        <v>7</v>
      </c>
    </row>
    <row r="310" spans="1:7" x14ac:dyDescent="0.35">
      <c r="A310" t="s">
        <v>11</v>
      </c>
      <c r="B310">
        <v>1</v>
      </c>
      <c r="C310">
        <v>33</v>
      </c>
      <c r="D310">
        <v>-13</v>
      </c>
      <c r="E310">
        <v>46</v>
      </c>
      <c r="F310">
        <v>2</v>
      </c>
      <c r="G310" t="s">
        <v>5</v>
      </c>
    </row>
    <row r="311" spans="1:7" x14ac:dyDescent="0.35">
      <c r="A311" t="s">
        <v>12</v>
      </c>
      <c r="B311">
        <v>-6</v>
      </c>
      <c r="C311">
        <v>-71</v>
      </c>
      <c r="D311">
        <v>14</v>
      </c>
      <c r="E311">
        <v>-85</v>
      </c>
      <c r="F311">
        <v>1</v>
      </c>
      <c r="G311" t="s">
        <v>5</v>
      </c>
    </row>
    <row r="312" spans="1:7" x14ac:dyDescent="0.35">
      <c r="A312" t="s">
        <v>11</v>
      </c>
      <c r="B312">
        <v>-4</v>
      </c>
      <c r="C312">
        <v>-8</v>
      </c>
      <c r="D312">
        <v>-88</v>
      </c>
      <c r="E312">
        <v>80</v>
      </c>
      <c r="F312">
        <v>3</v>
      </c>
      <c r="G312" t="s">
        <v>5</v>
      </c>
    </row>
    <row r="313" spans="1:7" x14ac:dyDescent="0.35">
      <c r="A313" t="s">
        <v>11</v>
      </c>
      <c r="B313">
        <v>15</v>
      </c>
      <c r="C313">
        <v>244</v>
      </c>
      <c r="D313">
        <v>117</v>
      </c>
      <c r="E313">
        <v>127</v>
      </c>
      <c r="F313">
        <v>2</v>
      </c>
      <c r="G313" t="s">
        <v>7</v>
      </c>
    </row>
    <row r="314" spans="1:7" x14ac:dyDescent="0.35">
      <c r="A314" t="s">
        <v>11</v>
      </c>
      <c r="B314">
        <v>-9</v>
      </c>
      <c r="C314">
        <v>50</v>
      </c>
      <c r="D314">
        <v>47</v>
      </c>
      <c r="E314">
        <v>3</v>
      </c>
      <c r="F314">
        <v>0</v>
      </c>
      <c r="G314" t="s">
        <v>7</v>
      </c>
    </row>
    <row r="315" spans="1:7" x14ac:dyDescent="0.35">
      <c r="A315" t="s">
        <v>11</v>
      </c>
      <c r="B315">
        <v>2</v>
      </c>
      <c r="C315">
        <v>-39</v>
      </c>
      <c r="D315">
        <v>-25</v>
      </c>
      <c r="E315">
        <v>-14</v>
      </c>
      <c r="F315">
        <v>-1</v>
      </c>
      <c r="G315" t="s">
        <v>5</v>
      </c>
    </row>
    <row r="316" spans="1:7" x14ac:dyDescent="0.35">
      <c r="A316" t="s">
        <v>11</v>
      </c>
      <c r="B316">
        <v>-2</v>
      </c>
      <c r="C316">
        <v>8</v>
      </c>
      <c r="D316">
        <v>-30</v>
      </c>
      <c r="E316">
        <v>38</v>
      </c>
      <c r="F316">
        <v>1</v>
      </c>
      <c r="G316" t="s">
        <v>5</v>
      </c>
    </row>
    <row r="317" spans="1:7" x14ac:dyDescent="0.35">
      <c r="A317" t="s">
        <v>11</v>
      </c>
      <c r="B317">
        <v>-1</v>
      </c>
      <c r="C317">
        <v>48</v>
      </c>
      <c r="D317">
        <v>133</v>
      </c>
      <c r="E317">
        <v>-85</v>
      </c>
      <c r="F317">
        <v>1</v>
      </c>
      <c r="G317" t="s">
        <v>5</v>
      </c>
    </row>
    <row r="318" spans="1:7" x14ac:dyDescent="0.35">
      <c r="A318" t="s">
        <v>12</v>
      </c>
      <c r="B318">
        <v>6</v>
      </c>
      <c r="C318">
        <v>86</v>
      </c>
      <c r="D318">
        <v>45</v>
      </c>
      <c r="E318">
        <v>41</v>
      </c>
      <c r="F318">
        <v>2</v>
      </c>
      <c r="G318" t="s">
        <v>5</v>
      </c>
    </row>
    <row r="319" spans="1:7" x14ac:dyDescent="0.35">
      <c r="A319" t="s">
        <v>12</v>
      </c>
      <c r="B319">
        <v>8</v>
      </c>
      <c r="C319">
        <v>183</v>
      </c>
      <c r="D319">
        <v>128</v>
      </c>
      <c r="E319">
        <v>55</v>
      </c>
      <c r="F319">
        <v>-1</v>
      </c>
      <c r="G319" t="s">
        <v>7</v>
      </c>
    </row>
    <row r="320" spans="1:7" x14ac:dyDescent="0.35">
      <c r="A320" t="s">
        <v>12</v>
      </c>
      <c r="B320">
        <v>5</v>
      </c>
      <c r="C320">
        <v>-86</v>
      </c>
      <c r="D320">
        <v>-32</v>
      </c>
      <c r="E320">
        <v>-54</v>
      </c>
      <c r="F320">
        <v>-2</v>
      </c>
      <c r="G320" t="s">
        <v>7</v>
      </c>
    </row>
    <row r="321" spans="1:7" x14ac:dyDescent="0.35">
      <c r="A321" t="s">
        <v>12</v>
      </c>
      <c r="B321">
        <v>-6</v>
      </c>
      <c r="C321">
        <v>-7</v>
      </c>
      <c r="D321">
        <v>84</v>
      </c>
      <c r="E321">
        <v>-91</v>
      </c>
      <c r="F321">
        <v>-1</v>
      </c>
      <c r="G321" t="s">
        <v>5</v>
      </c>
    </row>
    <row r="322" spans="1:7" x14ac:dyDescent="0.35">
      <c r="A322" t="s">
        <v>12</v>
      </c>
      <c r="B322">
        <v>13</v>
      </c>
      <c r="C322">
        <v>266</v>
      </c>
      <c r="D322">
        <v>93</v>
      </c>
      <c r="E322">
        <v>173</v>
      </c>
      <c r="F322">
        <v>-4</v>
      </c>
      <c r="G322" t="s">
        <v>7</v>
      </c>
    </row>
    <row r="323" spans="1:7" x14ac:dyDescent="0.35">
      <c r="A323" t="s">
        <v>12</v>
      </c>
      <c r="B323">
        <v>-7</v>
      </c>
      <c r="C323">
        <v>-116</v>
      </c>
      <c r="D323">
        <v>-111</v>
      </c>
      <c r="E323">
        <v>-5</v>
      </c>
      <c r="F323">
        <v>0</v>
      </c>
      <c r="G323" t="s">
        <v>5</v>
      </c>
    </row>
    <row r="324" spans="1:7" x14ac:dyDescent="0.35">
      <c r="A324" t="s">
        <v>11</v>
      </c>
      <c r="B324">
        <v>14</v>
      </c>
      <c r="C324">
        <v>44</v>
      </c>
      <c r="D324">
        <v>93</v>
      </c>
      <c r="E324">
        <v>-49</v>
      </c>
      <c r="F324">
        <v>-2</v>
      </c>
      <c r="G324" t="s">
        <v>7</v>
      </c>
    </row>
    <row r="325" spans="1:7" x14ac:dyDescent="0.35">
      <c r="A325" t="s">
        <v>11</v>
      </c>
      <c r="B325">
        <v>-11</v>
      </c>
      <c r="C325">
        <v>-91</v>
      </c>
      <c r="D325">
        <v>71</v>
      </c>
      <c r="E325">
        <v>-162</v>
      </c>
      <c r="F325">
        <v>0</v>
      </c>
      <c r="G325" t="s">
        <v>5</v>
      </c>
    </row>
    <row r="326" spans="1:7" x14ac:dyDescent="0.35">
      <c r="A326" t="s">
        <v>12</v>
      </c>
      <c r="B326">
        <v>11</v>
      </c>
      <c r="C326">
        <v>249</v>
      </c>
      <c r="D326">
        <v>229</v>
      </c>
      <c r="E326">
        <v>20</v>
      </c>
      <c r="F326">
        <v>0</v>
      </c>
      <c r="G326" t="s">
        <v>5</v>
      </c>
    </row>
    <row r="327" spans="1:7" x14ac:dyDescent="0.35">
      <c r="A327" t="s">
        <v>11</v>
      </c>
      <c r="B327">
        <v>-7</v>
      </c>
      <c r="C327">
        <v>-99</v>
      </c>
      <c r="D327">
        <v>-171</v>
      </c>
      <c r="E327">
        <v>72</v>
      </c>
      <c r="F327">
        <v>-1</v>
      </c>
      <c r="G327" t="s">
        <v>7</v>
      </c>
    </row>
    <row r="328" spans="1:7" x14ac:dyDescent="0.35">
      <c r="A328" t="s">
        <v>12</v>
      </c>
      <c r="B328">
        <v>9</v>
      </c>
      <c r="C328">
        <v>219</v>
      </c>
      <c r="D328">
        <v>110</v>
      </c>
      <c r="E328">
        <v>109</v>
      </c>
      <c r="F328">
        <v>0</v>
      </c>
      <c r="G328" t="s">
        <v>7</v>
      </c>
    </row>
    <row r="329" spans="1:7" x14ac:dyDescent="0.35">
      <c r="A329" t="s">
        <v>11</v>
      </c>
      <c r="B329">
        <v>3</v>
      </c>
      <c r="C329">
        <v>-67</v>
      </c>
      <c r="D329">
        <v>-70</v>
      </c>
      <c r="E329">
        <v>3</v>
      </c>
      <c r="F329">
        <v>0</v>
      </c>
      <c r="G329" t="s">
        <v>5</v>
      </c>
    </row>
    <row r="330" spans="1:7" x14ac:dyDescent="0.35">
      <c r="A330" t="s">
        <v>12</v>
      </c>
      <c r="B330">
        <v>2</v>
      </c>
      <c r="C330">
        <v>-43</v>
      </c>
      <c r="D330">
        <v>-50</v>
      </c>
      <c r="E330">
        <v>7</v>
      </c>
      <c r="F330">
        <v>1</v>
      </c>
      <c r="G330" t="s">
        <v>5</v>
      </c>
    </row>
    <row r="331" spans="1:7" x14ac:dyDescent="0.35">
      <c r="A331" t="s">
        <v>11</v>
      </c>
      <c r="B331">
        <v>3</v>
      </c>
      <c r="C331">
        <v>38</v>
      </c>
      <c r="D331">
        <v>-1</v>
      </c>
      <c r="E331">
        <v>39</v>
      </c>
      <c r="F331">
        <v>-1</v>
      </c>
      <c r="G331" t="s">
        <v>7</v>
      </c>
    </row>
    <row r="332" spans="1:7" x14ac:dyDescent="0.35">
      <c r="A332" t="s">
        <v>11</v>
      </c>
      <c r="B332">
        <v>-3</v>
      </c>
      <c r="C332">
        <v>-96</v>
      </c>
      <c r="D332">
        <v>-128</v>
      </c>
      <c r="E332">
        <v>32</v>
      </c>
      <c r="F332">
        <v>0</v>
      </c>
      <c r="G332" t="s">
        <v>5</v>
      </c>
    </row>
    <row r="333" spans="1:7" x14ac:dyDescent="0.35">
      <c r="A333" t="s">
        <v>12</v>
      </c>
      <c r="B333">
        <v>5</v>
      </c>
      <c r="C333">
        <v>176</v>
      </c>
      <c r="D333">
        <v>277</v>
      </c>
      <c r="E333">
        <v>-101</v>
      </c>
      <c r="F333">
        <v>0</v>
      </c>
      <c r="G333" t="s">
        <v>7</v>
      </c>
    </row>
    <row r="334" spans="1:7" x14ac:dyDescent="0.35">
      <c r="A334" t="s">
        <v>12</v>
      </c>
      <c r="B334">
        <v>-2</v>
      </c>
      <c r="C334">
        <v>-32</v>
      </c>
      <c r="D334">
        <v>47</v>
      </c>
      <c r="E334">
        <v>-79</v>
      </c>
      <c r="F334">
        <v>3</v>
      </c>
      <c r="G334" t="s">
        <v>5</v>
      </c>
    </row>
    <row r="335" spans="1:7" x14ac:dyDescent="0.35">
      <c r="A335" t="s">
        <v>12</v>
      </c>
      <c r="B335">
        <v>6</v>
      </c>
      <c r="C335">
        <v>176</v>
      </c>
      <c r="D335">
        <v>111</v>
      </c>
      <c r="E335">
        <v>65</v>
      </c>
      <c r="F335">
        <v>-2</v>
      </c>
      <c r="G335" t="s">
        <v>7</v>
      </c>
    </row>
    <row r="336" spans="1:7" x14ac:dyDescent="0.35">
      <c r="A336" t="s">
        <v>11</v>
      </c>
      <c r="B336">
        <v>-3</v>
      </c>
      <c r="C336">
        <v>-9</v>
      </c>
      <c r="D336">
        <v>63</v>
      </c>
      <c r="E336">
        <v>-72</v>
      </c>
      <c r="F336">
        <v>2</v>
      </c>
      <c r="G336" t="s">
        <v>5</v>
      </c>
    </row>
    <row r="337" spans="1:7" x14ac:dyDescent="0.35">
      <c r="A337" t="s">
        <v>11</v>
      </c>
      <c r="B337">
        <v>5</v>
      </c>
      <c r="C337">
        <v>118</v>
      </c>
      <c r="D337">
        <v>-2</v>
      </c>
      <c r="E337">
        <v>120</v>
      </c>
      <c r="F337">
        <v>0</v>
      </c>
      <c r="G337" t="s">
        <v>7</v>
      </c>
    </row>
    <row r="338" spans="1:7" x14ac:dyDescent="0.35">
      <c r="A338" t="s">
        <v>12</v>
      </c>
      <c r="B338">
        <v>0</v>
      </c>
      <c r="C338">
        <v>6</v>
      </c>
      <c r="D338">
        <v>79</v>
      </c>
      <c r="E338">
        <v>-73</v>
      </c>
      <c r="F338">
        <v>4</v>
      </c>
      <c r="G338" t="s">
        <v>5</v>
      </c>
    </row>
    <row r="339" spans="1:7" x14ac:dyDescent="0.35">
      <c r="A339" t="s">
        <v>11</v>
      </c>
      <c r="B339">
        <v>4</v>
      </c>
      <c r="C339">
        <v>8</v>
      </c>
      <c r="D339">
        <v>-53</v>
      </c>
      <c r="E339">
        <v>61</v>
      </c>
      <c r="F339">
        <v>1</v>
      </c>
      <c r="G339" t="s">
        <v>7</v>
      </c>
    </row>
    <row r="340" spans="1:7" x14ac:dyDescent="0.35">
      <c r="A340" t="s">
        <v>11</v>
      </c>
      <c r="B340">
        <v>-6</v>
      </c>
      <c r="C340">
        <v>-83</v>
      </c>
      <c r="D340">
        <v>40</v>
      </c>
      <c r="E340">
        <v>-123</v>
      </c>
      <c r="F340">
        <v>1</v>
      </c>
      <c r="G340" t="s">
        <v>5</v>
      </c>
    </row>
    <row r="341" spans="1:7" x14ac:dyDescent="0.35">
      <c r="A341" t="s">
        <v>12</v>
      </c>
      <c r="B341">
        <v>-9</v>
      </c>
      <c r="C341">
        <v>-50</v>
      </c>
      <c r="D341">
        <v>24</v>
      </c>
      <c r="E341">
        <v>-74</v>
      </c>
      <c r="F341">
        <v>3</v>
      </c>
      <c r="G341" t="s">
        <v>5</v>
      </c>
    </row>
    <row r="342" spans="1:7" x14ac:dyDescent="0.35">
      <c r="A342" t="s">
        <v>12</v>
      </c>
      <c r="B342">
        <v>4</v>
      </c>
      <c r="C342">
        <v>123</v>
      </c>
      <c r="D342">
        <v>73</v>
      </c>
      <c r="E342">
        <v>50</v>
      </c>
      <c r="F342">
        <v>-2</v>
      </c>
      <c r="G342" t="s">
        <v>7</v>
      </c>
    </row>
    <row r="343" spans="1:7" x14ac:dyDescent="0.35">
      <c r="A343" t="s">
        <v>12</v>
      </c>
      <c r="B343">
        <v>14</v>
      </c>
      <c r="C343">
        <v>230</v>
      </c>
      <c r="D343">
        <v>262</v>
      </c>
      <c r="E343">
        <v>-32</v>
      </c>
      <c r="F343">
        <v>3</v>
      </c>
      <c r="G343" t="s">
        <v>5</v>
      </c>
    </row>
    <row r="344" spans="1:7" x14ac:dyDescent="0.35">
      <c r="A344" t="s">
        <v>12</v>
      </c>
      <c r="B344">
        <v>-8</v>
      </c>
      <c r="C344">
        <v>-49</v>
      </c>
      <c r="D344">
        <v>-86</v>
      </c>
      <c r="E344">
        <v>37</v>
      </c>
      <c r="F344">
        <v>1</v>
      </c>
      <c r="G344" t="s">
        <v>7</v>
      </c>
    </row>
    <row r="345" spans="1:7" x14ac:dyDescent="0.35">
      <c r="A345" t="s">
        <v>11</v>
      </c>
      <c r="B345">
        <v>-13</v>
      </c>
      <c r="C345">
        <v>-290</v>
      </c>
      <c r="D345">
        <v>-131</v>
      </c>
      <c r="E345">
        <v>-159</v>
      </c>
      <c r="F345">
        <v>0</v>
      </c>
      <c r="G345" t="s">
        <v>5</v>
      </c>
    </row>
    <row r="346" spans="1:7" x14ac:dyDescent="0.35">
      <c r="A346" t="s">
        <v>12</v>
      </c>
      <c r="B346">
        <v>-5</v>
      </c>
      <c r="C346">
        <v>116</v>
      </c>
      <c r="D346">
        <v>57</v>
      </c>
      <c r="E346">
        <v>59</v>
      </c>
      <c r="F346">
        <v>-4</v>
      </c>
      <c r="G346" t="s">
        <v>7</v>
      </c>
    </row>
    <row r="347" spans="1:7" x14ac:dyDescent="0.35">
      <c r="A347" t="s">
        <v>11</v>
      </c>
      <c r="B347">
        <v>-15</v>
      </c>
      <c r="C347">
        <v>-276</v>
      </c>
      <c r="D347">
        <v>-244</v>
      </c>
      <c r="E347">
        <v>-32</v>
      </c>
      <c r="F347">
        <v>-1</v>
      </c>
      <c r="G347" t="s">
        <v>5</v>
      </c>
    </row>
    <row r="348" spans="1:7" x14ac:dyDescent="0.35">
      <c r="A348" t="s">
        <v>12</v>
      </c>
      <c r="B348">
        <v>-4</v>
      </c>
      <c r="C348">
        <v>-279</v>
      </c>
      <c r="D348">
        <v>-132</v>
      </c>
      <c r="E348">
        <v>-147</v>
      </c>
      <c r="F348">
        <v>0</v>
      </c>
      <c r="G348" t="s">
        <v>5</v>
      </c>
    </row>
    <row r="349" spans="1:7" x14ac:dyDescent="0.35">
      <c r="A349" t="s">
        <v>12</v>
      </c>
      <c r="B349">
        <v>-10</v>
      </c>
      <c r="C349">
        <v>-118</v>
      </c>
      <c r="D349">
        <v>-85</v>
      </c>
      <c r="E349">
        <v>-33</v>
      </c>
      <c r="F349">
        <v>1</v>
      </c>
      <c r="G349" t="s">
        <v>7</v>
      </c>
    </row>
    <row r="350" spans="1:7" x14ac:dyDescent="0.35">
      <c r="A350" t="s">
        <v>12</v>
      </c>
      <c r="B350">
        <v>-3</v>
      </c>
      <c r="C350">
        <v>-121</v>
      </c>
      <c r="D350">
        <v>24</v>
      </c>
      <c r="E350">
        <v>-145</v>
      </c>
      <c r="F350">
        <v>1</v>
      </c>
      <c r="G350" t="s">
        <v>5</v>
      </c>
    </row>
    <row r="351" spans="1:7" x14ac:dyDescent="0.35">
      <c r="A351" t="s">
        <v>12</v>
      </c>
      <c r="B351">
        <v>-9</v>
      </c>
      <c r="C351">
        <v>-30</v>
      </c>
      <c r="D351">
        <v>-84</v>
      </c>
      <c r="E351">
        <v>54</v>
      </c>
      <c r="F351">
        <v>-1</v>
      </c>
      <c r="G351" t="s">
        <v>7</v>
      </c>
    </row>
    <row r="352" spans="1:7" x14ac:dyDescent="0.35">
      <c r="A352" t="s">
        <v>11</v>
      </c>
      <c r="B352">
        <v>6</v>
      </c>
      <c r="C352">
        <v>3</v>
      </c>
      <c r="D352">
        <v>4</v>
      </c>
      <c r="E352">
        <v>-1</v>
      </c>
      <c r="F352">
        <v>-2</v>
      </c>
      <c r="G352" t="s">
        <v>7</v>
      </c>
    </row>
    <row r="353" spans="1:7" x14ac:dyDescent="0.35">
      <c r="A353" t="s">
        <v>12</v>
      </c>
      <c r="B353">
        <v>-2</v>
      </c>
      <c r="C353">
        <v>39</v>
      </c>
      <c r="D353">
        <v>25</v>
      </c>
      <c r="E353">
        <v>14</v>
      </c>
      <c r="F353">
        <v>1</v>
      </c>
      <c r="G353" t="s">
        <v>7</v>
      </c>
    </row>
    <row r="354" spans="1:7" x14ac:dyDescent="0.35">
      <c r="A354" t="s">
        <v>11</v>
      </c>
      <c r="B354">
        <v>2</v>
      </c>
      <c r="C354">
        <v>32</v>
      </c>
      <c r="D354">
        <v>-47</v>
      </c>
      <c r="E354">
        <v>79</v>
      </c>
      <c r="F354">
        <v>-3</v>
      </c>
      <c r="G354" t="s">
        <v>7</v>
      </c>
    </row>
    <row r="355" spans="1:7" x14ac:dyDescent="0.35">
      <c r="A355" t="s">
        <v>11</v>
      </c>
      <c r="B355">
        <v>-3</v>
      </c>
      <c r="C355">
        <v>-41</v>
      </c>
      <c r="D355">
        <v>-42</v>
      </c>
      <c r="E355">
        <v>1</v>
      </c>
      <c r="F355">
        <v>-1</v>
      </c>
      <c r="G355" t="s">
        <v>7</v>
      </c>
    </row>
    <row r="356" spans="1:7" x14ac:dyDescent="0.35">
      <c r="A356" t="s">
        <v>11</v>
      </c>
      <c r="B356">
        <v>-8</v>
      </c>
      <c r="C356">
        <v>-247</v>
      </c>
      <c r="D356">
        <v>-11</v>
      </c>
      <c r="E356">
        <v>-236</v>
      </c>
      <c r="F356">
        <v>0</v>
      </c>
      <c r="G356" t="s">
        <v>5</v>
      </c>
    </row>
    <row r="357" spans="1:7" x14ac:dyDescent="0.35">
      <c r="A357" t="s">
        <v>11</v>
      </c>
      <c r="B357">
        <v>3</v>
      </c>
      <c r="C357">
        <v>18</v>
      </c>
      <c r="D357">
        <v>-4</v>
      </c>
      <c r="E357">
        <v>22</v>
      </c>
      <c r="F357">
        <v>-2</v>
      </c>
      <c r="G357" t="s">
        <v>7</v>
      </c>
    </row>
    <row r="358" spans="1:7" x14ac:dyDescent="0.35">
      <c r="A358" t="s">
        <v>12</v>
      </c>
      <c r="B358">
        <v>-9</v>
      </c>
      <c r="C358">
        <v>-157</v>
      </c>
      <c r="D358">
        <v>-105</v>
      </c>
      <c r="E358">
        <v>-52</v>
      </c>
      <c r="F358">
        <v>3</v>
      </c>
      <c r="G358" t="s">
        <v>5</v>
      </c>
    </row>
    <row r="359" spans="1:7" x14ac:dyDescent="0.35">
      <c r="A359" t="s">
        <v>12</v>
      </c>
      <c r="B359">
        <v>-3</v>
      </c>
      <c r="C359">
        <v>-68</v>
      </c>
      <c r="D359">
        <v>-87</v>
      </c>
      <c r="E359">
        <v>19</v>
      </c>
      <c r="F359">
        <v>-1</v>
      </c>
      <c r="G359" t="s">
        <v>5</v>
      </c>
    </row>
    <row r="360" spans="1:7" x14ac:dyDescent="0.35">
      <c r="A360" t="s">
        <v>12</v>
      </c>
      <c r="B360">
        <v>-7</v>
      </c>
      <c r="C360">
        <v>-143</v>
      </c>
      <c r="D360">
        <v>-109</v>
      </c>
      <c r="E360">
        <v>-34</v>
      </c>
      <c r="F360">
        <v>-3</v>
      </c>
      <c r="G360" t="s">
        <v>7</v>
      </c>
    </row>
    <row r="361" spans="1:7" x14ac:dyDescent="0.35">
      <c r="A361" t="s">
        <v>11</v>
      </c>
      <c r="B361">
        <v>0</v>
      </c>
      <c r="C361">
        <v>-9</v>
      </c>
      <c r="D361">
        <v>54</v>
      </c>
      <c r="E361">
        <v>-63</v>
      </c>
      <c r="F361">
        <v>1</v>
      </c>
      <c r="G361" t="s">
        <v>7</v>
      </c>
    </row>
    <row r="362" spans="1:7" x14ac:dyDescent="0.35">
      <c r="A362" t="s">
        <v>12</v>
      </c>
      <c r="B362">
        <v>6</v>
      </c>
      <c r="C362">
        <v>92</v>
      </c>
      <c r="D362">
        <v>136</v>
      </c>
      <c r="E362">
        <v>-44</v>
      </c>
      <c r="F362">
        <v>1</v>
      </c>
      <c r="G362" t="s">
        <v>7</v>
      </c>
    </row>
    <row r="363" spans="1:7" x14ac:dyDescent="0.35">
      <c r="A363" t="s">
        <v>11</v>
      </c>
      <c r="B363">
        <v>2</v>
      </c>
      <c r="C363">
        <v>54</v>
      </c>
      <c r="D363">
        <v>106</v>
      </c>
      <c r="E363">
        <v>-52</v>
      </c>
      <c r="F363">
        <v>0</v>
      </c>
      <c r="G363" t="s">
        <v>7</v>
      </c>
    </row>
    <row r="364" spans="1:7" x14ac:dyDescent="0.35">
      <c r="A364" t="s">
        <v>11</v>
      </c>
      <c r="B364">
        <v>-1</v>
      </c>
      <c r="C364">
        <v>18</v>
      </c>
      <c r="D364">
        <v>41</v>
      </c>
      <c r="E364">
        <v>-23</v>
      </c>
      <c r="F364">
        <v>1</v>
      </c>
      <c r="G364" t="s">
        <v>5</v>
      </c>
    </row>
    <row r="365" spans="1:7" x14ac:dyDescent="0.35">
      <c r="A365" t="s">
        <v>12</v>
      </c>
      <c r="B365">
        <v>-7</v>
      </c>
      <c r="C365">
        <v>-100</v>
      </c>
      <c r="D365">
        <v>-71</v>
      </c>
      <c r="E365">
        <v>-29</v>
      </c>
      <c r="F365">
        <v>1</v>
      </c>
      <c r="G365" t="s">
        <v>5</v>
      </c>
    </row>
    <row r="366" spans="1:7" x14ac:dyDescent="0.35">
      <c r="A366" t="s">
        <v>12</v>
      </c>
      <c r="B366">
        <v>-3</v>
      </c>
      <c r="C366">
        <v>-2</v>
      </c>
      <c r="D366">
        <v>-25</v>
      </c>
      <c r="E366">
        <v>23</v>
      </c>
      <c r="F366">
        <v>4</v>
      </c>
      <c r="G366" t="s">
        <v>5</v>
      </c>
    </row>
    <row r="367" spans="1:7" x14ac:dyDescent="0.35">
      <c r="A367" t="s">
        <v>12</v>
      </c>
      <c r="B367">
        <v>13</v>
      </c>
      <c r="C367">
        <v>290</v>
      </c>
      <c r="D367">
        <v>131</v>
      </c>
      <c r="E367">
        <v>159</v>
      </c>
      <c r="F367">
        <v>0</v>
      </c>
      <c r="G367" t="s">
        <v>7</v>
      </c>
    </row>
    <row r="368" spans="1:7" x14ac:dyDescent="0.35">
      <c r="A368" t="s">
        <v>11</v>
      </c>
      <c r="B368">
        <v>-12</v>
      </c>
      <c r="C368">
        <v>-168</v>
      </c>
      <c r="D368">
        <v>-128</v>
      </c>
      <c r="E368">
        <v>-40</v>
      </c>
      <c r="F368">
        <v>0</v>
      </c>
      <c r="G368" t="s">
        <v>5</v>
      </c>
    </row>
    <row r="369" spans="1:7" x14ac:dyDescent="0.35">
      <c r="A369" t="s">
        <v>11</v>
      </c>
      <c r="B369">
        <v>-6</v>
      </c>
      <c r="C369">
        <v>-92</v>
      </c>
      <c r="D369">
        <v>-136</v>
      </c>
      <c r="E369">
        <v>44</v>
      </c>
      <c r="F369">
        <v>-1</v>
      </c>
      <c r="G369" t="s">
        <v>5</v>
      </c>
    </row>
    <row r="370" spans="1:7" x14ac:dyDescent="0.35">
      <c r="A370" t="s">
        <v>12</v>
      </c>
      <c r="B370">
        <v>1</v>
      </c>
      <c r="C370">
        <v>58</v>
      </c>
      <c r="D370">
        <v>35</v>
      </c>
      <c r="E370">
        <v>23</v>
      </c>
      <c r="F370">
        <v>-1</v>
      </c>
      <c r="G370" t="s">
        <v>5</v>
      </c>
    </row>
    <row r="371" spans="1:7" x14ac:dyDescent="0.35">
      <c r="A371" t="s">
        <v>11</v>
      </c>
      <c r="B371">
        <v>-4</v>
      </c>
      <c r="C371">
        <v>18</v>
      </c>
      <c r="D371">
        <v>4</v>
      </c>
      <c r="E371">
        <v>14</v>
      </c>
      <c r="F371">
        <v>1</v>
      </c>
      <c r="G371" t="s">
        <v>5</v>
      </c>
    </row>
    <row r="372" spans="1:7" x14ac:dyDescent="0.35">
      <c r="A372" t="s">
        <v>11</v>
      </c>
      <c r="B372">
        <v>2</v>
      </c>
      <c r="C372">
        <v>85</v>
      </c>
      <c r="D372">
        <v>42</v>
      </c>
      <c r="E372">
        <v>43</v>
      </c>
      <c r="F372">
        <v>0</v>
      </c>
      <c r="G372" t="s">
        <v>5</v>
      </c>
    </row>
    <row r="373" spans="1:7" x14ac:dyDescent="0.35">
      <c r="A373" t="s">
        <v>11</v>
      </c>
      <c r="B373">
        <v>-7</v>
      </c>
      <c r="C373">
        <v>-155</v>
      </c>
      <c r="D373">
        <v>-254</v>
      </c>
      <c r="E373">
        <v>99</v>
      </c>
      <c r="F373">
        <v>-2</v>
      </c>
      <c r="G373" t="s">
        <v>7</v>
      </c>
    </row>
    <row r="374" spans="1:7" x14ac:dyDescent="0.35">
      <c r="A374" t="s">
        <v>12</v>
      </c>
      <c r="B374">
        <v>-1</v>
      </c>
      <c r="C374">
        <v>-23</v>
      </c>
      <c r="D374">
        <v>-104</v>
      </c>
      <c r="E374">
        <v>81</v>
      </c>
      <c r="F374">
        <v>-2</v>
      </c>
      <c r="G374" t="s">
        <v>7</v>
      </c>
    </row>
    <row r="375" spans="1:7" x14ac:dyDescent="0.35">
      <c r="A375" t="s">
        <v>12</v>
      </c>
      <c r="B375">
        <v>-1</v>
      </c>
      <c r="C375">
        <v>-73</v>
      </c>
      <c r="D375">
        <v>14</v>
      </c>
      <c r="E375">
        <v>-87</v>
      </c>
      <c r="F375">
        <v>1</v>
      </c>
      <c r="G375" t="s">
        <v>7</v>
      </c>
    </row>
    <row r="376" spans="1:7" x14ac:dyDescent="0.35">
      <c r="A376" t="s">
        <v>12</v>
      </c>
      <c r="B376">
        <v>-4</v>
      </c>
      <c r="C376">
        <v>-141</v>
      </c>
      <c r="D376">
        <v>-110</v>
      </c>
      <c r="E376">
        <v>-31</v>
      </c>
      <c r="F376">
        <v>-1</v>
      </c>
      <c r="G376" t="s">
        <v>7</v>
      </c>
    </row>
    <row r="377" spans="1:7" x14ac:dyDescent="0.35">
      <c r="A377" t="s">
        <v>12</v>
      </c>
      <c r="B377">
        <v>12</v>
      </c>
      <c r="C377">
        <v>151</v>
      </c>
      <c r="D377">
        <v>90</v>
      </c>
      <c r="E377">
        <v>61</v>
      </c>
      <c r="F377">
        <v>3</v>
      </c>
      <c r="G377" t="s">
        <v>5</v>
      </c>
    </row>
    <row r="378" spans="1:7" x14ac:dyDescent="0.35">
      <c r="A378" t="s">
        <v>12</v>
      </c>
      <c r="B378">
        <v>11</v>
      </c>
      <c r="C378">
        <v>219</v>
      </c>
      <c r="D378">
        <v>148</v>
      </c>
      <c r="E378">
        <v>71</v>
      </c>
      <c r="F378">
        <v>0</v>
      </c>
      <c r="G378" t="s">
        <v>7</v>
      </c>
    </row>
    <row r="379" spans="1:7" x14ac:dyDescent="0.35">
      <c r="A379" t="s">
        <v>12</v>
      </c>
      <c r="B379">
        <v>3</v>
      </c>
      <c r="C379">
        <v>23</v>
      </c>
      <c r="D379">
        <v>57</v>
      </c>
      <c r="E379">
        <v>-34</v>
      </c>
      <c r="F379">
        <v>0</v>
      </c>
      <c r="G379" t="s">
        <v>7</v>
      </c>
    </row>
    <row r="380" spans="1:7" x14ac:dyDescent="0.35">
      <c r="A380" t="s">
        <v>11</v>
      </c>
      <c r="B380">
        <v>-11</v>
      </c>
      <c r="C380">
        <v>-219</v>
      </c>
      <c r="D380">
        <v>-148</v>
      </c>
      <c r="E380">
        <v>-71</v>
      </c>
      <c r="F380">
        <v>0</v>
      </c>
      <c r="G380" t="s">
        <v>5</v>
      </c>
    </row>
    <row r="381" spans="1:7" x14ac:dyDescent="0.35">
      <c r="A381" t="s">
        <v>12</v>
      </c>
      <c r="B381">
        <v>9</v>
      </c>
      <c r="C381">
        <v>54</v>
      </c>
      <c r="D381">
        <v>114</v>
      </c>
      <c r="E381">
        <v>-60</v>
      </c>
      <c r="F381">
        <v>3</v>
      </c>
      <c r="G381" t="s">
        <v>5</v>
      </c>
    </row>
    <row r="382" spans="1:7" x14ac:dyDescent="0.35">
      <c r="A382" t="s">
        <v>12</v>
      </c>
      <c r="B382">
        <v>-8</v>
      </c>
      <c r="C382">
        <v>-172</v>
      </c>
      <c r="D382">
        <v>-38</v>
      </c>
      <c r="E382">
        <v>-134</v>
      </c>
      <c r="F382">
        <v>2</v>
      </c>
      <c r="G382" t="s">
        <v>5</v>
      </c>
    </row>
    <row r="383" spans="1:7" x14ac:dyDescent="0.35">
      <c r="A383" t="s">
        <v>11</v>
      </c>
      <c r="B383">
        <v>-11</v>
      </c>
      <c r="C383">
        <v>-193</v>
      </c>
      <c r="D383">
        <v>-30</v>
      </c>
      <c r="E383">
        <v>-163</v>
      </c>
      <c r="F383">
        <v>0</v>
      </c>
      <c r="G383" t="s">
        <v>5</v>
      </c>
    </row>
    <row r="384" spans="1:7" x14ac:dyDescent="0.35">
      <c r="A384" t="s">
        <v>11</v>
      </c>
      <c r="B384">
        <v>-4</v>
      </c>
      <c r="C384">
        <v>100</v>
      </c>
      <c r="D384">
        <v>156</v>
      </c>
      <c r="E384">
        <v>-56</v>
      </c>
      <c r="F384">
        <v>0</v>
      </c>
      <c r="G384" t="s">
        <v>7</v>
      </c>
    </row>
    <row r="385" spans="1:7" x14ac:dyDescent="0.35">
      <c r="A385" t="s">
        <v>12</v>
      </c>
      <c r="B385">
        <v>-6</v>
      </c>
      <c r="C385">
        <v>-219</v>
      </c>
      <c r="D385">
        <v>-53</v>
      </c>
      <c r="E385">
        <v>-166</v>
      </c>
      <c r="F385">
        <v>-1</v>
      </c>
      <c r="G385" t="s">
        <v>5</v>
      </c>
    </row>
    <row r="386" spans="1:7" x14ac:dyDescent="0.35">
      <c r="A386" t="s">
        <v>12</v>
      </c>
      <c r="B386">
        <v>-3</v>
      </c>
      <c r="C386">
        <v>-55</v>
      </c>
      <c r="D386">
        <v>-72</v>
      </c>
      <c r="E386">
        <v>17</v>
      </c>
      <c r="F386">
        <v>0</v>
      </c>
      <c r="G386" t="s">
        <v>5</v>
      </c>
    </row>
    <row r="387" spans="1:7" x14ac:dyDescent="0.35">
      <c r="A387" t="s">
        <v>11</v>
      </c>
      <c r="B387">
        <v>-1</v>
      </c>
      <c r="C387">
        <v>-81</v>
      </c>
      <c r="D387">
        <v>-73</v>
      </c>
      <c r="E387">
        <v>-8</v>
      </c>
      <c r="F387">
        <v>0</v>
      </c>
      <c r="G387" t="s">
        <v>5</v>
      </c>
    </row>
    <row r="388" spans="1:7" x14ac:dyDescent="0.35">
      <c r="A388" t="s">
        <v>11</v>
      </c>
      <c r="B388">
        <v>-9</v>
      </c>
      <c r="C388">
        <v>-259</v>
      </c>
      <c r="D388">
        <v>-125</v>
      </c>
      <c r="E388">
        <v>-134</v>
      </c>
      <c r="F388">
        <v>2</v>
      </c>
      <c r="G388" t="s">
        <v>5</v>
      </c>
    </row>
    <row r="389" spans="1:7" x14ac:dyDescent="0.35">
      <c r="A389" t="s">
        <v>11</v>
      </c>
      <c r="B389">
        <v>1</v>
      </c>
      <c r="C389">
        <v>31</v>
      </c>
      <c r="D389">
        <v>30</v>
      </c>
      <c r="E389">
        <v>1</v>
      </c>
      <c r="F389">
        <v>0</v>
      </c>
      <c r="G389" t="s">
        <v>5</v>
      </c>
    </row>
    <row r="390" spans="1:7" x14ac:dyDescent="0.35">
      <c r="A390" t="s">
        <v>11</v>
      </c>
      <c r="B390">
        <v>10</v>
      </c>
      <c r="C390">
        <v>118</v>
      </c>
      <c r="D390">
        <v>85</v>
      </c>
      <c r="E390">
        <v>33</v>
      </c>
      <c r="F390">
        <v>-1</v>
      </c>
      <c r="G390" t="s">
        <v>5</v>
      </c>
    </row>
    <row r="391" spans="1:7" x14ac:dyDescent="0.35">
      <c r="A391" t="s">
        <v>12</v>
      </c>
      <c r="B391">
        <v>10</v>
      </c>
      <c r="C391">
        <v>120</v>
      </c>
      <c r="D391">
        <v>5</v>
      </c>
      <c r="E391">
        <v>115</v>
      </c>
      <c r="F391">
        <v>-2</v>
      </c>
      <c r="G391" t="s">
        <v>7</v>
      </c>
    </row>
    <row r="392" spans="1:7" x14ac:dyDescent="0.35">
      <c r="A392" t="s">
        <v>12</v>
      </c>
      <c r="B392">
        <v>6</v>
      </c>
      <c r="C392">
        <v>40</v>
      </c>
      <c r="D392">
        <v>-3</v>
      </c>
      <c r="E392">
        <v>43</v>
      </c>
      <c r="F392">
        <v>1</v>
      </c>
      <c r="G392" t="s">
        <v>7</v>
      </c>
    </row>
    <row r="393" spans="1:7" x14ac:dyDescent="0.35">
      <c r="A393" t="s">
        <v>11</v>
      </c>
      <c r="B393">
        <v>3</v>
      </c>
      <c r="C393">
        <v>-100</v>
      </c>
      <c r="D393">
        <v>-176</v>
      </c>
      <c r="E393">
        <v>76</v>
      </c>
      <c r="F393">
        <v>-1</v>
      </c>
      <c r="G393" t="s">
        <v>5</v>
      </c>
    </row>
    <row r="394" spans="1:7" x14ac:dyDescent="0.35">
      <c r="A394" t="s">
        <v>12</v>
      </c>
      <c r="B394">
        <v>1</v>
      </c>
      <c r="C394">
        <v>-48</v>
      </c>
      <c r="D394">
        <v>-133</v>
      </c>
      <c r="E394">
        <v>85</v>
      </c>
      <c r="F394">
        <v>-1</v>
      </c>
      <c r="G394" t="s">
        <v>7</v>
      </c>
    </row>
    <row r="395" spans="1:7" x14ac:dyDescent="0.35">
      <c r="A395" t="s">
        <v>11</v>
      </c>
      <c r="B395">
        <v>6</v>
      </c>
      <c r="C395">
        <v>84</v>
      </c>
      <c r="D395">
        <v>-117</v>
      </c>
      <c r="E395">
        <v>201</v>
      </c>
      <c r="F395">
        <v>-1</v>
      </c>
      <c r="G395" t="s">
        <v>7</v>
      </c>
    </row>
    <row r="396" spans="1:7" x14ac:dyDescent="0.35">
      <c r="A396" t="s">
        <v>12</v>
      </c>
      <c r="B396">
        <v>-6</v>
      </c>
      <c r="C396">
        <v>20</v>
      </c>
      <c r="D396">
        <v>-27</v>
      </c>
      <c r="E396">
        <v>47</v>
      </c>
      <c r="F396">
        <v>1</v>
      </c>
      <c r="G396" t="s">
        <v>5</v>
      </c>
    </row>
    <row r="397" spans="1:7" x14ac:dyDescent="0.35">
      <c r="A397" t="s">
        <v>11</v>
      </c>
      <c r="B397">
        <v>2</v>
      </c>
      <c r="C397">
        <v>1</v>
      </c>
      <c r="D397">
        <v>11</v>
      </c>
      <c r="E397">
        <v>-10</v>
      </c>
      <c r="F397">
        <v>1</v>
      </c>
      <c r="G397" t="s">
        <v>5</v>
      </c>
    </row>
    <row r="398" spans="1:7" x14ac:dyDescent="0.35">
      <c r="A398" t="s">
        <v>12</v>
      </c>
      <c r="B398">
        <v>6</v>
      </c>
      <c r="C398">
        <v>7</v>
      </c>
      <c r="D398">
        <v>100</v>
      </c>
      <c r="E398">
        <v>-93</v>
      </c>
      <c r="F398">
        <v>2</v>
      </c>
      <c r="G398" t="s">
        <v>5</v>
      </c>
    </row>
    <row r="399" spans="1:7" x14ac:dyDescent="0.35">
      <c r="A399" t="s">
        <v>12</v>
      </c>
      <c r="B399">
        <v>14</v>
      </c>
      <c r="C399">
        <v>10</v>
      </c>
      <c r="D399">
        <v>-27</v>
      </c>
      <c r="E399">
        <v>37</v>
      </c>
      <c r="F399">
        <v>0</v>
      </c>
      <c r="G399" t="s">
        <v>7</v>
      </c>
    </row>
    <row r="400" spans="1:7" x14ac:dyDescent="0.35">
      <c r="A400" t="s">
        <v>11</v>
      </c>
      <c r="B400">
        <v>7</v>
      </c>
      <c r="C400">
        <v>200</v>
      </c>
      <c r="D400">
        <v>196</v>
      </c>
      <c r="E400">
        <v>4</v>
      </c>
      <c r="F400">
        <v>-2</v>
      </c>
      <c r="G400" t="s">
        <v>7</v>
      </c>
    </row>
    <row r="401" spans="1:7" x14ac:dyDescent="0.35">
      <c r="A401" t="s">
        <v>12</v>
      </c>
      <c r="B401">
        <v>-6</v>
      </c>
      <c r="C401">
        <v>-63</v>
      </c>
      <c r="D401">
        <v>-31</v>
      </c>
      <c r="E401">
        <v>-32</v>
      </c>
      <c r="F401">
        <v>2</v>
      </c>
      <c r="G401" t="s">
        <v>5</v>
      </c>
    </row>
    <row r="402" spans="1:7" x14ac:dyDescent="0.35">
      <c r="A402" t="s">
        <v>12</v>
      </c>
      <c r="B402">
        <v>-4</v>
      </c>
      <c r="C402">
        <v>2</v>
      </c>
      <c r="D402">
        <v>74</v>
      </c>
      <c r="E402">
        <v>-72</v>
      </c>
      <c r="F402">
        <v>-3</v>
      </c>
      <c r="G402" t="s">
        <v>7</v>
      </c>
    </row>
    <row r="403" spans="1:7" x14ac:dyDescent="0.35">
      <c r="A403" t="s">
        <v>11</v>
      </c>
      <c r="B403">
        <v>11</v>
      </c>
      <c r="C403">
        <v>157</v>
      </c>
      <c r="D403">
        <v>150</v>
      </c>
      <c r="E403">
        <v>7</v>
      </c>
      <c r="F403">
        <v>-1</v>
      </c>
      <c r="G403" t="s">
        <v>7</v>
      </c>
    </row>
    <row r="404" spans="1:7" x14ac:dyDescent="0.35">
      <c r="A404" t="s">
        <v>11</v>
      </c>
      <c r="B404">
        <v>8</v>
      </c>
      <c r="C404">
        <v>63</v>
      </c>
      <c r="D404">
        <v>7</v>
      </c>
      <c r="E404">
        <v>56</v>
      </c>
      <c r="F404">
        <v>0</v>
      </c>
      <c r="G404" t="s">
        <v>7</v>
      </c>
    </row>
    <row r="405" spans="1:7" x14ac:dyDescent="0.35">
      <c r="A405" t="s">
        <v>12</v>
      </c>
      <c r="B405">
        <v>1</v>
      </c>
      <c r="C405">
        <v>-31</v>
      </c>
      <c r="D405">
        <v>76</v>
      </c>
      <c r="E405">
        <v>-107</v>
      </c>
      <c r="F405">
        <v>1</v>
      </c>
      <c r="G405" t="s">
        <v>5</v>
      </c>
    </row>
    <row r="406" spans="1:7" x14ac:dyDescent="0.35">
      <c r="A406" t="s">
        <v>12</v>
      </c>
      <c r="B406">
        <v>11</v>
      </c>
      <c r="C406">
        <v>193</v>
      </c>
      <c r="D406">
        <v>173</v>
      </c>
      <c r="E406">
        <v>20</v>
      </c>
      <c r="F406">
        <v>-1</v>
      </c>
      <c r="G406" t="s">
        <v>7</v>
      </c>
    </row>
    <row r="407" spans="1:7" x14ac:dyDescent="0.35">
      <c r="A407" t="s">
        <v>11</v>
      </c>
      <c r="B407">
        <v>-4</v>
      </c>
      <c r="C407">
        <v>-58</v>
      </c>
      <c r="D407">
        <v>-79</v>
      </c>
      <c r="E407">
        <v>21</v>
      </c>
      <c r="F407">
        <v>-4</v>
      </c>
      <c r="G407" t="s">
        <v>7</v>
      </c>
    </row>
    <row r="408" spans="1:7" x14ac:dyDescent="0.35">
      <c r="A408" t="s">
        <v>11</v>
      </c>
      <c r="B408">
        <v>-6</v>
      </c>
      <c r="C408">
        <v>-78</v>
      </c>
      <c r="D408">
        <v>-143</v>
      </c>
      <c r="E408">
        <v>65</v>
      </c>
      <c r="F408">
        <v>1</v>
      </c>
      <c r="G408" t="s">
        <v>5</v>
      </c>
    </row>
    <row r="409" spans="1:7" x14ac:dyDescent="0.35">
      <c r="A409" t="s">
        <v>11</v>
      </c>
      <c r="B409">
        <v>1</v>
      </c>
      <c r="C409">
        <v>6</v>
      </c>
      <c r="D409">
        <v>-33</v>
      </c>
      <c r="E409">
        <v>39</v>
      </c>
      <c r="F409">
        <v>-2</v>
      </c>
      <c r="G409" t="s">
        <v>7</v>
      </c>
    </row>
    <row r="410" spans="1:7" x14ac:dyDescent="0.35">
      <c r="A410" t="s">
        <v>11</v>
      </c>
      <c r="B410">
        <v>6</v>
      </c>
      <c r="C410">
        <v>-20</v>
      </c>
      <c r="D410">
        <v>27</v>
      </c>
      <c r="E410">
        <v>-47</v>
      </c>
      <c r="F410">
        <v>-1</v>
      </c>
      <c r="G410" t="s">
        <v>7</v>
      </c>
    </row>
    <row r="411" spans="1:7" x14ac:dyDescent="0.35">
      <c r="A411" t="s">
        <v>12</v>
      </c>
      <c r="B411">
        <v>13</v>
      </c>
      <c r="C411">
        <v>69</v>
      </c>
      <c r="D411">
        <v>75</v>
      </c>
      <c r="E411">
        <v>-6</v>
      </c>
      <c r="F411">
        <v>3</v>
      </c>
      <c r="G411" t="s">
        <v>5</v>
      </c>
    </row>
    <row r="412" spans="1:7" x14ac:dyDescent="0.35">
      <c r="A412" t="s">
        <v>11</v>
      </c>
      <c r="B412">
        <v>6</v>
      </c>
      <c r="C412">
        <v>17</v>
      </c>
      <c r="D412">
        <v>-56</v>
      </c>
      <c r="E412">
        <v>73</v>
      </c>
      <c r="F412">
        <v>-1</v>
      </c>
      <c r="G412" t="s">
        <v>5</v>
      </c>
    </row>
    <row r="413" spans="1:7" x14ac:dyDescent="0.35">
      <c r="A413" t="s">
        <v>11</v>
      </c>
      <c r="B413">
        <v>0</v>
      </c>
      <c r="C413">
        <v>165</v>
      </c>
      <c r="D413">
        <v>113</v>
      </c>
      <c r="E413">
        <v>52</v>
      </c>
      <c r="F413">
        <v>-1</v>
      </c>
      <c r="G413" t="s">
        <v>7</v>
      </c>
    </row>
    <row r="414" spans="1:7" x14ac:dyDescent="0.35">
      <c r="A414" t="s">
        <v>11</v>
      </c>
      <c r="B414">
        <v>-7</v>
      </c>
      <c r="C414">
        <v>14</v>
      </c>
      <c r="D414">
        <v>5</v>
      </c>
      <c r="E414">
        <v>9</v>
      </c>
      <c r="F414">
        <v>-2</v>
      </c>
      <c r="G414" t="s">
        <v>7</v>
      </c>
    </row>
    <row r="415" spans="1:7" x14ac:dyDescent="0.35">
      <c r="A415" t="s">
        <v>11</v>
      </c>
      <c r="B415">
        <v>2</v>
      </c>
      <c r="C415">
        <v>-38</v>
      </c>
      <c r="D415">
        <v>20</v>
      </c>
      <c r="E415">
        <v>-58</v>
      </c>
      <c r="F415">
        <v>0</v>
      </c>
      <c r="G415" t="s">
        <v>5</v>
      </c>
    </row>
    <row r="416" spans="1:7" x14ac:dyDescent="0.35">
      <c r="A416" t="s">
        <v>11</v>
      </c>
      <c r="B416">
        <v>-11</v>
      </c>
      <c r="C416">
        <v>-258</v>
      </c>
      <c r="D416">
        <v>-144</v>
      </c>
      <c r="E416">
        <v>-114</v>
      </c>
      <c r="F416">
        <v>0</v>
      </c>
      <c r="G416" t="s">
        <v>5</v>
      </c>
    </row>
    <row r="417" spans="1:8" x14ac:dyDescent="0.35">
      <c r="A417" t="s">
        <v>12</v>
      </c>
      <c r="B417">
        <v>4</v>
      </c>
      <c r="C417">
        <v>8</v>
      </c>
      <c r="D417">
        <v>88</v>
      </c>
      <c r="E417">
        <v>-80</v>
      </c>
      <c r="F417">
        <v>-3</v>
      </c>
      <c r="G417" t="s">
        <v>7</v>
      </c>
    </row>
    <row r="418" spans="1:8" x14ac:dyDescent="0.35">
      <c r="A418" t="s">
        <v>11</v>
      </c>
      <c r="B418">
        <v>-1</v>
      </c>
      <c r="C418">
        <v>-13</v>
      </c>
      <c r="D418">
        <v>-10</v>
      </c>
      <c r="E418">
        <v>-3</v>
      </c>
      <c r="F418">
        <v>0</v>
      </c>
      <c r="G418" t="s">
        <v>5</v>
      </c>
    </row>
    <row r="419" spans="1:8" x14ac:dyDescent="0.35">
      <c r="A419" t="s">
        <v>12</v>
      </c>
      <c r="B419">
        <v>-2</v>
      </c>
      <c r="C419">
        <v>-239</v>
      </c>
      <c r="D419">
        <v>-212</v>
      </c>
      <c r="E419">
        <v>-27</v>
      </c>
      <c r="F419">
        <v>0</v>
      </c>
      <c r="G419" t="s">
        <v>7</v>
      </c>
    </row>
    <row r="420" spans="1:8" x14ac:dyDescent="0.35">
      <c r="A420" t="s">
        <v>11</v>
      </c>
      <c r="B420">
        <v>-1</v>
      </c>
      <c r="C420">
        <v>-13</v>
      </c>
      <c r="D420">
        <v>3</v>
      </c>
      <c r="E420">
        <v>-16</v>
      </c>
      <c r="F420">
        <v>-3</v>
      </c>
      <c r="G420" t="s">
        <v>7</v>
      </c>
    </row>
    <row r="421" spans="1:8" x14ac:dyDescent="0.35">
      <c r="A421" t="s">
        <v>11</v>
      </c>
      <c r="B421">
        <v>-4</v>
      </c>
      <c r="C421">
        <v>-24</v>
      </c>
      <c r="D421">
        <v>39</v>
      </c>
      <c r="E421">
        <v>-63</v>
      </c>
      <c r="F421">
        <v>0</v>
      </c>
      <c r="G421" t="s">
        <v>5</v>
      </c>
    </row>
    <row r="422" spans="1:8" x14ac:dyDescent="0.35">
      <c r="A422" t="s">
        <v>11</v>
      </c>
      <c r="B422">
        <v>-7</v>
      </c>
      <c r="C422">
        <v>-90</v>
      </c>
      <c r="D422">
        <v>50</v>
      </c>
      <c r="E422">
        <v>-140</v>
      </c>
      <c r="F422">
        <v>1</v>
      </c>
      <c r="G422" t="s">
        <v>5</v>
      </c>
    </row>
    <row r="423" spans="1:8" x14ac:dyDescent="0.35">
      <c r="A423" t="s">
        <v>11</v>
      </c>
      <c r="B423">
        <v>-9</v>
      </c>
      <c r="C423">
        <v>-54</v>
      </c>
      <c r="D423">
        <v>-114</v>
      </c>
      <c r="E423">
        <v>60</v>
      </c>
      <c r="F423">
        <v>-3</v>
      </c>
      <c r="G423" t="s">
        <v>7</v>
      </c>
    </row>
    <row r="424" spans="1:8" x14ac:dyDescent="0.35">
      <c r="A424" t="s">
        <v>11</v>
      </c>
      <c r="B424">
        <v>2</v>
      </c>
      <c r="C424">
        <v>-102</v>
      </c>
      <c r="D424">
        <v>0</v>
      </c>
      <c r="E424">
        <v>-102</v>
      </c>
      <c r="F424">
        <v>-1</v>
      </c>
      <c r="G424" t="s">
        <v>5</v>
      </c>
    </row>
    <row r="425" spans="1:8" x14ac:dyDescent="0.35">
      <c r="A425" t="s">
        <v>12</v>
      </c>
      <c r="B425">
        <v>-19</v>
      </c>
      <c r="C425">
        <v>-443</v>
      </c>
      <c r="D425">
        <v>-199</v>
      </c>
      <c r="E425">
        <v>-244</v>
      </c>
      <c r="F425">
        <v>3</v>
      </c>
      <c r="G425" t="s">
        <v>5</v>
      </c>
    </row>
    <row r="426" spans="1:8" x14ac:dyDescent="0.35">
      <c r="A426" t="s">
        <v>12</v>
      </c>
      <c r="B426">
        <v>-5</v>
      </c>
      <c r="C426">
        <v>-118</v>
      </c>
      <c r="D426">
        <v>2</v>
      </c>
      <c r="E426">
        <v>-120</v>
      </c>
      <c r="F426">
        <v>0</v>
      </c>
      <c r="G426" t="s">
        <v>5</v>
      </c>
      <c r="H426" t="s">
        <v>41</v>
      </c>
    </row>
    <row r="427" spans="1:8" x14ac:dyDescent="0.35">
      <c r="A427" t="s">
        <v>11</v>
      </c>
      <c r="B427">
        <v>6</v>
      </c>
      <c r="C427">
        <v>147</v>
      </c>
      <c r="D427">
        <v>87</v>
      </c>
      <c r="E427">
        <v>60</v>
      </c>
      <c r="F427">
        <v>3</v>
      </c>
      <c r="G427" t="s">
        <v>7</v>
      </c>
    </row>
    <row r="428" spans="1:8" x14ac:dyDescent="0.35">
      <c r="A428" t="s">
        <v>12</v>
      </c>
      <c r="B428">
        <v>7</v>
      </c>
      <c r="C428">
        <v>47</v>
      </c>
      <c r="D428">
        <v>33</v>
      </c>
      <c r="E428">
        <v>14</v>
      </c>
      <c r="F428">
        <v>-1</v>
      </c>
      <c r="G428" t="s">
        <v>7</v>
      </c>
    </row>
    <row r="429" spans="1:8" x14ac:dyDescent="0.35">
      <c r="A429" t="s">
        <v>12</v>
      </c>
      <c r="B429">
        <v>-8</v>
      </c>
      <c r="C429">
        <v>-134</v>
      </c>
      <c r="D429">
        <v>-45</v>
      </c>
      <c r="E429">
        <v>-89</v>
      </c>
      <c r="F429">
        <v>-2</v>
      </c>
      <c r="G429" t="s">
        <v>7</v>
      </c>
    </row>
    <row r="430" spans="1:8" x14ac:dyDescent="0.35">
      <c r="A430" t="s">
        <v>11</v>
      </c>
      <c r="B430">
        <v>2</v>
      </c>
      <c r="C430">
        <v>-7</v>
      </c>
      <c r="D430">
        <v>-28</v>
      </c>
      <c r="E430">
        <v>21</v>
      </c>
      <c r="F430">
        <v>-3</v>
      </c>
      <c r="G430" t="s">
        <v>7</v>
      </c>
    </row>
    <row r="431" spans="1:8" x14ac:dyDescent="0.35">
      <c r="A431" t="s">
        <v>12</v>
      </c>
      <c r="B431">
        <v>-5</v>
      </c>
      <c r="C431">
        <v>-166</v>
      </c>
      <c r="D431">
        <v>-30</v>
      </c>
      <c r="E431">
        <v>-136</v>
      </c>
      <c r="F431">
        <v>1</v>
      </c>
      <c r="G431" t="s">
        <v>5</v>
      </c>
    </row>
    <row r="432" spans="1:8" x14ac:dyDescent="0.35">
      <c r="A432" t="s">
        <v>12</v>
      </c>
      <c r="B432">
        <v>-2</v>
      </c>
      <c r="C432">
        <v>-4</v>
      </c>
      <c r="D432">
        <v>-227</v>
      </c>
      <c r="E432">
        <v>223</v>
      </c>
      <c r="F432">
        <v>-3</v>
      </c>
      <c r="G432" t="s">
        <v>7</v>
      </c>
    </row>
    <row r="433" spans="1:7" x14ac:dyDescent="0.35">
      <c r="A433" t="s">
        <v>11</v>
      </c>
      <c r="B433">
        <v>7</v>
      </c>
      <c r="C433">
        <v>116</v>
      </c>
      <c r="D433">
        <v>111</v>
      </c>
      <c r="E433">
        <v>5</v>
      </c>
      <c r="F433">
        <v>0</v>
      </c>
      <c r="G433" t="s">
        <v>7</v>
      </c>
    </row>
    <row r="434" spans="1:7" x14ac:dyDescent="0.35">
      <c r="A434" t="s">
        <v>11</v>
      </c>
      <c r="B434">
        <v>-12</v>
      </c>
      <c r="C434">
        <v>-158</v>
      </c>
      <c r="D434">
        <v>-56</v>
      </c>
      <c r="E434">
        <v>-102</v>
      </c>
      <c r="F434">
        <v>2</v>
      </c>
      <c r="G434" t="s">
        <v>5</v>
      </c>
    </row>
    <row r="435" spans="1:7" x14ac:dyDescent="0.35">
      <c r="A435" t="s">
        <v>12</v>
      </c>
      <c r="B435">
        <v>-6</v>
      </c>
      <c r="C435">
        <v>-3</v>
      </c>
      <c r="D435">
        <v>-4</v>
      </c>
      <c r="E435">
        <v>1</v>
      </c>
      <c r="F435">
        <v>2</v>
      </c>
      <c r="G435" t="s">
        <v>5</v>
      </c>
    </row>
    <row r="436" spans="1:7" x14ac:dyDescent="0.35">
      <c r="A436" t="s">
        <v>11</v>
      </c>
      <c r="B436">
        <v>1</v>
      </c>
      <c r="C436">
        <v>-38</v>
      </c>
      <c r="D436">
        <v>-51</v>
      </c>
      <c r="E436">
        <v>13</v>
      </c>
      <c r="F436">
        <v>-2</v>
      </c>
      <c r="G436" t="s">
        <v>7</v>
      </c>
    </row>
    <row r="437" spans="1:7" x14ac:dyDescent="0.35">
      <c r="A437" t="s">
        <v>12</v>
      </c>
      <c r="B437">
        <v>7</v>
      </c>
      <c r="C437">
        <v>115</v>
      </c>
      <c r="D437">
        <v>43</v>
      </c>
      <c r="E437">
        <v>72</v>
      </c>
      <c r="F437">
        <v>-1</v>
      </c>
      <c r="G437" t="s">
        <v>5</v>
      </c>
    </row>
    <row r="438" spans="1:7" x14ac:dyDescent="0.35">
      <c r="A438" t="s">
        <v>12</v>
      </c>
      <c r="B438">
        <v>9</v>
      </c>
      <c r="C438">
        <v>148</v>
      </c>
      <c r="D438">
        <v>34</v>
      </c>
      <c r="E438">
        <v>114</v>
      </c>
      <c r="F438">
        <v>3</v>
      </c>
      <c r="G438" t="s">
        <v>7</v>
      </c>
    </row>
    <row r="439" spans="1:7" x14ac:dyDescent="0.35">
      <c r="A439" t="s">
        <v>11</v>
      </c>
      <c r="B439">
        <v>-4</v>
      </c>
      <c r="C439">
        <v>-39</v>
      </c>
      <c r="D439">
        <v>-16</v>
      </c>
      <c r="E439">
        <v>-23</v>
      </c>
      <c r="F439">
        <v>-2</v>
      </c>
      <c r="G439" t="s">
        <v>7</v>
      </c>
    </row>
    <row r="440" spans="1:7" x14ac:dyDescent="0.35">
      <c r="A440" t="s">
        <v>11</v>
      </c>
      <c r="B440">
        <v>3</v>
      </c>
      <c r="C440">
        <v>2</v>
      </c>
      <c r="D440">
        <v>25</v>
      </c>
      <c r="E440">
        <v>-23</v>
      </c>
      <c r="F440">
        <v>-4</v>
      </c>
      <c r="G440" t="s">
        <v>7</v>
      </c>
    </row>
    <row r="441" spans="1:7" x14ac:dyDescent="0.35">
      <c r="A441" t="s">
        <v>12</v>
      </c>
      <c r="B441">
        <v>6</v>
      </c>
      <c r="C441">
        <v>-48</v>
      </c>
      <c r="D441">
        <v>-52</v>
      </c>
      <c r="E441">
        <v>4</v>
      </c>
      <c r="F441">
        <v>0</v>
      </c>
      <c r="G441" t="s">
        <v>7</v>
      </c>
    </row>
    <row r="442" spans="1:7" x14ac:dyDescent="0.35">
      <c r="A442" t="s">
        <v>12</v>
      </c>
      <c r="B442">
        <v>-4</v>
      </c>
      <c r="C442">
        <v>-61</v>
      </c>
      <c r="D442">
        <v>-54</v>
      </c>
      <c r="E442">
        <v>-7</v>
      </c>
      <c r="F442">
        <v>-1</v>
      </c>
      <c r="G442" t="s">
        <v>5</v>
      </c>
    </row>
    <row r="443" spans="1:7" x14ac:dyDescent="0.35">
      <c r="A443" t="s">
        <v>11</v>
      </c>
      <c r="B443">
        <v>-3</v>
      </c>
      <c r="C443">
        <v>-31</v>
      </c>
      <c r="D443">
        <v>11</v>
      </c>
      <c r="E443">
        <v>-42</v>
      </c>
      <c r="F443">
        <v>5</v>
      </c>
      <c r="G443" t="s">
        <v>5</v>
      </c>
    </row>
    <row r="444" spans="1:7" x14ac:dyDescent="0.35">
      <c r="A444" t="s">
        <v>12</v>
      </c>
      <c r="B444">
        <v>-1</v>
      </c>
      <c r="C444">
        <v>-33</v>
      </c>
      <c r="D444">
        <v>13</v>
      </c>
      <c r="E444">
        <v>-46</v>
      </c>
      <c r="F444">
        <v>-2</v>
      </c>
      <c r="G444" t="s">
        <v>7</v>
      </c>
    </row>
    <row r="445" spans="1:7" x14ac:dyDescent="0.35">
      <c r="A445" t="s">
        <v>11</v>
      </c>
      <c r="B445">
        <v>5</v>
      </c>
      <c r="C445">
        <v>94</v>
      </c>
      <c r="D445">
        <v>21</v>
      </c>
      <c r="E445">
        <v>73</v>
      </c>
      <c r="F445">
        <v>-1</v>
      </c>
      <c r="G445" t="s">
        <v>7</v>
      </c>
    </row>
    <row r="446" spans="1:7" x14ac:dyDescent="0.35">
      <c r="A446" t="s">
        <v>11</v>
      </c>
      <c r="B446">
        <v>10</v>
      </c>
      <c r="C446">
        <v>175</v>
      </c>
      <c r="D446">
        <v>114</v>
      </c>
      <c r="E446">
        <v>61</v>
      </c>
      <c r="F446">
        <v>1</v>
      </c>
      <c r="G446" t="s">
        <v>7</v>
      </c>
    </row>
    <row r="447" spans="1:7" x14ac:dyDescent="0.35">
      <c r="A447" t="s">
        <v>12</v>
      </c>
      <c r="B447">
        <v>-8</v>
      </c>
      <c r="C447">
        <v>-37</v>
      </c>
      <c r="D447">
        <v>31</v>
      </c>
      <c r="E447">
        <v>-68</v>
      </c>
      <c r="F447">
        <v>-3</v>
      </c>
      <c r="G447" t="s">
        <v>7</v>
      </c>
    </row>
    <row r="448" spans="1:7" x14ac:dyDescent="0.35">
      <c r="A448" t="s">
        <v>12</v>
      </c>
      <c r="B448">
        <v>-8</v>
      </c>
      <c r="C448">
        <v>-48</v>
      </c>
      <c r="D448">
        <v>-35</v>
      </c>
      <c r="E448">
        <v>-13</v>
      </c>
      <c r="F448">
        <v>3</v>
      </c>
      <c r="G448" t="s">
        <v>5</v>
      </c>
    </row>
    <row r="449" spans="1:7" x14ac:dyDescent="0.35">
      <c r="A449" t="s">
        <v>11</v>
      </c>
      <c r="B449">
        <v>2</v>
      </c>
      <c r="C449">
        <v>61</v>
      </c>
      <c r="D449">
        <v>96</v>
      </c>
      <c r="E449">
        <v>-35</v>
      </c>
      <c r="F449">
        <v>2</v>
      </c>
      <c r="G449" t="s">
        <v>5</v>
      </c>
    </row>
    <row r="450" spans="1:7" x14ac:dyDescent="0.35">
      <c r="A450" t="s">
        <v>11</v>
      </c>
      <c r="B450">
        <v>17</v>
      </c>
      <c r="C450">
        <v>259</v>
      </c>
      <c r="D450">
        <v>-4</v>
      </c>
      <c r="E450">
        <v>263</v>
      </c>
      <c r="F450">
        <v>-2</v>
      </c>
      <c r="G450" t="s">
        <v>7</v>
      </c>
    </row>
    <row r="451" spans="1:7" x14ac:dyDescent="0.35">
      <c r="A451" t="s">
        <v>12</v>
      </c>
      <c r="B451">
        <v>2</v>
      </c>
      <c r="C451">
        <v>-109</v>
      </c>
      <c r="D451">
        <v>-33</v>
      </c>
      <c r="E451">
        <v>-76</v>
      </c>
      <c r="F451">
        <v>0</v>
      </c>
      <c r="G451" t="s">
        <v>5</v>
      </c>
    </row>
    <row r="452" spans="1:7" x14ac:dyDescent="0.35">
      <c r="A452" t="s">
        <v>11</v>
      </c>
      <c r="B452">
        <v>-5</v>
      </c>
      <c r="C452">
        <v>-128</v>
      </c>
      <c r="D452">
        <v>-165</v>
      </c>
      <c r="E452">
        <v>37</v>
      </c>
      <c r="F452">
        <v>-3</v>
      </c>
      <c r="G452" t="s">
        <v>7</v>
      </c>
    </row>
    <row r="453" spans="1:7" x14ac:dyDescent="0.35">
      <c r="A453" t="s">
        <v>11</v>
      </c>
      <c r="B453">
        <v>6</v>
      </c>
      <c r="C453">
        <v>62</v>
      </c>
      <c r="D453">
        <v>198</v>
      </c>
      <c r="E453">
        <v>-136</v>
      </c>
      <c r="F453">
        <v>3</v>
      </c>
      <c r="G453" t="s">
        <v>5</v>
      </c>
    </row>
    <row r="454" spans="1:7" x14ac:dyDescent="0.35">
      <c r="A454" t="s">
        <v>11</v>
      </c>
      <c r="B454">
        <v>-18</v>
      </c>
      <c r="C454">
        <v>-273</v>
      </c>
      <c r="D454">
        <v>-176</v>
      </c>
      <c r="E454">
        <v>-97</v>
      </c>
      <c r="F454">
        <v>-1</v>
      </c>
      <c r="G454" t="s">
        <v>5</v>
      </c>
    </row>
    <row r="455" spans="1:7" x14ac:dyDescent="0.35">
      <c r="A455" t="s">
        <v>12</v>
      </c>
      <c r="B455">
        <v>-2</v>
      </c>
      <c r="C455">
        <v>7</v>
      </c>
      <c r="D455">
        <v>28</v>
      </c>
      <c r="E455">
        <v>-21</v>
      </c>
      <c r="F455">
        <v>3</v>
      </c>
      <c r="G455" t="s">
        <v>5</v>
      </c>
    </row>
    <row r="456" spans="1:7" x14ac:dyDescent="0.35">
      <c r="A456" t="s">
        <v>12</v>
      </c>
      <c r="B456">
        <v>2</v>
      </c>
      <c r="C456">
        <v>-34</v>
      </c>
      <c r="D456">
        <v>26</v>
      </c>
      <c r="E456">
        <v>-60</v>
      </c>
      <c r="F456">
        <v>-1</v>
      </c>
      <c r="G456" t="s">
        <v>5</v>
      </c>
    </row>
    <row r="457" spans="1:7" x14ac:dyDescent="0.35">
      <c r="A457" t="s">
        <v>11</v>
      </c>
      <c r="B457">
        <v>9</v>
      </c>
      <c r="C457">
        <v>48</v>
      </c>
      <c r="D457">
        <v>45</v>
      </c>
      <c r="E457">
        <v>3</v>
      </c>
      <c r="F457">
        <v>1</v>
      </c>
      <c r="G457" t="s">
        <v>5</v>
      </c>
    </row>
    <row r="458" spans="1:7" x14ac:dyDescent="0.35">
      <c r="A458" t="s">
        <v>12</v>
      </c>
      <c r="B458">
        <v>-5</v>
      </c>
      <c r="C458">
        <v>-160</v>
      </c>
      <c r="D458">
        <v>-258</v>
      </c>
      <c r="E458">
        <v>98</v>
      </c>
      <c r="F458">
        <v>1</v>
      </c>
      <c r="G458" t="s">
        <v>5</v>
      </c>
    </row>
    <row r="459" spans="1:7" x14ac:dyDescent="0.35">
      <c r="A459" t="s">
        <v>12</v>
      </c>
      <c r="B459">
        <v>2</v>
      </c>
      <c r="C459">
        <v>-135</v>
      </c>
      <c r="D459">
        <v>-115</v>
      </c>
      <c r="E459">
        <v>-20</v>
      </c>
      <c r="F459">
        <v>2</v>
      </c>
      <c r="G459" t="s">
        <v>5</v>
      </c>
    </row>
    <row r="460" spans="1:7" x14ac:dyDescent="0.35">
      <c r="A460" t="s">
        <v>12</v>
      </c>
      <c r="B460">
        <v>11</v>
      </c>
      <c r="C460">
        <v>193</v>
      </c>
      <c r="D460">
        <v>30</v>
      </c>
      <c r="E460">
        <v>163</v>
      </c>
      <c r="F460">
        <v>0</v>
      </c>
      <c r="G460" t="s">
        <v>7</v>
      </c>
    </row>
    <row r="461" spans="1:7" x14ac:dyDescent="0.35">
      <c r="A461" t="s">
        <v>12</v>
      </c>
      <c r="B461">
        <v>12</v>
      </c>
      <c r="C461">
        <v>157</v>
      </c>
      <c r="D461">
        <v>103</v>
      </c>
      <c r="E461">
        <v>54</v>
      </c>
      <c r="F461">
        <v>0</v>
      </c>
      <c r="G461" t="s">
        <v>7</v>
      </c>
    </row>
    <row r="462" spans="1:7" x14ac:dyDescent="0.35">
      <c r="A462" t="s">
        <v>11</v>
      </c>
      <c r="B462">
        <v>5</v>
      </c>
      <c r="C462">
        <v>61</v>
      </c>
      <c r="D462">
        <v>108</v>
      </c>
      <c r="E462">
        <v>-47</v>
      </c>
      <c r="F462">
        <v>-1</v>
      </c>
      <c r="G462" t="s">
        <v>5</v>
      </c>
    </row>
    <row r="463" spans="1:7" x14ac:dyDescent="0.35">
      <c r="A463" t="s">
        <v>11</v>
      </c>
      <c r="B463">
        <v>-2</v>
      </c>
      <c r="C463">
        <v>-57</v>
      </c>
      <c r="D463">
        <v>-137</v>
      </c>
      <c r="E463">
        <v>80</v>
      </c>
      <c r="F463">
        <v>-1</v>
      </c>
      <c r="G463" t="s">
        <v>7</v>
      </c>
    </row>
    <row r="464" spans="1:7" x14ac:dyDescent="0.35">
      <c r="A464" t="s">
        <v>11</v>
      </c>
      <c r="B464">
        <v>1</v>
      </c>
      <c r="C464">
        <v>-35</v>
      </c>
      <c r="D464">
        <v>-138</v>
      </c>
      <c r="E464">
        <v>103</v>
      </c>
      <c r="F464">
        <v>-1</v>
      </c>
      <c r="G464" t="s">
        <v>7</v>
      </c>
    </row>
    <row r="465" spans="1:7" x14ac:dyDescent="0.35">
      <c r="A465" t="s">
        <v>12</v>
      </c>
      <c r="B465">
        <v>-2</v>
      </c>
      <c r="C465">
        <v>38</v>
      </c>
      <c r="D465">
        <v>-20</v>
      </c>
      <c r="E465">
        <v>58</v>
      </c>
      <c r="F465">
        <v>0</v>
      </c>
      <c r="G465" t="s">
        <v>7</v>
      </c>
    </row>
    <row r="466" spans="1:7" x14ac:dyDescent="0.35">
      <c r="A466" t="s">
        <v>12</v>
      </c>
      <c r="B466">
        <v>-4</v>
      </c>
      <c r="C466">
        <v>-197</v>
      </c>
      <c r="D466">
        <v>-133</v>
      </c>
      <c r="E466">
        <v>-64</v>
      </c>
      <c r="F466">
        <v>0</v>
      </c>
      <c r="G466" t="s">
        <v>5</v>
      </c>
    </row>
    <row r="467" spans="1:7" x14ac:dyDescent="0.35">
      <c r="A467" t="s">
        <v>12</v>
      </c>
      <c r="B467">
        <v>7</v>
      </c>
      <c r="C467">
        <v>-14</v>
      </c>
      <c r="D467">
        <v>-5</v>
      </c>
      <c r="E467">
        <v>-9</v>
      </c>
      <c r="F467">
        <v>2</v>
      </c>
      <c r="G467" t="s">
        <v>5</v>
      </c>
    </row>
    <row r="468" spans="1:7" x14ac:dyDescent="0.35">
      <c r="A468" t="s">
        <v>12</v>
      </c>
      <c r="B468">
        <v>4</v>
      </c>
      <c r="C468">
        <v>140</v>
      </c>
      <c r="D468">
        <v>200</v>
      </c>
      <c r="E468">
        <v>-60</v>
      </c>
      <c r="F468">
        <v>0</v>
      </c>
      <c r="G468" t="s">
        <v>7</v>
      </c>
    </row>
    <row r="469" spans="1:7" x14ac:dyDescent="0.35">
      <c r="A469" t="s">
        <v>11</v>
      </c>
      <c r="B469">
        <v>-10</v>
      </c>
      <c r="C469">
        <v>-102</v>
      </c>
      <c r="D469">
        <v>-51</v>
      </c>
      <c r="E469">
        <v>-51</v>
      </c>
      <c r="F469">
        <v>0</v>
      </c>
      <c r="G469" t="s">
        <v>7</v>
      </c>
    </row>
    <row r="470" spans="1:7" x14ac:dyDescent="0.35">
      <c r="A470" t="s">
        <v>11</v>
      </c>
      <c r="B470">
        <v>6</v>
      </c>
      <c r="C470">
        <v>71</v>
      </c>
      <c r="D470">
        <v>-14</v>
      </c>
      <c r="E470">
        <v>85</v>
      </c>
      <c r="F470">
        <v>-1</v>
      </c>
      <c r="G470" t="s">
        <v>7</v>
      </c>
    </row>
    <row r="471" spans="1:7" x14ac:dyDescent="0.35">
      <c r="A471" t="s">
        <v>11</v>
      </c>
      <c r="B471">
        <v>-15</v>
      </c>
      <c r="C471">
        <v>-197</v>
      </c>
      <c r="D471">
        <v>-108</v>
      </c>
      <c r="E471">
        <v>-89</v>
      </c>
      <c r="F471">
        <v>-3</v>
      </c>
      <c r="G471" t="s">
        <v>5</v>
      </c>
    </row>
    <row r="472" spans="1:7" x14ac:dyDescent="0.35">
      <c r="A472" t="s">
        <v>11</v>
      </c>
      <c r="B472">
        <v>8</v>
      </c>
      <c r="C472">
        <v>48</v>
      </c>
      <c r="D472">
        <v>35</v>
      </c>
      <c r="E472">
        <v>13</v>
      </c>
      <c r="F472">
        <v>-3</v>
      </c>
      <c r="G472" t="s">
        <v>7</v>
      </c>
    </row>
    <row r="473" spans="1:7" x14ac:dyDescent="0.35">
      <c r="A473" t="s">
        <v>12</v>
      </c>
      <c r="B473">
        <v>-8</v>
      </c>
      <c r="C473">
        <v>-164</v>
      </c>
      <c r="D473">
        <v>-94</v>
      </c>
      <c r="E473">
        <v>-70</v>
      </c>
      <c r="F473">
        <v>-1</v>
      </c>
      <c r="G473" t="s">
        <v>5</v>
      </c>
    </row>
    <row r="474" spans="1:7" x14ac:dyDescent="0.35">
      <c r="A474" t="s">
        <v>11</v>
      </c>
      <c r="B474">
        <v>-14</v>
      </c>
      <c r="C474">
        <v>-161</v>
      </c>
      <c r="D474">
        <v>4</v>
      </c>
      <c r="E474">
        <v>-165</v>
      </c>
      <c r="F474">
        <v>0</v>
      </c>
      <c r="G474" t="s">
        <v>5</v>
      </c>
    </row>
    <row r="475" spans="1:7" x14ac:dyDescent="0.35">
      <c r="A475" t="s">
        <v>12</v>
      </c>
      <c r="B475">
        <v>7</v>
      </c>
      <c r="C475">
        <v>99</v>
      </c>
      <c r="D475">
        <v>171</v>
      </c>
      <c r="E475">
        <v>-72</v>
      </c>
      <c r="F475">
        <v>1</v>
      </c>
      <c r="G475" t="s">
        <v>5</v>
      </c>
    </row>
    <row r="476" spans="1:7" x14ac:dyDescent="0.35">
      <c r="A476" t="s">
        <v>11</v>
      </c>
      <c r="B476">
        <v>5</v>
      </c>
      <c r="C476">
        <v>-116</v>
      </c>
      <c r="D476">
        <v>-57</v>
      </c>
      <c r="E476">
        <v>-59</v>
      </c>
      <c r="F476">
        <v>4</v>
      </c>
      <c r="G476" t="s">
        <v>5</v>
      </c>
    </row>
    <row r="477" spans="1:7" x14ac:dyDescent="0.35">
      <c r="A477" t="s">
        <v>11</v>
      </c>
      <c r="B477">
        <v>-11</v>
      </c>
      <c r="C477">
        <v>-249</v>
      </c>
      <c r="D477">
        <v>-229</v>
      </c>
      <c r="E477">
        <v>-20</v>
      </c>
      <c r="F477">
        <v>0</v>
      </c>
      <c r="G477" t="s">
        <v>7</v>
      </c>
    </row>
    <row r="478" spans="1:7" x14ac:dyDescent="0.35">
      <c r="A478" t="s">
        <v>12</v>
      </c>
      <c r="B478">
        <v>-4</v>
      </c>
      <c r="C478">
        <v>16</v>
      </c>
      <c r="D478">
        <v>-20</v>
      </c>
      <c r="E478">
        <v>36</v>
      </c>
      <c r="F478">
        <v>1</v>
      </c>
      <c r="G478" t="s">
        <v>7</v>
      </c>
    </row>
    <row r="479" spans="1:7" x14ac:dyDescent="0.35">
      <c r="A479" t="s">
        <v>12</v>
      </c>
      <c r="B479">
        <v>5</v>
      </c>
      <c r="C479">
        <v>128</v>
      </c>
      <c r="D479">
        <v>165</v>
      </c>
      <c r="E479">
        <v>-37</v>
      </c>
      <c r="F479">
        <v>3</v>
      </c>
      <c r="G479" t="s">
        <v>5</v>
      </c>
    </row>
    <row r="480" spans="1:7" x14ac:dyDescent="0.35">
      <c r="A480" t="s">
        <v>12</v>
      </c>
      <c r="B480">
        <v>16</v>
      </c>
      <c r="C480">
        <v>213</v>
      </c>
      <c r="D480">
        <v>104</v>
      </c>
      <c r="E480">
        <v>109</v>
      </c>
      <c r="F480">
        <v>0</v>
      </c>
      <c r="G480" t="s">
        <v>7</v>
      </c>
    </row>
    <row r="481" spans="1:7" x14ac:dyDescent="0.35">
      <c r="A481" t="s">
        <v>11</v>
      </c>
      <c r="B481">
        <v>8</v>
      </c>
      <c r="C481">
        <v>37</v>
      </c>
      <c r="D481">
        <v>109</v>
      </c>
      <c r="E481">
        <v>-72</v>
      </c>
      <c r="F481">
        <v>-2</v>
      </c>
      <c r="G481" t="s">
        <v>7</v>
      </c>
    </row>
    <row r="482" spans="1:7" x14ac:dyDescent="0.35">
      <c r="A482" t="s">
        <v>12</v>
      </c>
      <c r="B482">
        <v>-1</v>
      </c>
      <c r="C482">
        <v>-31</v>
      </c>
      <c r="D482">
        <v>-30</v>
      </c>
      <c r="E482">
        <v>-1</v>
      </c>
      <c r="F482">
        <v>0</v>
      </c>
      <c r="G482" t="s">
        <v>7</v>
      </c>
    </row>
    <row r="483" spans="1:7" x14ac:dyDescent="0.35">
      <c r="A483" t="s">
        <v>11</v>
      </c>
      <c r="B483">
        <v>9</v>
      </c>
      <c r="C483">
        <v>159</v>
      </c>
      <c r="D483">
        <v>287</v>
      </c>
      <c r="E483">
        <v>-128</v>
      </c>
      <c r="F483">
        <v>0</v>
      </c>
      <c r="G483" t="s">
        <v>5</v>
      </c>
    </row>
    <row r="484" spans="1:7" x14ac:dyDescent="0.35">
      <c r="A484" t="s">
        <v>11</v>
      </c>
      <c r="B484">
        <v>16</v>
      </c>
      <c r="C484">
        <v>195</v>
      </c>
      <c r="D484">
        <v>113</v>
      </c>
      <c r="E484">
        <v>82</v>
      </c>
      <c r="F484">
        <v>-3</v>
      </c>
      <c r="G484" t="s">
        <v>7</v>
      </c>
    </row>
    <row r="485" spans="1:7" x14ac:dyDescent="0.35">
      <c r="A485" t="s">
        <v>12</v>
      </c>
      <c r="B485">
        <v>-8</v>
      </c>
      <c r="C485">
        <v>-37</v>
      </c>
      <c r="D485">
        <v>-109</v>
      </c>
      <c r="E485">
        <v>72</v>
      </c>
      <c r="F485">
        <v>2</v>
      </c>
      <c r="G485" t="s">
        <v>5</v>
      </c>
    </row>
    <row r="486" spans="1:7" x14ac:dyDescent="0.35">
      <c r="A486" t="s">
        <v>12</v>
      </c>
      <c r="B486">
        <v>-3</v>
      </c>
      <c r="C486">
        <v>141</v>
      </c>
      <c r="D486">
        <v>146</v>
      </c>
      <c r="E486">
        <v>-5</v>
      </c>
      <c r="F486">
        <v>-1</v>
      </c>
      <c r="G486" t="s">
        <v>7</v>
      </c>
    </row>
    <row r="487" spans="1:7" x14ac:dyDescent="0.35">
      <c r="A487" t="s">
        <v>12</v>
      </c>
      <c r="B487">
        <v>-3</v>
      </c>
      <c r="C487">
        <v>-191</v>
      </c>
      <c r="D487">
        <v>-65</v>
      </c>
      <c r="E487">
        <v>-126</v>
      </c>
      <c r="F487">
        <v>0</v>
      </c>
      <c r="G487" t="s">
        <v>5</v>
      </c>
    </row>
    <row r="488" spans="1:7" x14ac:dyDescent="0.35">
      <c r="A488" t="s">
        <v>12</v>
      </c>
      <c r="B488">
        <v>10</v>
      </c>
      <c r="C488">
        <v>147</v>
      </c>
      <c r="D488">
        <v>91</v>
      </c>
      <c r="E488">
        <v>56</v>
      </c>
      <c r="F488">
        <v>1</v>
      </c>
      <c r="G488" t="s">
        <v>7</v>
      </c>
    </row>
    <row r="489" spans="1:7" x14ac:dyDescent="0.35">
      <c r="A489" t="s">
        <v>12</v>
      </c>
      <c r="B489">
        <v>9</v>
      </c>
      <c r="C489">
        <v>-4</v>
      </c>
      <c r="D489">
        <v>64</v>
      </c>
      <c r="E489">
        <v>-68</v>
      </c>
      <c r="F489">
        <v>3</v>
      </c>
      <c r="G489" t="s">
        <v>5</v>
      </c>
    </row>
    <row r="490" spans="1:7" x14ac:dyDescent="0.35">
      <c r="A490" t="s">
        <v>11</v>
      </c>
      <c r="B490">
        <v>-6</v>
      </c>
      <c r="C490">
        <v>-40</v>
      </c>
      <c r="D490">
        <v>3</v>
      </c>
      <c r="E490">
        <v>-43</v>
      </c>
      <c r="F490">
        <v>-1</v>
      </c>
      <c r="G490" t="s">
        <v>5</v>
      </c>
    </row>
    <row r="491" spans="1:7" x14ac:dyDescent="0.35">
      <c r="A491" t="s">
        <v>11</v>
      </c>
      <c r="B491">
        <v>2</v>
      </c>
      <c r="C491">
        <v>4</v>
      </c>
      <c r="D491">
        <v>227</v>
      </c>
      <c r="E491">
        <v>-223</v>
      </c>
      <c r="F491">
        <v>3</v>
      </c>
      <c r="G491" t="s">
        <v>5</v>
      </c>
    </row>
    <row r="492" spans="1:7" x14ac:dyDescent="0.35">
      <c r="A492" t="s">
        <v>11</v>
      </c>
      <c r="B492">
        <v>-2</v>
      </c>
      <c r="C492">
        <v>26</v>
      </c>
      <c r="D492">
        <v>95</v>
      </c>
      <c r="E492">
        <v>-69</v>
      </c>
      <c r="F492">
        <v>-2</v>
      </c>
      <c r="G492" t="s">
        <v>5</v>
      </c>
    </row>
    <row r="493" spans="1:7" x14ac:dyDescent="0.35">
      <c r="A493" t="s">
        <v>11</v>
      </c>
      <c r="B493">
        <v>-11</v>
      </c>
      <c r="C493">
        <v>-193</v>
      </c>
      <c r="D493">
        <v>-173</v>
      </c>
      <c r="E493">
        <v>-20</v>
      </c>
      <c r="F493">
        <v>1</v>
      </c>
      <c r="G493" t="s">
        <v>5</v>
      </c>
    </row>
    <row r="494" spans="1:7" x14ac:dyDescent="0.35">
      <c r="A494" t="s">
        <v>11</v>
      </c>
      <c r="B494">
        <v>-9</v>
      </c>
      <c r="C494">
        <v>4</v>
      </c>
      <c r="D494">
        <v>-64</v>
      </c>
      <c r="E494">
        <v>68</v>
      </c>
      <c r="F494">
        <v>-3</v>
      </c>
      <c r="G494" t="s">
        <v>7</v>
      </c>
    </row>
    <row r="495" spans="1:7" x14ac:dyDescent="0.35">
      <c r="A495" t="s">
        <v>12</v>
      </c>
      <c r="B495">
        <v>10</v>
      </c>
      <c r="C495">
        <v>102</v>
      </c>
      <c r="D495">
        <v>51</v>
      </c>
      <c r="E495">
        <v>51</v>
      </c>
      <c r="F495">
        <v>0</v>
      </c>
      <c r="G495" t="s">
        <v>5</v>
      </c>
    </row>
    <row r="496" spans="1:7" x14ac:dyDescent="0.35">
      <c r="A496" t="s">
        <v>11</v>
      </c>
      <c r="B496">
        <v>0</v>
      </c>
      <c r="C496">
        <v>-24</v>
      </c>
      <c r="D496">
        <v>-35</v>
      </c>
      <c r="E496">
        <v>11</v>
      </c>
      <c r="F496">
        <v>-5</v>
      </c>
      <c r="G496" t="s">
        <v>7</v>
      </c>
    </row>
    <row r="497" spans="1:7" x14ac:dyDescent="0.35">
      <c r="A497" t="s">
        <v>12</v>
      </c>
      <c r="B497">
        <v>-2</v>
      </c>
      <c r="C497">
        <v>-74</v>
      </c>
      <c r="D497">
        <v>-79</v>
      </c>
      <c r="E497">
        <v>5</v>
      </c>
      <c r="F497">
        <v>-2</v>
      </c>
      <c r="G497" t="s">
        <v>5</v>
      </c>
    </row>
    <row r="498" spans="1:7" x14ac:dyDescent="0.35">
      <c r="A498" t="s">
        <v>12</v>
      </c>
      <c r="B498">
        <v>9</v>
      </c>
      <c r="C498">
        <v>157</v>
      </c>
      <c r="D498">
        <v>90</v>
      </c>
      <c r="E498">
        <v>67</v>
      </c>
      <c r="F498">
        <v>-1</v>
      </c>
      <c r="G498" t="s">
        <v>7</v>
      </c>
    </row>
    <row r="499" spans="1:7" x14ac:dyDescent="0.35">
      <c r="A499" t="s">
        <v>11</v>
      </c>
      <c r="B499">
        <v>-1</v>
      </c>
      <c r="C499">
        <v>39</v>
      </c>
      <c r="D499">
        <v>31</v>
      </c>
      <c r="E499">
        <v>8</v>
      </c>
      <c r="F499">
        <v>1</v>
      </c>
      <c r="G499" t="s">
        <v>5</v>
      </c>
    </row>
    <row r="500" spans="1:7" x14ac:dyDescent="0.35">
      <c r="A500" t="s">
        <v>12</v>
      </c>
      <c r="B500">
        <v>-7</v>
      </c>
      <c r="C500">
        <v>-2</v>
      </c>
      <c r="D500">
        <v>-1</v>
      </c>
      <c r="E500">
        <v>-1</v>
      </c>
      <c r="F500">
        <v>0</v>
      </c>
      <c r="G500" t="s">
        <v>7</v>
      </c>
    </row>
    <row r="501" spans="1:7" x14ac:dyDescent="0.35">
      <c r="A501" t="s">
        <v>12</v>
      </c>
      <c r="B501">
        <v>-12</v>
      </c>
      <c r="C501">
        <v>-174</v>
      </c>
      <c r="D501">
        <v>-184</v>
      </c>
      <c r="E501">
        <v>10</v>
      </c>
      <c r="F501">
        <v>-1</v>
      </c>
      <c r="G501" t="s">
        <v>5</v>
      </c>
    </row>
    <row r="502" spans="1:7" x14ac:dyDescent="0.35">
      <c r="A502" t="s">
        <v>12</v>
      </c>
      <c r="B502">
        <v>14</v>
      </c>
      <c r="C502">
        <v>161</v>
      </c>
      <c r="D502">
        <v>-4</v>
      </c>
      <c r="E502">
        <v>165</v>
      </c>
      <c r="F502">
        <v>0</v>
      </c>
      <c r="G502" t="s">
        <v>7</v>
      </c>
    </row>
    <row r="503" spans="1:7" x14ac:dyDescent="0.35">
      <c r="A503" t="s">
        <v>12</v>
      </c>
      <c r="B503">
        <v>4</v>
      </c>
      <c r="C503">
        <v>24</v>
      </c>
      <c r="D503">
        <v>-39</v>
      </c>
      <c r="E503">
        <v>63</v>
      </c>
      <c r="F503">
        <v>0</v>
      </c>
      <c r="G503" t="s">
        <v>7</v>
      </c>
    </row>
    <row r="504" spans="1:7" x14ac:dyDescent="0.35">
      <c r="A504" t="s">
        <v>12</v>
      </c>
      <c r="B504">
        <v>-1</v>
      </c>
      <c r="C504">
        <v>66</v>
      </c>
      <c r="D504">
        <v>2</v>
      </c>
      <c r="E504">
        <v>64</v>
      </c>
      <c r="F504">
        <v>-2</v>
      </c>
      <c r="G504" t="s">
        <v>7</v>
      </c>
    </row>
    <row r="505" spans="1:7" x14ac:dyDescent="0.35">
      <c r="A505" t="s">
        <v>12</v>
      </c>
      <c r="B505">
        <v>7</v>
      </c>
      <c r="C505">
        <v>38</v>
      </c>
      <c r="D505">
        <v>-57</v>
      </c>
      <c r="E505">
        <v>95</v>
      </c>
      <c r="F505">
        <v>0</v>
      </c>
      <c r="G505" t="s">
        <v>7</v>
      </c>
    </row>
    <row r="506" spans="1:7" x14ac:dyDescent="0.35">
      <c r="A506" t="s">
        <v>11</v>
      </c>
      <c r="B506">
        <v>-5</v>
      </c>
      <c r="C506">
        <v>-176</v>
      </c>
      <c r="D506">
        <v>-277</v>
      </c>
      <c r="E506">
        <v>101</v>
      </c>
      <c r="F506">
        <v>0</v>
      </c>
      <c r="G506" t="s">
        <v>5</v>
      </c>
    </row>
    <row r="507" spans="1:7" x14ac:dyDescent="0.35">
      <c r="A507" t="s">
        <v>12</v>
      </c>
      <c r="B507">
        <v>-6</v>
      </c>
      <c r="C507">
        <v>-147</v>
      </c>
      <c r="D507">
        <v>-87</v>
      </c>
      <c r="E507">
        <v>-60</v>
      </c>
      <c r="F507">
        <v>-3</v>
      </c>
      <c r="G507" t="s">
        <v>5</v>
      </c>
    </row>
    <row r="508" spans="1:7" x14ac:dyDescent="0.35">
      <c r="A508" t="s">
        <v>11</v>
      </c>
      <c r="B508">
        <v>-2</v>
      </c>
      <c r="C508">
        <v>135</v>
      </c>
      <c r="D508">
        <v>115</v>
      </c>
      <c r="E508">
        <v>20</v>
      </c>
      <c r="F508">
        <v>-2</v>
      </c>
      <c r="G508" t="s">
        <v>7</v>
      </c>
    </row>
    <row r="509" spans="1:7" x14ac:dyDescent="0.35">
      <c r="A509" t="s">
        <v>11</v>
      </c>
      <c r="B509">
        <v>-8</v>
      </c>
      <c r="C509">
        <v>-218</v>
      </c>
      <c r="D509">
        <v>-142</v>
      </c>
      <c r="E509">
        <v>-76</v>
      </c>
      <c r="F509">
        <v>1</v>
      </c>
      <c r="G509" t="s">
        <v>5</v>
      </c>
    </row>
    <row r="510" spans="1:7" x14ac:dyDescent="0.35">
      <c r="A510" t="s">
        <v>12</v>
      </c>
      <c r="B510">
        <v>6</v>
      </c>
      <c r="C510">
        <v>-8</v>
      </c>
      <c r="D510">
        <v>-32</v>
      </c>
      <c r="E510">
        <v>24</v>
      </c>
      <c r="F510">
        <v>0</v>
      </c>
      <c r="G510" t="s">
        <v>7</v>
      </c>
    </row>
    <row r="511" spans="1:7" x14ac:dyDescent="0.35">
      <c r="A511" t="s">
        <v>11</v>
      </c>
      <c r="B511">
        <v>-2</v>
      </c>
      <c r="C511">
        <v>-186</v>
      </c>
      <c r="D511">
        <v>55</v>
      </c>
      <c r="E511">
        <v>-241</v>
      </c>
      <c r="F511">
        <v>1</v>
      </c>
      <c r="G511" t="s">
        <v>5</v>
      </c>
    </row>
    <row r="512" spans="1:7" x14ac:dyDescent="0.35">
      <c r="A512" t="s">
        <v>11</v>
      </c>
      <c r="B512">
        <v>-7</v>
      </c>
      <c r="C512">
        <v>-115</v>
      </c>
      <c r="D512">
        <v>-43</v>
      </c>
      <c r="E512">
        <v>-72</v>
      </c>
      <c r="F512">
        <v>1</v>
      </c>
      <c r="G512" t="s">
        <v>7</v>
      </c>
    </row>
    <row r="513" spans="1:7" x14ac:dyDescent="0.35">
      <c r="A513" t="s">
        <v>11</v>
      </c>
      <c r="B513">
        <v>-12</v>
      </c>
      <c r="C513">
        <v>-188</v>
      </c>
      <c r="D513">
        <v>-270</v>
      </c>
      <c r="E513">
        <v>82</v>
      </c>
      <c r="F513">
        <v>-3</v>
      </c>
      <c r="G513" t="s">
        <v>7</v>
      </c>
    </row>
    <row r="514" spans="1:7" x14ac:dyDescent="0.35">
      <c r="A514" t="s">
        <v>12</v>
      </c>
      <c r="B514">
        <v>1</v>
      </c>
      <c r="C514">
        <v>-39</v>
      </c>
      <c r="D514">
        <v>-31</v>
      </c>
      <c r="E514">
        <v>-8</v>
      </c>
      <c r="F514">
        <v>-1</v>
      </c>
      <c r="G514" t="s">
        <v>7</v>
      </c>
    </row>
    <row r="515" spans="1:7" x14ac:dyDescent="0.35">
      <c r="A515" t="s">
        <v>12</v>
      </c>
      <c r="B515">
        <v>4</v>
      </c>
      <c r="C515">
        <v>-100</v>
      </c>
      <c r="D515">
        <v>-156</v>
      </c>
      <c r="E515">
        <v>56</v>
      </c>
      <c r="F515">
        <v>0</v>
      </c>
      <c r="G515" t="s">
        <v>5</v>
      </c>
    </row>
    <row r="516" spans="1:7" x14ac:dyDescent="0.35">
      <c r="A516" t="s">
        <v>12</v>
      </c>
      <c r="B516">
        <v>3</v>
      </c>
      <c r="C516">
        <v>41</v>
      </c>
      <c r="D516">
        <v>42</v>
      </c>
      <c r="E516">
        <v>-1</v>
      </c>
      <c r="F516">
        <v>1</v>
      </c>
      <c r="G516" t="s">
        <v>5</v>
      </c>
    </row>
    <row r="517" spans="1:7" x14ac:dyDescent="0.35">
      <c r="A517" t="s">
        <v>11</v>
      </c>
      <c r="B517">
        <v>-16</v>
      </c>
      <c r="C517">
        <v>-163</v>
      </c>
      <c r="D517">
        <v>-118</v>
      </c>
      <c r="E517">
        <v>-45</v>
      </c>
      <c r="F517">
        <v>-1</v>
      </c>
      <c r="G517" t="s">
        <v>5</v>
      </c>
    </row>
    <row r="518" spans="1:7" x14ac:dyDescent="0.35">
      <c r="A518" t="s">
        <v>12</v>
      </c>
      <c r="B518">
        <v>-9</v>
      </c>
      <c r="C518">
        <v>-48</v>
      </c>
      <c r="D518">
        <v>-45</v>
      </c>
      <c r="E518">
        <v>-3</v>
      </c>
      <c r="F518">
        <v>-1</v>
      </c>
      <c r="G518" t="s">
        <v>7</v>
      </c>
    </row>
    <row r="519" spans="1:7" x14ac:dyDescent="0.35">
      <c r="A519" t="s">
        <v>12</v>
      </c>
      <c r="B519">
        <v>4</v>
      </c>
      <c r="C519">
        <v>30</v>
      </c>
      <c r="D519">
        <v>-106</v>
      </c>
      <c r="E519">
        <v>136</v>
      </c>
      <c r="F519">
        <v>0</v>
      </c>
      <c r="G519" t="s">
        <v>7</v>
      </c>
    </row>
    <row r="520" spans="1:7" x14ac:dyDescent="0.35">
      <c r="A520" t="s">
        <v>12</v>
      </c>
      <c r="B520">
        <v>15</v>
      </c>
      <c r="C520">
        <v>197</v>
      </c>
      <c r="D520">
        <v>108</v>
      </c>
      <c r="E520">
        <v>89</v>
      </c>
      <c r="F520">
        <v>3</v>
      </c>
      <c r="G520" t="s">
        <v>7</v>
      </c>
    </row>
    <row r="521" spans="1:7" x14ac:dyDescent="0.35">
      <c r="A521" t="s">
        <v>11</v>
      </c>
      <c r="B521">
        <v>13</v>
      </c>
      <c r="C521">
        <v>172</v>
      </c>
      <c r="D521">
        <v>79</v>
      </c>
      <c r="E521">
        <v>93</v>
      </c>
      <c r="F521">
        <v>1</v>
      </c>
      <c r="G521" t="s">
        <v>5</v>
      </c>
    </row>
    <row r="522" spans="1:7" x14ac:dyDescent="0.35">
      <c r="A522" t="s">
        <v>12</v>
      </c>
      <c r="B522">
        <v>-3</v>
      </c>
      <c r="C522">
        <v>-113</v>
      </c>
      <c r="D522">
        <v>-136</v>
      </c>
      <c r="E522">
        <v>23</v>
      </c>
      <c r="F522">
        <v>0</v>
      </c>
      <c r="G522" t="s">
        <v>5</v>
      </c>
    </row>
    <row r="523" spans="1:7" x14ac:dyDescent="0.35">
      <c r="A523" t="s">
        <v>11</v>
      </c>
      <c r="B523">
        <v>5</v>
      </c>
      <c r="C523">
        <v>144</v>
      </c>
      <c r="D523">
        <v>-14</v>
      </c>
      <c r="E523">
        <v>158</v>
      </c>
      <c r="F523">
        <v>0</v>
      </c>
      <c r="G523" t="s">
        <v>7</v>
      </c>
    </row>
    <row r="524" spans="1:7" x14ac:dyDescent="0.35">
      <c r="A524" t="s">
        <v>11</v>
      </c>
      <c r="B524">
        <v>1</v>
      </c>
      <c r="C524">
        <v>19</v>
      </c>
      <c r="D524">
        <v>19</v>
      </c>
      <c r="E524">
        <v>0</v>
      </c>
      <c r="F524">
        <v>-1</v>
      </c>
      <c r="G524" t="s">
        <v>7</v>
      </c>
    </row>
    <row r="525" spans="1:7" x14ac:dyDescent="0.35">
      <c r="A525" t="s">
        <v>11</v>
      </c>
      <c r="B525">
        <v>-10</v>
      </c>
      <c r="C525">
        <v>-70</v>
      </c>
      <c r="D525">
        <v>-91</v>
      </c>
      <c r="E525">
        <v>21</v>
      </c>
      <c r="F525">
        <v>-2</v>
      </c>
      <c r="G525" t="s">
        <v>7</v>
      </c>
    </row>
    <row r="526" spans="1:7" x14ac:dyDescent="0.35">
      <c r="A526" t="s">
        <v>11</v>
      </c>
      <c r="B526">
        <v>-3</v>
      </c>
      <c r="C526">
        <v>-18</v>
      </c>
      <c r="D526">
        <v>-67</v>
      </c>
      <c r="E526">
        <v>49</v>
      </c>
      <c r="F526">
        <v>-3</v>
      </c>
      <c r="G526" t="s">
        <v>7</v>
      </c>
    </row>
    <row r="527" spans="1:7" x14ac:dyDescent="0.35">
      <c r="A527" t="s">
        <v>11</v>
      </c>
      <c r="B527">
        <v>1</v>
      </c>
      <c r="C527">
        <v>169</v>
      </c>
      <c r="D527">
        <v>-14</v>
      </c>
      <c r="E527">
        <v>183</v>
      </c>
      <c r="F527">
        <v>-4</v>
      </c>
      <c r="G527" t="s">
        <v>7</v>
      </c>
    </row>
    <row r="528" spans="1:7" x14ac:dyDescent="0.35">
      <c r="A528" t="s">
        <v>11</v>
      </c>
      <c r="B528">
        <v>-14</v>
      </c>
      <c r="C528">
        <v>-230</v>
      </c>
      <c r="D528">
        <v>-262</v>
      </c>
      <c r="E528">
        <v>32</v>
      </c>
      <c r="F528">
        <v>-3</v>
      </c>
      <c r="G528" t="s">
        <v>7</v>
      </c>
    </row>
    <row r="529" spans="1:7" x14ac:dyDescent="0.35">
      <c r="A529" t="s">
        <v>12</v>
      </c>
      <c r="B529">
        <v>7</v>
      </c>
      <c r="C529">
        <v>120</v>
      </c>
      <c r="D529">
        <v>56</v>
      </c>
      <c r="E529">
        <v>64</v>
      </c>
      <c r="F529">
        <v>-1</v>
      </c>
      <c r="G529" t="s">
        <v>7</v>
      </c>
    </row>
    <row r="530" spans="1:7" x14ac:dyDescent="0.35">
      <c r="A530" t="s">
        <v>11</v>
      </c>
      <c r="B530">
        <v>-12</v>
      </c>
      <c r="C530">
        <v>-151</v>
      </c>
      <c r="D530">
        <v>-90</v>
      </c>
      <c r="E530">
        <v>-61</v>
      </c>
      <c r="F530">
        <v>-3</v>
      </c>
      <c r="G530" t="s">
        <v>7</v>
      </c>
    </row>
    <row r="531" spans="1:7" x14ac:dyDescent="0.35">
      <c r="A531" t="s">
        <v>12</v>
      </c>
      <c r="B531">
        <v>2</v>
      </c>
      <c r="C531">
        <v>-82</v>
      </c>
      <c r="D531">
        <v>-2</v>
      </c>
      <c r="E531">
        <v>-80</v>
      </c>
      <c r="F531">
        <v>0</v>
      </c>
      <c r="G531" t="s">
        <v>5</v>
      </c>
    </row>
    <row r="532" spans="1:7" x14ac:dyDescent="0.35">
      <c r="A532" t="s">
        <v>11</v>
      </c>
      <c r="B532">
        <v>2</v>
      </c>
      <c r="C532">
        <v>239</v>
      </c>
      <c r="D532">
        <v>212</v>
      </c>
      <c r="E532">
        <v>27</v>
      </c>
      <c r="F532">
        <v>0</v>
      </c>
      <c r="G532" t="s">
        <v>5</v>
      </c>
    </row>
    <row r="533" spans="1:7" x14ac:dyDescent="0.35">
      <c r="A533" t="s">
        <v>12</v>
      </c>
      <c r="B533">
        <v>6</v>
      </c>
      <c r="C533">
        <v>83</v>
      </c>
      <c r="D533">
        <v>-40</v>
      </c>
      <c r="E533">
        <v>123</v>
      </c>
      <c r="F533">
        <v>-1</v>
      </c>
      <c r="G533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J9" sqref="J9"/>
    </sheetView>
  </sheetViews>
  <sheetFormatPr defaultRowHeight="14.5" x14ac:dyDescent="0.35"/>
  <cols>
    <col min="1" max="1" width="14.6328125" customWidth="1"/>
  </cols>
  <sheetData>
    <row r="1" spans="1:5" x14ac:dyDescent="0.35">
      <c r="A1" s="2" t="s">
        <v>10</v>
      </c>
      <c r="B1" t="s">
        <v>28</v>
      </c>
      <c r="C1">
        <v>2</v>
      </c>
      <c r="D1" t="s">
        <v>12</v>
      </c>
      <c r="E1" t="s">
        <v>11</v>
      </c>
    </row>
    <row r="2" spans="1:5" x14ac:dyDescent="0.35">
      <c r="A2" s="2" t="s">
        <v>13</v>
      </c>
      <c r="B2" t="s">
        <v>29</v>
      </c>
      <c r="C2">
        <v>-19</v>
      </c>
      <c r="D2">
        <v>19</v>
      </c>
      <c r="E2" t="s">
        <v>30</v>
      </c>
    </row>
    <row r="3" spans="1:5" x14ac:dyDescent="0.35">
      <c r="A3" s="2" t="s">
        <v>14</v>
      </c>
      <c r="B3" t="s">
        <v>29</v>
      </c>
      <c r="C3">
        <v>-443</v>
      </c>
      <c r="D3">
        <v>443</v>
      </c>
      <c r="E3" t="s">
        <v>30</v>
      </c>
    </row>
    <row r="4" spans="1:5" ht="16.5" customHeight="1" x14ac:dyDescent="0.35">
      <c r="A4" s="2" t="s">
        <v>15</v>
      </c>
      <c r="B4" t="s">
        <v>29</v>
      </c>
      <c r="C4">
        <v>-293</v>
      </c>
      <c r="D4">
        <v>293</v>
      </c>
      <c r="E4" t="s">
        <v>30</v>
      </c>
    </row>
    <row r="5" spans="1:5" x14ac:dyDescent="0.35">
      <c r="A5" s="2" t="s">
        <v>16</v>
      </c>
      <c r="B5" t="s">
        <v>29</v>
      </c>
      <c r="C5">
        <v>-263</v>
      </c>
      <c r="D5">
        <v>263</v>
      </c>
      <c r="E5" t="s">
        <v>30</v>
      </c>
    </row>
    <row r="6" spans="1:5" x14ac:dyDescent="0.35">
      <c r="A6" s="2" t="s">
        <v>17</v>
      </c>
      <c r="B6" t="s">
        <v>29</v>
      </c>
      <c r="C6">
        <v>-6</v>
      </c>
      <c r="D6">
        <v>6</v>
      </c>
      <c r="E6" t="s">
        <v>30</v>
      </c>
    </row>
    <row r="7" spans="1:5" x14ac:dyDescent="0.35">
      <c r="A7" s="2" t="s">
        <v>9</v>
      </c>
      <c r="B7" t="s">
        <v>28</v>
      </c>
      <c r="C7">
        <v>2</v>
      </c>
      <c r="D7" t="s">
        <v>7</v>
      </c>
      <c r="E7" t="s">
        <v>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7"/>
  <sheetViews>
    <sheetView workbookViewId="0">
      <selection activeCell="G10" sqref="G10"/>
    </sheetView>
  </sheetViews>
  <sheetFormatPr defaultRowHeight="14.5" x14ac:dyDescent="0.35"/>
  <sheetData>
    <row r="1" spans="1:7" x14ac:dyDescent="0.35">
      <c r="A1" t="s">
        <v>12</v>
      </c>
      <c r="B1">
        <v>9</v>
      </c>
      <c r="C1">
        <v>259</v>
      </c>
      <c r="D1">
        <v>125</v>
      </c>
      <c r="E1">
        <v>134</v>
      </c>
      <c r="F1">
        <v>-2</v>
      </c>
      <c r="G1" t="s">
        <v>7</v>
      </c>
    </row>
    <row r="2" spans="1:7" x14ac:dyDescent="0.35">
      <c r="A2" t="s">
        <v>11</v>
      </c>
      <c r="B2">
        <v>-4</v>
      </c>
      <c r="C2">
        <v>-151</v>
      </c>
      <c r="D2">
        <v>-158</v>
      </c>
      <c r="E2">
        <v>7</v>
      </c>
      <c r="F2">
        <v>1</v>
      </c>
      <c r="G2" t="s">
        <v>5</v>
      </c>
    </row>
    <row r="3" spans="1:7" x14ac:dyDescent="0.35">
      <c r="A3" t="s">
        <v>12</v>
      </c>
      <c r="B3">
        <v>15</v>
      </c>
      <c r="C3">
        <v>276</v>
      </c>
      <c r="D3">
        <v>244</v>
      </c>
      <c r="E3">
        <v>32</v>
      </c>
      <c r="F3">
        <v>1</v>
      </c>
      <c r="G3" t="s">
        <v>7</v>
      </c>
    </row>
    <row r="4" spans="1:7" x14ac:dyDescent="0.35">
      <c r="A4" t="s">
        <v>11</v>
      </c>
      <c r="B4">
        <v>-2</v>
      </c>
      <c r="C4">
        <v>-74</v>
      </c>
      <c r="D4">
        <v>-28</v>
      </c>
      <c r="E4">
        <v>-46</v>
      </c>
      <c r="F4">
        <v>0</v>
      </c>
      <c r="G4" t="s">
        <v>5</v>
      </c>
    </row>
    <row r="5" spans="1:7" x14ac:dyDescent="0.35">
      <c r="A5" t="s">
        <v>11</v>
      </c>
      <c r="B5">
        <v>9</v>
      </c>
      <c r="C5">
        <v>157</v>
      </c>
      <c r="D5">
        <v>105</v>
      </c>
      <c r="E5">
        <v>52</v>
      </c>
      <c r="F5">
        <v>-3</v>
      </c>
      <c r="G5" t="s">
        <v>7</v>
      </c>
    </row>
    <row r="6" spans="1:7" x14ac:dyDescent="0.35">
      <c r="A6" t="s">
        <v>12</v>
      </c>
      <c r="B6">
        <v>8</v>
      </c>
      <c r="C6">
        <v>247</v>
      </c>
      <c r="D6">
        <v>11</v>
      </c>
      <c r="E6">
        <v>236</v>
      </c>
      <c r="F6">
        <v>0</v>
      </c>
      <c r="G6" t="s">
        <v>7</v>
      </c>
    </row>
    <row r="7" spans="1:7" x14ac:dyDescent="0.35">
      <c r="A7" t="s">
        <v>11</v>
      </c>
      <c r="B7">
        <v>-9</v>
      </c>
      <c r="C7">
        <v>-136</v>
      </c>
      <c r="D7">
        <v>-4</v>
      </c>
      <c r="E7">
        <v>-132</v>
      </c>
      <c r="F7">
        <v>0</v>
      </c>
      <c r="G7" t="s">
        <v>5</v>
      </c>
    </row>
    <row r="8" spans="1:7" x14ac:dyDescent="0.35">
      <c r="A8" t="s">
        <v>12</v>
      </c>
      <c r="B8">
        <v>3</v>
      </c>
      <c r="C8">
        <v>96</v>
      </c>
      <c r="D8">
        <v>128</v>
      </c>
      <c r="E8">
        <v>-32</v>
      </c>
      <c r="F8">
        <v>0</v>
      </c>
      <c r="G8" t="s">
        <v>7</v>
      </c>
    </row>
    <row r="9" spans="1:7" x14ac:dyDescent="0.35">
      <c r="A9" t="s">
        <v>11</v>
      </c>
      <c r="B9">
        <v>7</v>
      </c>
      <c r="C9">
        <v>2</v>
      </c>
      <c r="D9">
        <v>1</v>
      </c>
      <c r="E9">
        <v>1</v>
      </c>
      <c r="F9">
        <v>0</v>
      </c>
      <c r="G9" t="s">
        <v>5</v>
      </c>
    </row>
    <row r="10" spans="1:7" x14ac:dyDescent="0.35">
      <c r="A10" t="s">
        <v>12</v>
      </c>
      <c r="B10">
        <v>3</v>
      </c>
      <c r="C10">
        <v>6</v>
      </c>
      <c r="D10">
        <v>24</v>
      </c>
      <c r="E10">
        <v>-18</v>
      </c>
      <c r="F10">
        <v>0</v>
      </c>
      <c r="G10" t="s">
        <v>7</v>
      </c>
    </row>
    <row r="11" spans="1:7" x14ac:dyDescent="0.35">
      <c r="A11" t="s">
        <v>11</v>
      </c>
      <c r="B11">
        <v>-14</v>
      </c>
      <c r="C11">
        <v>-10</v>
      </c>
      <c r="D11">
        <v>27</v>
      </c>
      <c r="E11">
        <v>-37</v>
      </c>
      <c r="F11">
        <v>0</v>
      </c>
      <c r="G11" t="s">
        <v>5</v>
      </c>
    </row>
    <row r="12" spans="1:7" x14ac:dyDescent="0.35">
      <c r="A12" t="s">
        <v>12</v>
      </c>
      <c r="B12">
        <v>-10</v>
      </c>
      <c r="C12">
        <v>-197</v>
      </c>
      <c r="D12">
        <v>-235</v>
      </c>
      <c r="E12">
        <v>38</v>
      </c>
      <c r="F12">
        <v>-2</v>
      </c>
      <c r="G12" t="s">
        <v>7</v>
      </c>
    </row>
    <row r="13" spans="1:7" x14ac:dyDescent="0.35">
      <c r="A13" t="s">
        <v>11</v>
      </c>
      <c r="B13">
        <v>5</v>
      </c>
      <c r="C13">
        <v>166</v>
      </c>
      <c r="D13">
        <v>30</v>
      </c>
      <c r="E13">
        <v>136</v>
      </c>
      <c r="F13">
        <v>-1</v>
      </c>
      <c r="G13" t="s">
        <v>7</v>
      </c>
    </row>
    <row r="14" spans="1:7" x14ac:dyDescent="0.35">
      <c r="A14" t="s">
        <v>11</v>
      </c>
      <c r="B14">
        <v>-2</v>
      </c>
      <c r="C14">
        <v>-47</v>
      </c>
      <c r="D14">
        <v>-15</v>
      </c>
      <c r="E14">
        <v>-32</v>
      </c>
      <c r="F14">
        <v>2</v>
      </c>
      <c r="G14" t="s">
        <v>5</v>
      </c>
    </row>
    <row r="15" spans="1:7" x14ac:dyDescent="0.35">
      <c r="A15" t="s">
        <v>12</v>
      </c>
      <c r="B15">
        <v>3</v>
      </c>
      <c r="C15">
        <v>31</v>
      </c>
      <c r="D15">
        <v>-11</v>
      </c>
      <c r="E15">
        <v>42</v>
      </c>
      <c r="F15">
        <v>-5</v>
      </c>
      <c r="G15" t="s">
        <v>7</v>
      </c>
    </row>
    <row r="16" spans="1:7" x14ac:dyDescent="0.35">
      <c r="A16" t="s">
        <v>12</v>
      </c>
      <c r="B16">
        <v>-2</v>
      </c>
      <c r="C16">
        <v>-85</v>
      </c>
      <c r="D16">
        <v>-42</v>
      </c>
      <c r="E16">
        <v>-43</v>
      </c>
      <c r="F16">
        <v>0</v>
      </c>
      <c r="G16" t="s">
        <v>7</v>
      </c>
    </row>
    <row r="17" spans="1:7" x14ac:dyDescent="0.35">
      <c r="A17" t="s">
        <v>12</v>
      </c>
      <c r="B17">
        <v>3</v>
      </c>
      <c r="C17">
        <v>13</v>
      </c>
      <c r="D17">
        <v>-40</v>
      </c>
      <c r="E17">
        <v>53</v>
      </c>
      <c r="F17">
        <v>-2</v>
      </c>
      <c r="G17" t="s">
        <v>7</v>
      </c>
    </row>
    <row r="18" spans="1:7" x14ac:dyDescent="0.35">
      <c r="A18" t="s">
        <v>12</v>
      </c>
      <c r="B18">
        <v>10</v>
      </c>
      <c r="C18">
        <v>70</v>
      </c>
      <c r="D18">
        <v>91</v>
      </c>
      <c r="E18">
        <v>-21</v>
      </c>
      <c r="F18">
        <v>2</v>
      </c>
      <c r="G18" t="s">
        <v>5</v>
      </c>
    </row>
    <row r="19" spans="1:7" x14ac:dyDescent="0.35">
      <c r="A19" t="s">
        <v>12</v>
      </c>
      <c r="B19">
        <v>-1</v>
      </c>
      <c r="C19">
        <v>-169</v>
      </c>
      <c r="D19">
        <v>14</v>
      </c>
      <c r="E19">
        <v>-183</v>
      </c>
      <c r="F19">
        <v>4</v>
      </c>
      <c r="G19" t="s">
        <v>5</v>
      </c>
    </row>
    <row r="20" spans="1:7" x14ac:dyDescent="0.35">
      <c r="A20" t="s">
        <v>12</v>
      </c>
      <c r="B20">
        <v>-11</v>
      </c>
      <c r="C20">
        <v>-157</v>
      </c>
      <c r="D20">
        <v>-150</v>
      </c>
      <c r="E20">
        <v>-7</v>
      </c>
      <c r="F20">
        <v>1</v>
      </c>
      <c r="G20" t="s">
        <v>5</v>
      </c>
    </row>
    <row r="21" spans="1:7" x14ac:dyDescent="0.35">
      <c r="A21" t="s">
        <v>11</v>
      </c>
      <c r="B21">
        <v>1</v>
      </c>
      <c r="C21">
        <v>23</v>
      </c>
      <c r="D21">
        <v>104</v>
      </c>
      <c r="E21">
        <v>-81</v>
      </c>
      <c r="F21">
        <v>2</v>
      </c>
      <c r="G21" t="s">
        <v>5</v>
      </c>
    </row>
    <row r="22" spans="1:7" x14ac:dyDescent="0.35">
      <c r="A22" t="s">
        <v>12</v>
      </c>
      <c r="B22">
        <v>-2</v>
      </c>
      <c r="C22">
        <v>-48</v>
      </c>
      <c r="D22">
        <v>-34</v>
      </c>
      <c r="E22">
        <v>-14</v>
      </c>
      <c r="F22">
        <v>0</v>
      </c>
      <c r="G22" t="s">
        <v>5</v>
      </c>
    </row>
    <row r="23" spans="1:7" x14ac:dyDescent="0.35">
      <c r="A23" t="s">
        <v>12</v>
      </c>
      <c r="B23">
        <v>7</v>
      </c>
      <c r="C23">
        <v>119</v>
      </c>
      <c r="D23">
        <v>45</v>
      </c>
      <c r="E23">
        <v>74</v>
      </c>
      <c r="F23">
        <v>-3</v>
      </c>
      <c r="G23" t="s">
        <v>7</v>
      </c>
    </row>
    <row r="24" spans="1:7" x14ac:dyDescent="0.35">
      <c r="A24" t="s">
        <v>12</v>
      </c>
      <c r="B24">
        <v>4</v>
      </c>
      <c r="C24">
        <v>63</v>
      </c>
      <c r="D24">
        <v>124</v>
      </c>
      <c r="E24">
        <v>-61</v>
      </c>
      <c r="F24">
        <v>1</v>
      </c>
      <c r="G24" t="s">
        <v>5</v>
      </c>
    </row>
    <row r="25" spans="1:7" x14ac:dyDescent="0.35">
      <c r="A25" t="s">
        <v>11</v>
      </c>
      <c r="B25">
        <v>9</v>
      </c>
      <c r="C25">
        <v>50</v>
      </c>
      <c r="D25">
        <v>-24</v>
      </c>
      <c r="E25">
        <v>74</v>
      </c>
      <c r="F25">
        <v>-3</v>
      </c>
      <c r="G25" t="s">
        <v>7</v>
      </c>
    </row>
    <row r="26" spans="1:7" x14ac:dyDescent="0.35">
      <c r="A26" t="s">
        <v>12</v>
      </c>
      <c r="B26">
        <v>-1</v>
      </c>
      <c r="C26">
        <v>35</v>
      </c>
      <c r="D26">
        <v>138</v>
      </c>
      <c r="E26">
        <v>-103</v>
      </c>
      <c r="F26">
        <v>1</v>
      </c>
      <c r="G26" t="s">
        <v>5</v>
      </c>
    </row>
    <row r="27" spans="1:7" x14ac:dyDescent="0.35">
      <c r="A27" t="s">
        <v>12</v>
      </c>
      <c r="B27">
        <v>-13</v>
      </c>
      <c r="C27">
        <v>-255</v>
      </c>
      <c r="D27">
        <v>-21</v>
      </c>
      <c r="E27">
        <v>-234</v>
      </c>
      <c r="F27">
        <v>0</v>
      </c>
      <c r="G27" t="s">
        <v>5</v>
      </c>
    </row>
    <row r="28" spans="1:7" x14ac:dyDescent="0.35">
      <c r="A28" t="s">
        <v>11</v>
      </c>
      <c r="B28">
        <v>13</v>
      </c>
      <c r="C28">
        <v>255</v>
      </c>
      <c r="D28">
        <v>21</v>
      </c>
      <c r="E28">
        <v>234</v>
      </c>
      <c r="F28">
        <v>0</v>
      </c>
      <c r="G28" t="s">
        <v>7</v>
      </c>
    </row>
    <row r="29" spans="1:7" x14ac:dyDescent="0.35">
      <c r="A29" t="s">
        <v>12</v>
      </c>
      <c r="B29">
        <v>5</v>
      </c>
      <c r="C29">
        <v>136</v>
      </c>
      <c r="D29">
        <v>78</v>
      </c>
      <c r="E29">
        <v>58</v>
      </c>
      <c r="F29">
        <v>0</v>
      </c>
      <c r="G29" t="s">
        <v>7</v>
      </c>
    </row>
    <row r="30" spans="1:7" x14ac:dyDescent="0.35">
      <c r="A30" t="s">
        <v>12</v>
      </c>
      <c r="B30">
        <v>-7</v>
      </c>
      <c r="C30">
        <v>-197</v>
      </c>
      <c r="D30">
        <v>-243</v>
      </c>
      <c r="E30">
        <v>46</v>
      </c>
      <c r="F30">
        <v>-1</v>
      </c>
      <c r="G30" t="s">
        <v>5</v>
      </c>
    </row>
    <row r="31" spans="1:7" x14ac:dyDescent="0.35">
      <c r="A31" t="s">
        <v>11</v>
      </c>
      <c r="B31">
        <v>-9</v>
      </c>
      <c r="C31">
        <v>-219</v>
      </c>
      <c r="D31">
        <v>-110</v>
      </c>
      <c r="E31">
        <v>-109</v>
      </c>
      <c r="F31">
        <v>0</v>
      </c>
      <c r="G31" t="s">
        <v>5</v>
      </c>
    </row>
    <row r="32" spans="1:7" x14ac:dyDescent="0.35">
      <c r="A32" t="s">
        <v>11</v>
      </c>
      <c r="B32">
        <v>3</v>
      </c>
      <c r="C32">
        <v>-79</v>
      </c>
      <c r="D32">
        <v>-182</v>
      </c>
      <c r="E32">
        <v>103</v>
      </c>
      <c r="F32">
        <v>-1</v>
      </c>
      <c r="G32" t="s">
        <v>7</v>
      </c>
    </row>
    <row r="33" spans="1:7" x14ac:dyDescent="0.35">
      <c r="A33" t="s">
        <v>12</v>
      </c>
      <c r="B33">
        <v>7</v>
      </c>
      <c r="C33">
        <v>90</v>
      </c>
      <c r="D33">
        <v>-50</v>
      </c>
      <c r="E33">
        <v>140</v>
      </c>
      <c r="F33">
        <v>-1</v>
      </c>
      <c r="G33" t="s">
        <v>7</v>
      </c>
    </row>
    <row r="34" spans="1:7" x14ac:dyDescent="0.35">
      <c r="A34" t="s">
        <v>12</v>
      </c>
      <c r="B34">
        <v>-2</v>
      </c>
      <c r="C34">
        <v>51</v>
      </c>
      <c r="D34">
        <v>114</v>
      </c>
      <c r="E34">
        <v>-63</v>
      </c>
      <c r="F34">
        <v>0</v>
      </c>
      <c r="G34" t="s">
        <v>7</v>
      </c>
    </row>
    <row r="35" spans="1:7" x14ac:dyDescent="0.35">
      <c r="A35" t="s">
        <v>12</v>
      </c>
      <c r="B35">
        <v>-10</v>
      </c>
      <c r="C35">
        <v>-169</v>
      </c>
      <c r="D35">
        <v>-176</v>
      </c>
      <c r="E35">
        <v>7</v>
      </c>
      <c r="F35">
        <v>5</v>
      </c>
      <c r="G35" t="s">
        <v>5</v>
      </c>
    </row>
    <row r="36" spans="1:7" x14ac:dyDescent="0.35">
      <c r="A36" t="s">
        <v>12</v>
      </c>
      <c r="B36">
        <v>-2</v>
      </c>
      <c r="C36">
        <v>-1</v>
      </c>
      <c r="D36">
        <v>-11</v>
      </c>
      <c r="E36">
        <v>10</v>
      </c>
      <c r="F36">
        <v>-1</v>
      </c>
      <c r="G36" t="s">
        <v>7</v>
      </c>
    </row>
    <row r="37" spans="1:7" x14ac:dyDescent="0.35">
      <c r="A37" t="s">
        <v>12</v>
      </c>
      <c r="B37">
        <v>15</v>
      </c>
      <c r="C37">
        <v>157</v>
      </c>
      <c r="D37">
        <v>31</v>
      </c>
      <c r="E37">
        <v>126</v>
      </c>
      <c r="F37">
        <v>1</v>
      </c>
      <c r="G37" t="s">
        <v>5</v>
      </c>
    </row>
    <row r="38" spans="1:7" x14ac:dyDescent="0.35">
      <c r="A38" t="s">
        <v>12</v>
      </c>
      <c r="B38">
        <v>-3</v>
      </c>
      <c r="C38">
        <v>-45</v>
      </c>
      <c r="D38">
        <v>-2</v>
      </c>
      <c r="E38">
        <v>-43</v>
      </c>
      <c r="F38">
        <v>-2</v>
      </c>
      <c r="G38" t="s">
        <v>5</v>
      </c>
    </row>
    <row r="39" spans="1:7" x14ac:dyDescent="0.35">
      <c r="A39" t="s">
        <v>11</v>
      </c>
      <c r="B39">
        <v>-8</v>
      </c>
      <c r="C39">
        <v>40</v>
      </c>
      <c r="D39">
        <v>-21</v>
      </c>
      <c r="E39">
        <v>61</v>
      </c>
      <c r="F39">
        <v>-2</v>
      </c>
      <c r="G39" t="s">
        <v>7</v>
      </c>
    </row>
    <row r="40" spans="1:7" x14ac:dyDescent="0.35">
      <c r="A40" t="s">
        <v>12</v>
      </c>
      <c r="B40">
        <v>16</v>
      </c>
      <c r="C40">
        <v>209</v>
      </c>
      <c r="D40">
        <v>125</v>
      </c>
      <c r="E40">
        <v>84</v>
      </c>
      <c r="F40">
        <v>-1</v>
      </c>
      <c r="G40" t="s">
        <v>7</v>
      </c>
    </row>
    <row r="41" spans="1:7" x14ac:dyDescent="0.35">
      <c r="A41" t="s">
        <v>12</v>
      </c>
      <c r="B41">
        <v>2</v>
      </c>
      <c r="C41">
        <v>-8</v>
      </c>
      <c r="D41">
        <v>30</v>
      </c>
      <c r="E41">
        <v>-38</v>
      </c>
      <c r="F41">
        <v>-1</v>
      </c>
      <c r="G41" t="s">
        <v>7</v>
      </c>
    </row>
    <row r="42" spans="1:7" x14ac:dyDescent="0.35">
      <c r="A42" t="s">
        <v>12</v>
      </c>
      <c r="B42">
        <v>-5</v>
      </c>
      <c r="C42">
        <v>-46</v>
      </c>
      <c r="D42">
        <v>-58</v>
      </c>
      <c r="E42">
        <v>12</v>
      </c>
      <c r="F42">
        <v>0</v>
      </c>
      <c r="G42" t="s">
        <v>5</v>
      </c>
    </row>
    <row r="43" spans="1:7" x14ac:dyDescent="0.35">
      <c r="A43" t="s">
        <v>11</v>
      </c>
      <c r="B43">
        <v>-4</v>
      </c>
      <c r="C43">
        <v>-30</v>
      </c>
      <c r="D43">
        <v>106</v>
      </c>
      <c r="E43">
        <v>-136</v>
      </c>
      <c r="F43">
        <v>0</v>
      </c>
      <c r="G43" t="s">
        <v>5</v>
      </c>
    </row>
    <row r="44" spans="1:7" x14ac:dyDescent="0.35">
      <c r="A44" t="s">
        <v>12</v>
      </c>
      <c r="B44">
        <v>0</v>
      </c>
      <c r="C44">
        <v>-54</v>
      </c>
      <c r="D44">
        <v>88</v>
      </c>
      <c r="E44">
        <v>-142</v>
      </c>
      <c r="F44">
        <v>3</v>
      </c>
      <c r="G44" t="s">
        <v>5</v>
      </c>
    </row>
    <row r="45" spans="1:7" x14ac:dyDescent="0.35">
      <c r="A45" t="s">
        <v>11</v>
      </c>
      <c r="B45">
        <v>5</v>
      </c>
      <c r="C45">
        <v>160</v>
      </c>
      <c r="D45">
        <v>258</v>
      </c>
      <c r="E45">
        <v>-98</v>
      </c>
      <c r="F45">
        <v>-1</v>
      </c>
      <c r="G45" t="s">
        <v>7</v>
      </c>
    </row>
    <row r="46" spans="1:7" x14ac:dyDescent="0.35">
      <c r="A46" t="s">
        <v>11</v>
      </c>
      <c r="B46">
        <v>8</v>
      </c>
      <c r="C46">
        <v>164</v>
      </c>
      <c r="D46">
        <v>94</v>
      </c>
      <c r="E46">
        <v>70</v>
      </c>
      <c r="F46">
        <v>1</v>
      </c>
      <c r="G46" t="s">
        <v>7</v>
      </c>
    </row>
    <row r="47" spans="1:7" x14ac:dyDescent="0.35">
      <c r="A47" t="s">
        <v>12</v>
      </c>
      <c r="B47">
        <v>8</v>
      </c>
      <c r="C47">
        <v>81</v>
      </c>
      <c r="D47">
        <v>-154</v>
      </c>
      <c r="E47">
        <v>235</v>
      </c>
      <c r="F47">
        <v>1</v>
      </c>
      <c r="G47" t="s">
        <v>7</v>
      </c>
    </row>
    <row r="48" spans="1:7" x14ac:dyDescent="0.35">
      <c r="A48" t="s">
        <v>12</v>
      </c>
      <c r="B48">
        <v>1</v>
      </c>
      <c r="C48">
        <v>52</v>
      </c>
      <c r="D48">
        <v>-22</v>
      </c>
      <c r="E48">
        <v>74</v>
      </c>
      <c r="F48">
        <v>-1</v>
      </c>
      <c r="G48" t="s">
        <v>7</v>
      </c>
    </row>
    <row r="49" spans="1:7" x14ac:dyDescent="0.35">
      <c r="A49" t="s">
        <v>12</v>
      </c>
      <c r="B49">
        <v>9</v>
      </c>
      <c r="C49">
        <v>136</v>
      </c>
      <c r="D49">
        <v>4</v>
      </c>
      <c r="E49">
        <v>132</v>
      </c>
      <c r="F49">
        <v>0</v>
      </c>
      <c r="G49" t="s">
        <v>7</v>
      </c>
    </row>
    <row r="50" spans="1:7" x14ac:dyDescent="0.35">
      <c r="A50" t="s">
        <v>11</v>
      </c>
      <c r="B50">
        <v>1</v>
      </c>
      <c r="C50">
        <v>-57</v>
      </c>
      <c r="D50">
        <v>-11</v>
      </c>
      <c r="E50">
        <v>-46</v>
      </c>
      <c r="F50">
        <v>4</v>
      </c>
      <c r="G50" t="s">
        <v>5</v>
      </c>
    </row>
    <row r="51" spans="1:7" x14ac:dyDescent="0.35">
      <c r="A51" t="s">
        <v>12</v>
      </c>
      <c r="B51">
        <v>-8</v>
      </c>
      <c r="C51">
        <v>-127</v>
      </c>
      <c r="D51">
        <v>-178</v>
      </c>
      <c r="E51">
        <v>51</v>
      </c>
      <c r="F51">
        <v>0</v>
      </c>
      <c r="G51" t="s">
        <v>5</v>
      </c>
    </row>
    <row r="52" spans="1:7" x14ac:dyDescent="0.35">
      <c r="A52" t="s">
        <v>12</v>
      </c>
      <c r="B52">
        <v>-14</v>
      </c>
      <c r="C52">
        <v>-240</v>
      </c>
      <c r="D52">
        <v>-54</v>
      </c>
      <c r="E52">
        <v>-186</v>
      </c>
      <c r="F52">
        <v>0</v>
      </c>
      <c r="G52" t="s">
        <v>5</v>
      </c>
    </row>
    <row r="53" spans="1:7" x14ac:dyDescent="0.35">
      <c r="A53" t="s">
        <v>11</v>
      </c>
      <c r="B53">
        <v>-8</v>
      </c>
      <c r="C53">
        <v>-110</v>
      </c>
      <c r="D53">
        <v>-1</v>
      </c>
      <c r="E53">
        <v>-109</v>
      </c>
      <c r="F53">
        <v>2</v>
      </c>
      <c r="G53" t="s">
        <v>5</v>
      </c>
    </row>
    <row r="54" spans="1:7" x14ac:dyDescent="0.35">
      <c r="A54" t="s">
        <v>12</v>
      </c>
      <c r="B54">
        <v>-8</v>
      </c>
      <c r="C54">
        <v>-63</v>
      </c>
      <c r="D54">
        <v>-7</v>
      </c>
      <c r="E54">
        <v>-56</v>
      </c>
      <c r="F54">
        <v>0</v>
      </c>
      <c r="G54" t="s">
        <v>5</v>
      </c>
    </row>
    <row r="55" spans="1:7" x14ac:dyDescent="0.35">
      <c r="A55" t="s">
        <v>11</v>
      </c>
      <c r="B55">
        <v>2</v>
      </c>
      <c r="C55">
        <v>74</v>
      </c>
      <c r="D55">
        <v>79</v>
      </c>
      <c r="E55">
        <v>-5</v>
      </c>
      <c r="F55">
        <v>2</v>
      </c>
      <c r="G55" t="s">
        <v>7</v>
      </c>
    </row>
    <row r="56" spans="1:7" x14ac:dyDescent="0.35">
      <c r="A56" t="s">
        <v>11</v>
      </c>
      <c r="B56">
        <v>-4</v>
      </c>
      <c r="C56">
        <v>-123</v>
      </c>
      <c r="D56">
        <v>-73</v>
      </c>
      <c r="E56">
        <v>-50</v>
      </c>
      <c r="F56">
        <v>2</v>
      </c>
      <c r="G56" t="s">
        <v>5</v>
      </c>
    </row>
    <row r="57" spans="1:7" x14ac:dyDescent="0.35">
      <c r="A57" t="s">
        <v>11</v>
      </c>
      <c r="B57">
        <v>-6</v>
      </c>
      <c r="C57">
        <v>-71</v>
      </c>
      <c r="D57">
        <v>-32</v>
      </c>
      <c r="E57">
        <v>-39</v>
      </c>
      <c r="F57">
        <v>-1</v>
      </c>
      <c r="G57" t="s">
        <v>7</v>
      </c>
    </row>
    <row r="58" spans="1:7" x14ac:dyDescent="0.35">
      <c r="A58" t="s">
        <v>11</v>
      </c>
      <c r="B58">
        <v>-17</v>
      </c>
      <c r="C58">
        <v>-214</v>
      </c>
      <c r="D58">
        <v>-152</v>
      </c>
      <c r="E58">
        <v>-62</v>
      </c>
      <c r="F58">
        <v>2</v>
      </c>
      <c r="G58" t="s">
        <v>5</v>
      </c>
    </row>
    <row r="59" spans="1:7" x14ac:dyDescent="0.35">
      <c r="A59" t="s">
        <v>12</v>
      </c>
      <c r="B59">
        <v>-13</v>
      </c>
      <c r="C59">
        <v>-172</v>
      </c>
      <c r="D59">
        <v>-79</v>
      </c>
      <c r="E59">
        <v>-93</v>
      </c>
      <c r="F59">
        <v>-1</v>
      </c>
      <c r="G59" t="s">
        <v>7</v>
      </c>
    </row>
    <row r="60" spans="1:7" x14ac:dyDescent="0.35">
      <c r="A60" t="s">
        <v>11</v>
      </c>
      <c r="B60">
        <v>-6</v>
      </c>
      <c r="C60">
        <v>-38</v>
      </c>
      <c r="D60">
        <v>93</v>
      </c>
      <c r="E60">
        <v>-131</v>
      </c>
      <c r="F60">
        <v>3</v>
      </c>
      <c r="G60" t="s">
        <v>5</v>
      </c>
    </row>
    <row r="61" spans="1:7" x14ac:dyDescent="0.35">
      <c r="A61" t="s">
        <v>11</v>
      </c>
      <c r="B61">
        <v>-3</v>
      </c>
      <c r="C61">
        <v>-13</v>
      </c>
      <c r="D61">
        <v>40</v>
      </c>
      <c r="E61">
        <v>-53</v>
      </c>
      <c r="F61">
        <v>2</v>
      </c>
      <c r="G61" t="s">
        <v>5</v>
      </c>
    </row>
    <row r="62" spans="1:7" x14ac:dyDescent="0.35">
      <c r="A62" t="s">
        <v>11</v>
      </c>
      <c r="B62">
        <v>-6</v>
      </c>
      <c r="C62">
        <v>-25</v>
      </c>
      <c r="D62">
        <v>-30</v>
      </c>
      <c r="E62">
        <v>5</v>
      </c>
      <c r="F62">
        <v>0</v>
      </c>
      <c r="G62" t="s">
        <v>5</v>
      </c>
    </row>
    <row r="63" spans="1:7" x14ac:dyDescent="0.35">
      <c r="A63" t="s">
        <v>12</v>
      </c>
      <c r="B63">
        <v>-2</v>
      </c>
      <c r="C63">
        <v>24</v>
      </c>
      <c r="D63">
        <v>86</v>
      </c>
      <c r="E63">
        <v>-62</v>
      </c>
      <c r="F63">
        <v>-2</v>
      </c>
      <c r="G63" t="s">
        <v>7</v>
      </c>
    </row>
    <row r="64" spans="1:7" x14ac:dyDescent="0.35">
      <c r="A64" t="s">
        <v>11</v>
      </c>
      <c r="B64">
        <v>-4</v>
      </c>
      <c r="C64">
        <v>-23</v>
      </c>
      <c r="D64">
        <v>21</v>
      </c>
      <c r="E64">
        <v>-44</v>
      </c>
      <c r="F64">
        <v>-2</v>
      </c>
      <c r="G64" t="s">
        <v>7</v>
      </c>
    </row>
    <row r="65" spans="1:7" x14ac:dyDescent="0.35">
      <c r="A65" t="s">
        <v>11</v>
      </c>
      <c r="B65">
        <v>-4</v>
      </c>
      <c r="C65">
        <v>-140</v>
      </c>
      <c r="D65">
        <v>-200</v>
      </c>
      <c r="E65">
        <v>60</v>
      </c>
      <c r="F65">
        <v>0</v>
      </c>
      <c r="G65" t="s">
        <v>5</v>
      </c>
    </row>
    <row r="66" spans="1:7" x14ac:dyDescent="0.35">
      <c r="A66" t="s">
        <v>11</v>
      </c>
      <c r="B66">
        <v>4</v>
      </c>
      <c r="C66">
        <v>158</v>
      </c>
      <c r="D66">
        <v>86</v>
      </c>
      <c r="E66">
        <v>72</v>
      </c>
      <c r="F66">
        <v>-1</v>
      </c>
      <c r="G66" t="s">
        <v>7</v>
      </c>
    </row>
    <row r="67" spans="1:7" x14ac:dyDescent="0.35">
      <c r="A67" t="s">
        <v>12</v>
      </c>
      <c r="B67">
        <v>6</v>
      </c>
      <c r="C67">
        <v>71</v>
      </c>
      <c r="D67">
        <v>32</v>
      </c>
      <c r="E67">
        <v>39</v>
      </c>
      <c r="F67">
        <v>1</v>
      </c>
      <c r="G67" t="s">
        <v>5</v>
      </c>
    </row>
    <row r="68" spans="1:7" x14ac:dyDescent="0.35">
      <c r="A68" t="s">
        <v>12</v>
      </c>
      <c r="B68">
        <v>2</v>
      </c>
      <c r="C68">
        <v>74</v>
      </c>
      <c r="D68">
        <v>28</v>
      </c>
      <c r="E68">
        <v>46</v>
      </c>
      <c r="F68">
        <v>0</v>
      </c>
      <c r="G68" t="s">
        <v>7</v>
      </c>
    </row>
    <row r="69" spans="1:7" x14ac:dyDescent="0.35">
      <c r="A69" t="s">
        <v>11</v>
      </c>
      <c r="B69">
        <v>10</v>
      </c>
      <c r="C69">
        <v>169</v>
      </c>
      <c r="D69">
        <v>176</v>
      </c>
      <c r="E69">
        <v>-7</v>
      </c>
      <c r="F69">
        <v>-5</v>
      </c>
      <c r="G69" t="s">
        <v>7</v>
      </c>
    </row>
    <row r="70" spans="1:7" x14ac:dyDescent="0.35">
      <c r="A70" t="s">
        <v>11</v>
      </c>
      <c r="B70">
        <v>-2</v>
      </c>
      <c r="C70">
        <v>-28</v>
      </c>
      <c r="D70">
        <v>-12</v>
      </c>
      <c r="E70">
        <v>-16</v>
      </c>
      <c r="F70">
        <v>-2</v>
      </c>
      <c r="G70" t="s">
        <v>5</v>
      </c>
    </row>
    <row r="71" spans="1:7" x14ac:dyDescent="0.35">
      <c r="A71" t="s">
        <v>11</v>
      </c>
      <c r="B71">
        <v>-4</v>
      </c>
      <c r="C71">
        <v>-72</v>
      </c>
      <c r="D71">
        <v>-35</v>
      </c>
      <c r="E71">
        <v>-37</v>
      </c>
      <c r="F71">
        <v>0</v>
      </c>
      <c r="G71" t="s">
        <v>5</v>
      </c>
    </row>
    <row r="72" spans="1:7" x14ac:dyDescent="0.35">
      <c r="A72" t="s">
        <v>11</v>
      </c>
      <c r="B72">
        <v>4</v>
      </c>
      <c r="C72">
        <v>197</v>
      </c>
      <c r="D72">
        <v>133</v>
      </c>
      <c r="E72">
        <v>64</v>
      </c>
      <c r="F72">
        <v>0</v>
      </c>
      <c r="G72" t="s">
        <v>7</v>
      </c>
    </row>
    <row r="73" spans="1:7" x14ac:dyDescent="0.35">
      <c r="A73" t="s">
        <v>11</v>
      </c>
      <c r="B73">
        <v>12</v>
      </c>
      <c r="C73">
        <v>273</v>
      </c>
      <c r="D73">
        <v>166</v>
      </c>
      <c r="E73">
        <v>107</v>
      </c>
      <c r="F73">
        <v>0</v>
      </c>
      <c r="G73" t="s">
        <v>7</v>
      </c>
    </row>
    <row r="74" spans="1:7" x14ac:dyDescent="0.35">
      <c r="A74" t="s">
        <v>12</v>
      </c>
      <c r="B74">
        <v>4</v>
      </c>
      <c r="C74">
        <v>206</v>
      </c>
      <c r="D74">
        <v>168</v>
      </c>
      <c r="E74">
        <v>38</v>
      </c>
      <c r="F74">
        <v>3</v>
      </c>
      <c r="G74" t="s">
        <v>5</v>
      </c>
    </row>
    <row r="75" spans="1:7" x14ac:dyDescent="0.35">
      <c r="A75" t="s">
        <v>12</v>
      </c>
      <c r="B75">
        <v>0</v>
      </c>
      <c r="C75">
        <v>9</v>
      </c>
      <c r="D75">
        <v>-54</v>
      </c>
      <c r="E75">
        <v>63</v>
      </c>
      <c r="F75">
        <v>-1</v>
      </c>
      <c r="G75" t="s">
        <v>5</v>
      </c>
    </row>
    <row r="76" spans="1:7" x14ac:dyDescent="0.35">
      <c r="A76" t="s">
        <v>11</v>
      </c>
      <c r="B76">
        <v>4</v>
      </c>
      <c r="C76">
        <v>141</v>
      </c>
      <c r="D76">
        <v>110</v>
      </c>
      <c r="E76">
        <v>31</v>
      </c>
      <c r="F76">
        <v>1</v>
      </c>
      <c r="G76" t="s">
        <v>5</v>
      </c>
    </row>
    <row r="77" spans="1:7" x14ac:dyDescent="0.35">
      <c r="A77" t="s">
        <v>11</v>
      </c>
      <c r="B77">
        <v>-4</v>
      </c>
      <c r="C77">
        <v>-63</v>
      </c>
      <c r="D77">
        <v>-124</v>
      </c>
      <c r="E77">
        <v>61</v>
      </c>
      <c r="F77">
        <v>-1</v>
      </c>
      <c r="G77" t="s">
        <v>7</v>
      </c>
    </row>
    <row r="78" spans="1:7" x14ac:dyDescent="0.35">
      <c r="A78" t="s">
        <v>12</v>
      </c>
      <c r="B78">
        <v>-8</v>
      </c>
      <c r="C78">
        <v>-188</v>
      </c>
      <c r="D78">
        <v>-26</v>
      </c>
      <c r="E78">
        <v>-162</v>
      </c>
      <c r="F78">
        <v>1</v>
      </c>
      <c r="G78" t="s">
        <v>5</v>
      </c>
    </row>
    <row r="79" spans="1:7" x14ac:dyDescent="0.35">
      <c r="A79" t="s">
        <v>11</v>
      </c>
      <c r="B79">
        <v>4</v>
      </c>
      <c r="C79">
        <v>279</v>
      </c>
      <c r="D79">
        <v>132</v>
      </c>
      <c r="E79">
        <v>147</v>
      </c>
      <c r="F79">
        <v>0</v>
      </c>
      <c r="G79" t="s">
        <v>7</v>
      </c>
    </row>
    <row r="80" spans="1:7" x14ac:dyDescent="0.35">
      <c r="A80" t="s">
        <v>11</v>
      </c>
      <c r="B80">
        <v>-13</v>
      </c>
      <c r="C80">
        <v>-233</v>
      </c>
      <c r="D80">
        <v>-224</v>
      </c>
      <c r="E80">
        <v>-9</v>
      </c>
      <c r="F80">
        <v>-3</v>
      </c>
      <c r="G80" t="s">
        <v>5</v>
      </c>
    </row>
    <row r="81" spans="1:7" x14ac:dyDescent="0.35">
      <c r="A81" t="s">
        <v>12</v>
      </c>
      <c r="B81">
        <v>0</v>
      </c>
      <c r="C81">
        <v>12</v>
      </c>
      <c r="D81">
        <v>22</v>
      </c>
      <c r="E81">
        <v>-10</v>
      </c>
      <c r="F81">
        <v>0</v>
      </c>
      <c r="G81" t="s">
        <v>7</v>
      </c>
    </row>
    <row r="82" spans="1:7" x14ac:dyDescent="0.35">
      <c r="A82" t="s">
        <v>11</v>
      </c>
      <c r="B82">
        <v>0</v>
      </c>
      <c r="C82">
        <v>-6</v>
      </c>
      <c r="D82">
        <v>-79</v>
      </c>
      <c r="E82">
        <v>73</v>
      </c>
      <c r="F82">
        <v>-4</v>
      </c>
      <c r="G82" t="s">
        <v>7</v>
      </c>
    </row>
    <row r="83" spans="1:7" x14ac:dyDescent="0.35">
      <c r="A83" t="s">
        <v>12</v>
      </c>
      <c r="B83">
        <v>12</v>
      </c>
      <c r="C83">
        <v>158</v>
      </c>
      <c r="D83">
        <v>56</v>
      </c>
      <c r="E83">
        <v>102</v>
      </c>
      <c r="F83">
        <v>-2</v>
      </c>
      <c r="G83" t="s">
        <v>7</v>
      </c>
    </row>
    <row r="84" spans="1:7" x14ac:dyDescent="0.35">
      <c r="A84" t="s">
        <v>11</v>
      </c>
      <c r="B84">
        <v>1</v>
      </c>
      <c r="C84">
        <v>73</v>
      </c>
      <c r="D84">
        <v>-14</v>
      </c>
      <c r="E84">
        <v>87</v>
      </c>
      <c r="F84">
        <v>-1</v>
      </c>
      <c r="G84" t="s">
        <v>5</v>
      </c>
    </row>
    <row r="85" spans="1:7" x14ac:dyDescent="0.35">
      <c r="A85" t="s">
        <v>12</v>
      </c>
      <c r="B85">
        <v>-1</v>
      </c>
      <c r="C85">
        <v>44</v>
      </c>
      <c r="D85">
        <v>26</v>
      </c>
      <c r="E85">
        <v>18</v>
      </c>
      <c r="F85">
        <v>-1</v>
      </c>
      <c r="G85" t="s">
        <v>7</v>
      </c>
    </row>
    <row r="86" spans="1:7" x14ac:dyDescent="0.35">
      <c r="A86" t="s">
        <v>11</v>
      </c>
      <c r="B86">
        <v>-12</v>
      </c>
      <c r="C86">
        <v>-157</v>
      </c>
      <c r="D86">
        <v>-103</v>
      </c>
      <c r="E86">
        <v>-54</v>
      </c>
      <c r="F86">
        <v>0</v>
      </c>
      <c r="G86" t="s">
        <v>5</v>
      </c>
    </row>
    <row r="87" spans="1:7" x14ac:dyDescent="0.35">
      <c r="A87" t="s">
        <v>11</v>
      </c>
      <c r="B87">
        <v>-1</v>
      </c>
      <c r="C87">
        <v>3</v>
      </c>
      <c r="D87">
        <v>-92</v>
      </c>
      <c r="E87">
        <v>95</v>
      </c>
      <c r="F87">
        <v>2</v>
      </c>
      <c r="G87" t="s">
        <v>5</v>
      </c>
    </row>
    <row r="88" spans="1:7" x14ac:dyDescent="0.35">
      <c r="A88" t="s">
        <v>12</v>
      </c>
      <c r="B88">
        <v>2</v>
      </c>
      <c r="C88">
        <v>-10</v>
      </c>
      <c r="D88">
        <v>-44</v>
      </c>
      <c r="E88">
        <v>34</v>
      </c>
      <c r="F88">
        <v>0</v>
      </c>
      <c r="G88" t="s">
        <v>5</v>
      </c>
    </row>
    <row r="89" spans="1:7" x14ac:dyDescent="0.35">
      <c r="A89" t="s">
        <v>12</v>
      </c>
      <c r="B89">
        <v>9</v>
      </c>
      <c r="C89">
        <v>-50</v>
      </c>
      <c r="D89">
        <v>-47</v>
      </c>
      <c r="E89">
        <v>-3</v>
      </c>
      <c r="F89">
        <v>0</v>
      </c>
      <c r="G89" t="s">
        <v>5</v>
      </c>
    </row>
    <row r="90" spans="1:7" x14ac:dyDescent="0.35">
      <c r="A90" t="s">
        <v>12</v>
      </c>
      <c r="B90">
        <v>-15</v>
      </c>
      <c r="C90">
        <v>-244</v>
      </c>
      <c r="D90">
        <v>-117</v>
      </c>
      <c r="E90">
        <v>-127</v>
      </c>
      <c r="F90">
        <v>-2</v>
      </c>
      <c r="G90" t="s">
        <v>5</v>
      </c>
    </row>
    <row r="91" spans="1:7" x14ac:dyDescent="0.35">
      <c r="A91" t="s">
        <v>11</v>
      </c>
      <c r="B91">
        <v>6</v>
      </c>
      <c r="C91">
        <v>63</v>
      </c>
      <c r="D91">
        <v>31</v>
      </c>
      <c r="E91">
        <v>32</v>
      </c>
      <c r="F91">
        <v>-2</v>
      </c>
      <c r="G91" t="s">
        <v>7</v>
      </c>
    </row>
    <row r="92" spans="1:7" x14ac:dyDescent="0.35">
      <c r="A92" t="s">
        <v>11</v>
      </c>
      <c r="B92">
        <v>-7</v>
      </c>
      <c r="C92">
        <v>-38</v>
      </c>
      <c r="D92">
        <v>57</v>
      </c>
      <c r="E92">
        <v>-95</v>
      </c>
      <c r="F92">
        <v>0</v>
      </c>
      <c r="G92" t="s">
        <v>5</v>
      </c>
    </row>
    <row r="93" spans="1:7" x14ac:dyDescent="0.35">
      <c r="A93" t="s">
        <v>12</v>
      </c>
      <c r="B93">
        <v>16</v>
      </c>
      <c r="C93">
        <v>163</v>
      </c>
      <c r="D93">
        <v>118</v>
      </c>
      <c r="E93">
        <v>45</v>
      </c>
      <c r="F93">
        <v>1</v>
      </c>
      <c r="G93" t="s">
        <v>7</v>
      </c>
    </row>
    <row r="94" spans="1:7" x14ac:dyDescent="0.35">
      <c r="A94" t="s">
        <v>11</v>
      </c>
      <c r="B94">
        <v>3</v>
      </c>
      <c r="C94">
        <v>39</v>
      </c>
      <c r="D94">
        <v>-30</v>
      </c>
      <c r="E94">
        <v>69</v>
      </c>
      <c r="F94">
        <v>-1</v>
      </c>
      <c r="G94" t="s">
        <v>7</v>
      </c>
    </row>
    <row r="95" spans="1:7" x14ac:dyDescent="0.35">
      <c r="A95" t="s">
        <v>12</v>
      </c>
      <c r="B95">
        <v>1</v>
      </c>
      <c r="C95">
        <v>-66</v>
      </c>
      <c r="D95">
        <v>-57</v>
      </c>
      <c r="E95">
        <v>-9</v>
      </c>
      <c r="F95">
        <v>1</v>
      </c>
      <c r="G95" t="s">
        <v>5</v>
      </c>
    </row>
    <row r="96" spans="1:7" x14ac:dyDescent="0.35">
      <c r="A96" t="s">
        <v>12</v>
      </c>
      <c r="B96">
        <v>-14</v>
      </c>
      <c r="C96">
        <v>-44</v>
      </c>
      <c r="D96">
        <v>-93</v>
      </c>
      <c r="E96">
        <v>49</v>
      </c>
      <c r="F96">
        <v>2</v>
      </c>
      <c r="G96" t="s">
        <v>5</v>
      </c>
    </row>
    <row r="97" spans="1:7" x14ac:dyDescent="0.35">
      <c r="A97" t="s">
        <v>11</v>
      </c>
      <c r="B97">
        <v>10</v>
      </c>
      <c r="C97">
        <v>37</v>
      </c>
      <c r="D97">
        <v>53</v>
      </c>
      <c r="E97">
        <v>-16</v>
      </c>
      <c r="F97">
        <v>-2</v>
      </c>
      <c r="G97" t="s">
        <v>7</v>
      </c>
    </row>
    <row r="98" spans="1:7" x14ac:dyDescent="0.35">
      <c r="A98" t="s">
        <v>11</v>
      </c>
      <c r="B98">
        <v>1</v>
      </c>
      <c r="C98">
        <v>-66</v>
      </c>
      <c r="D98">
        <v>-2</v>
      </c>
      <c r="E98">
        <v>-64</v>
      </c>
      <c r="F98">
        <v>2</v>
      </c>
      <c r="G98" t="s">
        <v>5</v>
      </c>
    </row>
    <row r="99" spans="1:7" x14ac:dyDescent="0.35">
      <c r="A99" t="s">
        <v>11</v>
      </c>
      <c r="B99">
        <v>-5</v>
      </c>
      <c r="C99">
        <v>-164</v>
      </c>
      <c r="D99">
        <v>-66</v>
      </c>
      <c r="E99">
        <v>-98</v>
      </c>
      <c r="F99">
        <v>3</v>
      </c>
      <c r="G99" t="s">
        <v>5</v>
      </c>
    </row>
    <row r="100" spans="1:7" x14ac:dyDescent="0.35">
      <c r="A100" t="s">
        <v>12</v>
      </c>
      <c r="B100">
        <v>10</v>
      </c>
      <c r="C100">
        <v>162</v>
      </c>
      <c r="D100">
        <v>35</v>
      </c>
      <c r="E100">
        <v>127</v>
      </c>
      <c r="F100">
        <v>0</v>
      </c>
      <c r="G100" t="s">
        <v>7</v>
      </c>
    </row>
    <row r="101" spans="1:7" x14ac:dyDescent="0.35">
      <c r="A101" t="s">
        <v>12</v>
      </c>
      <c r="B101">
        <v>-10</v>
      </c>
      <c r="C101">
        <v>-175</v>
      </c>
      <c r="D101">
        <v>-114</v>
      </c>
      <c r="E101">
        <v>-61</v>
      </c>
      <c r="F101">
        <v>-1</v>
      </c>
      <c r="G101" t="s">
        <v>5</v>
      </c>
    </row>
    <row r="102" spans="1:7" x14ac:dyDescent="0.35">
      <c r="A102" t="s">
        <v>11</v>
      </c>
      <c r="B102">
        <v>-5</v>
      </c>
      <c r="C102">
        <v>-136</v>
      </c>
      <c r="D102">
        <v>-78</v>
      </c>
      <c r="E102">
        <v>-58</v>
      </c>
      <c r="F102">
        <v>0</v>
      </c>
      <c r="G102" t="s">
        <v>5</v>
      </c>
    </row>
    <row r="103" spans="1:7" x14ac:dyDescent="0.35">
      <c r="A103" t="s">
        <v>12</v>
      </c>
      <c r="B103">
        <v>-10</v>
      </c>
      <c r="C103">
        <v>-37</v>
      </c>
      <c r="D103">
        <v>-53</v>
      </c>
      <c r="E103">
        <v>16</v>
      </c>
      <c r="F103">
        <v>2</v>
      </c>
      <c r="G103" t="s">
        <v>5</v>
      </c>
    </row>
    <row r="104" spans="1:7" x14ac:dyDescent="0.35">
      <c r="A104" t="s">
        <v>12</v>
      </c>
      <c r="B104">
        <v>11</v>
      </c>
      <c r="C104">
        <v>91</v>
      </c>
      <c r="D104">
        <v>-71</v>
      </c>
      <c r="E104">
        <v>162</v>
      </c>
      <c r="F104">
        <v>0</v>
      </c>
      <c r="G104" t="s">
        <v>7</v>
      </c>
    </row>
    <row r="105" spans="1:7" x14ac:dyDescent="0.35">
      <c r="A105" t="s">
        <v>12</v>
      </c>
      <c r="B105">
        <v>-2</v>
      </c>
      <c r="C105">
        <v>102</v>
      </c>
      <c r="D105">
        <v>0</v>
      </c>
      <c r="E105">
        <v>102</v>
      </c>
      <c r="F105">
        <v>1</v>
      </c>
      <c r="G105" t="s">
        <v>7</v>
      </c>
    </row>
    <row r="106" spans="1:7" x14ac:dyDescent="0.35">
      <c r="A106" t="s">
        <v>12</v>
      </c>
      <c r="B106">
        <v>4</v>
      </c>
      <c r="C106">
        <v>23</v>
      </c>
      <c r="D106">
        <v>-21</v>
      </c>
      <c r="E106">
        <v>44</v>
      </c>
      <c r="F106">
        <v>2</v>
      </c>
      <c r="G106" t="s">
        <v>5</v>
      </c>
    </row>
    <row r="107" spans="1:7" x14ac:dyDescent="0.35">
      <c r="A107" t="s">
        <v>12</v>
      </c>
      <c r="B107">
        <v>-5</v>
      </c>
      <c r="C107">
        <v>-73</v>
      </c>
      <c r="D107">
        <v>-48</v>
      </c>
      <c r="E107">
        <v>-25</v>
      </c>
      <c r="F107">
        <v>3</v>
      </c>
      <c r="G107" t="s">
        <v>5</v>
      </c>
    </row>
    <row r="108" spans="1:7" x14ac:dyDescent="0.35">
      <c r="A108" t="s">
        <v>11</v>
      </c>
      <c r="B108">
        <v>3</v>
      </c>
      <c r="C108">
        <v>55</v>
      </c>
      <c r="D108">
        <v>72</v>
      </c>
      <c r="E108">
        <v>-17</v>
      </c>
      <c r="F108">
        <v>0</v>
      </c>
      <c r="G108" t="s">
        <v>7</v>
      </c>
    </row>
    <row r="109" spans="1:7" x14ac:dyDescent="0.35">
      <c r="A109" t="s">
        <v>11</v>
      </c>
      <c r="B109">
        <v>-6</v>
      </c>
      <c r="C109">
        <v>-139</v>
      </c>
      <c r="D109">
        <v>-156</v>
      </c>
      <c r="E109">
        <v>17</v>
      </c>
      <c r="F109">
        <v>-6</v>
      </c>
      <c r="G109" t="s">
        <v>7</v>
      </c>
    </row>
    <row r="110" spans="1:7" x14ac:dyDescent="0.35">
      <c r="A110" t="s">
        <v>12</v>
      </c>
      <c r="B110">
        <v>-5</v>
      </c>
      <c r="C110">
        <v>-65</v>
      </c>
      <c r="D110">
        <v>-34</v>
      </c>
      <c r="E110">
        <v>-31</v>
      </c>
      <c r="F110">
        <v>0</v>
      </c>
      <c r="G110" t="s">
        <v>7</v>
      </c>
    </row>
    <row r="111" spans="1:7" x14ac:dyDescent="0.35">
      <c r="A111" t="s">
        <v>11</v>
      </c>
      <c r="B111">
        <v>-13</v>
      </c>
      <c r="C111">
        <v>-69</v>
      </c>
      <c r="D111">
        <v>-75</v>
      </c>
      <c r="E111">
        <v>6</v>
      </c>
      <c r="F111">
        <v>-3</v>
      </c>
      <c r="G111" t="s">
        <v>7</v>
      </c>
    </row>
    <row r="112" spans="1:7" x14ac:dyDescent="0.35">
      <c r="A112" t="s">
        <v>12</v>
      </c>
      <c r="B112">
        <v>-7</v>
      </c>
      <c r="C112">
        <v>-76</v>
      </c>
      <c r="D112">
        <v>-84</v>
      </c>
      <c r="E112">
        <v>8</v>
      </c>
      <c r="F112">
        <v>-2</v>
      </c>
      <c r="G112" t="s">
        <v>7</v>
      </c>
    </row>
    <row r="113" spans="1:7" x14ac:dyDescent="0.35">
      <c r="A113" t="s">
        <v>11</v>
      </c>
      <c r="B113">
        <v>-6</v>
      </c>
      <c r="C113">
        <v>-176</v>
      </c>
      <c r="D113">
        <v>-111</v>
      </c>
      <c r="E113">
        <v>-65</v>
      </c>
      <c r="F113">
        <v>2</v>
      </c>
      <c r="G113" t="s">
        <v>5</v>
      </c>
    </row>
    <row r="114" spans="1:7" x14ac:dyDescent="0.35">
      <c r="A114" t="s">
        <v>12</v>
      </c>
      <c r="B114">
        <v>0</v>
      </c>
      <c r="C114">
        <v>23</v>
      </c>
      <c r="D114">
        <v>-8</v>
      </c>
      <c r="E114">
        <v>31</v>
      </c>
      <c r="F114">
        <v>1</v>
      </c>
      <c r="G114" t="s">
        <v>5</v>
      </c>
    </row>
    <row r="115" spans="1:7" x14ac:dyDescent="0.35">
      <c r="A115" t="s">
        <v>11</v>
      </c>
      <c r="B115">
        <v>4</v>
      </c>
      <c r="C115">
        <v>61</v>
      </c>
      <c r="D115">
        <v>54</v>
      </c>
      <c r="E115">
        <v>7</v>
      </c>
      <c r="F115">
        <v>1</v>
      </c>
      <c r="G115" t="s">
        <v>7</v>
      </c>
    </row>
    <row r="116" spans="1:7" x14ac:dyDescent="0.35">
      <c r="A116" t="s">
        <v>12</v>
      </c>
      <c r="B116">
        <v>-3</v>
      </c>
      <c r="C116">
        <v>-13</v>
      </c>
      <c r="D116">
        <v>-56</v>
      </c>
      <c r="E116">
        <v>43</v>
      </c>
      <c r="F116">
        <v>-2</v>
      </c>
      <c r="G116" t="s">
        <v>7</v>
      </c>
    </row>
    <row r="117" spans="1:7" x14ac:dyDescent="0.35">
      <c r="A117" t="s">
        <v>12</v>
      </c>
      <c r="B117">
        <v>-3</v>
      </c>
      <c r="C117">
        <v>-39</v>
      </c>
      <c r="D117">
        <v>30</v>
      </c>
      <c r="E117">
        <v>-69</v>
      </c>
      <c r="F117">
        <v>1</v>
      </c>
      <c r="G117" t="s">
        <v>5</v>
      </c>
    </row>
    <row r="118" spans="1:7" x14ac:dyDescent="0.35">
      <c r="A118" t="s">
        <v>12</v>
      </c>
      <c r="B118">
        <v>0</v>
      </c>
      <c r="C118">
        <v>79</v>
      </c>
      <c r="D118">
        <v>26</v>
      </c>
      <c r="E118">
        <v>53</v>
      </c>
      <c r="F118">
        <v>0</v>
      </c>
      <c r="G118" t="s">
        <v>7</v>
      </c>
    </row>
    <row r="119" spans="1:7" x14ac:dyDescent="0.35">
      <c r="A119" t="s">
        <v>12</v>
      </c>
      <c r="B119">
        <v>9</v>
      </c>
      <c r="C119">
        <v>246</v>
      </c>
      <c r="D119">
        <v>111</v>
      </c>
      <c r="E119">
        <v>135</v>
      </c>
      <c r="F119">
        <v>-1</v>
      </c>
      <c r="G119" t="s">
        <v>7</v>
      </c>
    </row>
    <row r="120" spans="1:7" x14ac:dyDescent="0.35">
      <c r="A120" t="s">
        <v>12</v>
      </c>
      <c r="B120">
        <v>5</v>
      </c>
      <c r="C120">
        <v>164</v>
      </c>
      <c r="D120">
        <v>66</v>
      </c>
      <c r="E120">
        <v>98</v>
      </c>
      <c r="F120">
        <v>-3</v>
      </c>
      <c r="G120" t="s">
        <v>7</v>
      </c>
    </row>
    <row r="121" spans="1:7" x14ac:dyDescent="0.35">
      <c r="A121" t="s">
        <v>12</v>
      </c>
      <c r="B121">
        <v>6</v>
      </c>
      <c r="C121">
        <v>38</v>
      </c>
      <c r="D121">
        <v>-93</v>
      </c>
      <c r="E121">
        <v>131</v>
      </c>
      <c r="F121">
        <v>-3</v>
      </c>
      <c r="G121" t="s">
        <v>7</v>
      </c>
    </row>
    <row r="122" spans="1:7" x14ac:dyDescent="0.35">
      <c r="A122" t="s">
        <v>12</v>
      </c>
      <c r="B122">
        <v>-12</v>
      </c>
      <c r="C122">
        <v>-273</v>
      </c>
      <c r="D122">
        <v>-166</v>
      </c>
      <c r="E122">
        <v>-107</v>
      </c>
      <c r="F122">
        <v>0</v>
      </c>
      <c r="G122" t="s">
        <v>5</v>
      </c>
    </row>
    <row r="123" spans="1:7" x14ac:dyDescent="0.35">
      <c r="A123" t="s">
        <v>12</v>
      </c>
      <c r="B123">
        <v>6</v>
      </c>
      <c r="C123">
        <v>25</v>
      </c>
      <c r="D123">
        <v>30</v>
      </c>
      <c r="E123">
        <v>-5</v>
      </c>
      <c r="F123">
        <v>0</v>
      </c>
      <c r="G123" t="s">
        <v>7</v>
      </c>
    </row>
    <row r="124" spans="1:7" x14ac:dyDescent="0.35">
      <c r="A124" t="s">
        <v>11</v>
      </c>
      <c r="B124">
        <v>4</v>
      </c>
      <c r="C124">
        <v>-16</v>
      </c>
      <c r="D124">
        <v>20</v>
      </c>
      <c r="E124">
        <v>-36</v>
      </c>
      <c r="F124">
        <v>-1</v>
      </c>
      <c r="G124" t="s">
        <v>5</v>
      </c>
    </row>
    <row r="125" spans="1:7" x14ac:dyDescent="0.35">
      <c r="A125" t="s">
        <v>12</v>
      </c>
      <c r="B125">
        <v>-7</v>
      </c>
      <c r="C125">
        <v>-7</v>
      </c>
      <c r="D125">
        <v>137</v>
      </c>
      <c r="E125">
        <v>-144</v>
      </c>
      <c r="F125">
        <v>0</v>
      </c>
      <c r="G125" t="s">
        <v>5</v>
      </c>
    </row>
    <row r="126" spans="1:7" x14ac:dyDescent="0.35">
      <c r="A126" t="s">
        <v>11</v>
      </c>
      <c r="B126">
        <v>-7</v>
      </c>
      <c r="C126">
        <v>-48</v>
      </c>
      <c r="D126">
        <v>57</v>
      </c>
      <c r="E126">
        <v>-105</v>
      </c>
      <c r="F126">
        <v>2</v>
      </c>
      <c r="G126" t="s">
        <v>5</v>
      </c>
    </row>
    <row r="127" spans="1:7" x14ac:dyDescent="0.35">
      <c r="A127" t="s">
        <v>11</v>
      </c>
      <c r="B127">
        <v>-7</v>
      </c>
      <c r="C127">
        <v>-120</v>
      </c>
      <c r="D127">
        <v>-56</v>
      </c>
      <c r="E127">
        <v>-64</v>
      </c>
      <c r="F127">
        <v>1</v>
      </c>
      <c r="G127" t="s">
        <v>5</v>
      </c>
    </row>
    <row r="128" spans="1:7" x14ac:dyDescent="0.35">
      <c r="A128" t="s">
        <v>12</v>
      </c>
      <c r="B128">
        <v>-5</v>
      </c>
      <c r="C128">
        <v>-61</v>
      </c>
      <c r="D128">
        <v>-108</v>
      </c>
      <c r="E128">
        <v>47</v>
      </c>
      <c r="F128">
        <v>1</v>
      </c>
      <c r="G128" t="s">
        <v>7</v>
      </c>
    </row>
    <row r="129" spans="1:7" x14ac:dyDescent="0.35">
      <c r="A129" t="s">
        <v>11</v>
      </c>
      <c r="B129">
        <v>-9</v>
      </c>
      <c r="C129">
        <v>-99</v>
      </c>
      <c r="D129">
        <v>-162</v>
      </c>
      <c r="E129">
        <v>63</v>
      </c>
      <c r="F129">
        <v>-1</v>
      </c>
      <c r="G129" t="s">
        <v>7</v>
      </c>
    </row>
    <row r="130" spans="1:7" x14ac:dyDescent="0.35">
      <c r="A130" t="s">
        <v>12</v>
      </c>
      <c r="B130">
        <v>1</v>
      </c>
      <c r="C130">
        <v>81</v>
      </c>
      <c r="D130">
        <v>73</v>
      </c>
      <c r="E130">
        <v>8</v>
      </c>
      <c r="F130">
        <v>0</v>
      </c>
      <c r="G130" t="s">
        <v>7</v>
      </c>
    </row>
    <row r="131" spans="1:7" x14ac:dyDescent="0.35">
      <c r="A131" t="s">
        <v>11</v>
      </c>
      <c r="B131">
        <v>8</v>
      </c>
      <c r="C131">
        <v>172</v>
      </c>
      <c r="D131">
        <v>38</v>
      </c>
      <c r="E131">
        <v>134</v>
      </c>
      <c r="F131">
        <v>-2</v>
      </c>
      <c r="G131" t="s">
        <v>7</v>
      </c>
    </row>
    <row r="132" spans="1:7" x14ac:dyDescent="0.35">
      <c r="A132" t="s">
        <v>12</v>
      </c>
      <c r="B132">
        <v>-6</v>
      </c>
      <c r="C132">
        <v>-17</v>
      </c>
      <c r="D132">
        <v>56</v>
      </c>
      <c r="E132">
        <v>-73</v>
      </c>
      <c r="F132">
        <v>1</v>
      </c>
      <c r="G132" t="s">
        <v>7</v>
      </c>
    </row>
    <row r="133" spans="1:7" x14ac:dyDescent="0.35">
      <c r="A133" t="s">
        <v>11</v>
      </c>
      <c r="B133">
        <v>-1</v>
      </c>
      <c r="C133">
        <v>66</v>
      </c>
      <c r="D133">
        <v>57</v>
      </c>
      <c r="E133">
        <v>9</v>
      </c>
      <c r="F133">
        <v>-1</v>
      </c>
      <c r="G133" t="s">
        <v>7</v>
      </c>
    </row>
    <row r="134" spans="1:7" x14ac:dyDescent="0.35">
      <c r="A134" t="s">
        <v>12</v>
      </c>
      <c r="B134">
        <v>11</v>
      </c>
      <c r="C134">
        <v>258</v>
      </c>
      <c r="D134">
        <v>144</v>
      </c>
      <c r="E134">
        <v>114</v>
      </c>
      <c r="F134">
        <v>0</v>
      </c>
      <c r="G134" t="s">
        <v>7</v>
      </c>
    </row>
    <row r="135" spans="1:7" x14ac:dyDescent="0.35">
      <c r="A135" t="s">
        <v>12</v>
      </c>
      <c r="B135">
        <v>-1</v>
      </c>
      <c r="C135">
        <v>57</v>
      </c>
      <c r="D135">
        <v>11</v>
      </c>
      <c r="E135">
        <v>46</v>
      </c>
      <c r="F135">
        <v>-4</v>
      </c>
      <c r="G135" t="s">
        <v>7</v>
      </c>
    </row>
    <row r="136" spans="1:7" x14ac:dyDescent="0.35">
      <c r="A136" t="s">
        <v>11</v>
      </c>
      <c r="B136">
        <v>-16</v>
      </c>
      <c r="C136">
        <v>-209</v>
      </c>
      <c r="D136">
        <v>-125</v>
      </c>
      <c r="E136">
        <v>-84</v>
      </c>
      <c r="F136">
        <v>1</v>
      </c>
      <c r="G136" t="s">
        <v>5</v>
      </c>
    </row>
    <row r="137" spans="1:7" x14ac:dyDescent="0.35">
      <c r="A137" t="s">
        <v>11</v>
      </c>
      <c r="B137">
        <v>-6</v>
      </c>
      <c r="C137">
        <v>-7</v>
      </c>
      <c r="D137">
        <v>-100</v>
      </c>
      <c r="E137">
        <v>93</v>
      </c>
      <c r="F137">
        <v>-2</v>
      </c>
      <c r="G137" t="s">
        <v>7</v>
      </c>
    </row>
    <row r="138" spans="1:7" x14ac:dyDescent="0.35">
      <c r="A138" t="s">
        <v>12</v>
      </c>
      <c r="B138">
        <v>-9</v>
      </c>
      <c r="C138">
        <v>-159</v>
      </c>
      <c r="D138">
        <v>-287</v>
      </c>
      <c r="E138">
        <v>128</v>
      </c>
      <c r="F138">
        <v>0</v>
      </c>
      <c r="G138" t="s">
        <v>7</v>
      </c>
    </row>
    <row r="139" spans="1:7" x14ac:dyDescent="0.35">
      <c r="A139" t="s">
        <v>11</v>
      </c>
      <c r="B139">
        <v>-6</v>
      </c>
      <c r="C139">
        <v>48</v>
      </c>
      <c r="D139">
        <v>52</v>
      </c>
      <c r="E139">
        <v>-4</v>
      </c>
      <c r="F139">
        <v>0</v>
      </c>
      <c r="G139" t="s">
        <v>5</v>
      </c>
    </row>
    <row r="140" spans="1:7" x14ac:dyDescent="0.35">
      <c r="A140" t="s">
        <v>11</v>
      </c>
      <c r="B140">
        <v>8</v>
      </c>
      <c r="C140">
        <v>37</v>
      </c>
      <c r="D140">
        <v>-31</v>
      </c>
      <c r="E140">
        <v>68</v>
      </c>
      <c r="F140">
        <v>3</v>
      </c>
      <c r="G140" t="s">
        <v>5</v>
      </c>
    </row>
    <row r="141" spans="1:7" x14ac:dyDescent="0.35">
      <c r="A141" t="s">
        <v>11</v>
      </c>
      <c r="B141">
        <v>12</v>
      </c>
      <c r="C141">
        <v>174</v>
      </c>
      <c r="D141">
        <v>184</v>
      </c>
      <c r="E141">
        <v>-10</v>
      </c>
      <c r="F141">
        <v>1</v>
      </c>
      <c r="G141" t="s">
        <v>7</v>
      </c>
    </row>
    <row r="142" spans="1:7" x14ac:dyDescent="0.35">
      <c r="A142" t="s">
        <v>12</v>
      </c>
      <c r="B142">
        <v>-3</v>
      </c>
      <c r="C142">
        <v>100</v>
      </c>
      <c r="D142">
        <v>176</v>
      </c>
      <c r="E142">
        <v>-76</v>
      </c>
      <c r="F142">
        <v>1</v>
      </c>
      <c r="G142" t="s">
        <v>7</v>
      </c>
    </row>
    <row r="143" spans="1:7" x14ac:dyDescent="0.35">
      <c r="A143" t="s">
        <v>11</v>
      </c>
      <c r="B143">
        <v>-1</v>
      </c>
      <c r="C143">
        <v>-52</v>
      </c>
      <c r="D143">
        <v>22</v>
      </c>
      <c r="E143">
        <v>-74</v>
      </c>
      <c r="F143">
        <v>1</v>
      </c>
      <c r="G143" t="s">
        <v>5</v>
      </c>
    </row>
    <row r="144" spans="1:7" x14ac:dyDescent="0.35">
      <c r="A144" t="s">
        <v>12</v>
      </c>
      <c r="B144">
        <v>-16</v>
      </c>
      <c r="C144">
        <v>-195</v>
      </c>
      <c r="D144">
        <v>-113</v>
      </c>
      <c r="E144">
        <v>-82</v>
      </c>
      <c r="F144">
        <v>3</v>
      </c>
      <c r="G144" t="s">
        <v>5</v>
      </c>
    </row>
    <row r="145" spans="1:7" x14ac:dyDescent="0.35">
      <c r="A145" t="s">
        <v>12</v>
      </c>
      <c r="B145">
        <v>-8</v>
      </c>
      <c r="C145">
        <v>-131</v>
      </c>
      <c r="D145">
        <v>-114</v>
      </c>
      <c r="E145">
        <v>-17</v>
      </c>
      <c r="F145">
        <v>-1</v>
      </c>
      <c r="G145" t="s">
        <v>7</v>
      </c>
    </row>
    <row r="146" spans="1:7" x14ac:dyDescent="0.35">
      <c r="A146" t="s">
        <v>11</v>
      </c>
      <c r="B146">
        <v>5</v>
      </c>
      <c r="C146">
        <v>65</v>
      </c>
      <c r="D146">
        <v>34</v>
      </c>
      <c r="E146">
        <v>31</v>
      </c>
      <c r="F146">
        <v>0</v>
      </c>
      <c r="G146" t="s">
        <v>5</v>
      </c>
    </row>
    <row r="147" spans="1:7" x14ac:dyDescent="0.35">
      <c r="A147" t="s">
        <v>12</v>
      </c>
      <c r="B147">
        <v>-5</v>
      </c>
      <c r="C147">
        <v>-144</v>
      </c>
      <c r="D147">
        <v>14</v>
      </c>
      <c r="E147">
        <v>-158</v>
      </c>
      <c r="F147">
        <v>0</v>
      </c>
      <c r="G147" t="s">
        <v>5</v>
      </c>
    </row>
    <row r="148" spans="1:7" x14ac:dyDescent="0.35">
      <c r="A148" t="s">
        <v>11</v>
      </c>
      <c r="B148">
        <v>-4</v>
      </c>
      <c r="C148">
        <v>-206</v>
      </c>
      <c r="D148">
        <v>-168</v>
      </c>
      <c r="E148">
        <v>-38</v>
      </c>
      <c r="F148">
        <v>-3</v>
      </c>
      <c r="G148" t="s">
        <v>7</v>
      </c>
    </row>
    <row r="149" spans="1:7" x14ac:dyDescent="0.35">
      <c r="A149" t="s">
        <v>11</v>
      </c>
      <c r="B149">
        <v>-8</v>
      </c>
      <c r="C149">
        <v>-183</v>
      </c>
      <c r="D149">
        <v>-128</v>
      </c>
      <c r="E149">
        <v>-55</v>
      </c>
      <c r="F149">
        <v>1</v>
      </c>
      <c r="G149" t="s">
        <v>5</v>
      </c>
    </row>
    <row r="150" spans="1:7" x14ac:dyDescent="0.35">
      <c r="A150" t="s">
        <v>11</v>
      </c>
      <c r="B150">
        <v>-3</v>
      </c>
      <c r="C150">
        <v>-23</v>
      </c>
      <c r="D150">
        <v>-57</v>
      </c>
      <c r="E150">
        <v>34</v>
      </c>
      <c r="F150">
        <v>0</v>
      </c>
      <c r="G150" t="s">
        <v>5</v>
      </c>
    </row>
    <row r="151" spans="1:7" x14ac:dyDescent="0.35">
      <c r="A151" t="s">
        <v>11</v>
      </c>
      <c r="B151">
        <v>4</v>
      </c>
      <c r="C151">
        <v>-2</v>
      </c>
      <c r="D151">
        <v>-74</v>
      </c>
      <c r="E151">
        <v>72</v>
      </c>
      <c r="F151">
        <v>3</v>
      </c>
      <c r="G151" t="s">
        <v>5</v>
      </c>
    </row>
    <row r="152" spans="1:7" x14ac:dyDescent="0.35">
      <c r="A152" t="s">
        <v>12</v>
      </c>
      <c r="B152">
        <v>-3</v>
      </c>
      <c r="C152">
        <v>-38</v>
      </c>
      <c r="D152">
        <v>1</v>
      </c>
      <c r="E152">
        <v>-39</v>
      </c>
      <c r="F152">
        <v>1</v>
      </c>
      <c r="G152" t="s">
        <v>5</v>
      </c>
    </row>
    <row r="153" spans="1:7" x14ac:dyDescent="0.35">
      <c r="A153" t="s">
        <v>11</v>
      </c>
      <c r="B153">
        <v>-9</v>
      </c>
      <c r="C153">
        <v>-146</v>
      </c>
      <c r="D153">
        <v>-95</v>
      </c>
      <c r="E153">
        <v>-51</v>
      </c>
      <c r="F153">
        <v>-1</v>
      </c>
      <c r="G153" t="s">
        <v>5</v>
      </c>
    </row>
    <row r="154" spans="1:7" x14ac:dyDescent="0.35">
      <c r="A154" t="s">
        <v>12</v>
      </c>
      <c r="B154">
        <v>-9</v>
      </c>
      <c r="C154">
        <v>-76</v>
      </c>
      <c r="D154">
        <v>-175</v>
      </c>
      <c r="E154">
        <v>99</v>
      </c>
      <c r="F154">
        <v>-3</v>
      </c>
      <c r="G154" t="s">
        <v>7</v>
      </c>
    </row>
    <row r="155" spans="1:7" x14ac:dyDescent="0.35">
      <c r="A155" t="s">
        <v>12</v>
      </c>
      <c r="B155">
        <v>-1</v>
      </c>
      <c r="C155">
        <v>-33</v>
      </c>
      <c r="D155">
        <v>-75</v>
      </c>
      <c r="E155">
        <v>42</v>
      </c>
      <c r="F155">
        <v>-1</v>
      </c>
      <c r="G155" t="s">
        <v>5</v>
      </c>
    </row>
    <row r="156" spans="1:7" x14ac:dyDescent="0.35">
      <c r="A156" t="s">
        <v>11</v>
      </c>
      <c r="B156">
        <v>-8</v>
      </c>
      <c r="C156">
        <v>-137</v>
      </c>
      <c r="D156">
        <v>-120</v>
      </c>
      <c r="E156">
        <v>-17</v>
      </c>
      <c r="F156">
        <v>2</v>
      </c>
      <c r="G156" t="s">
        <v>5</v>
      </c>
    </row>
    <row r="157" spans="1:7" x14ac:dyDescent="0.35">
      <c r="A157" t="s">
        <v>12</v>
      </c>
      <c r="B157">
        <v>-1</v>
      </c>
      <c r="C157">
        <v>1</v>
      </c>
      <c r="D157">
        <v>76</v>
      </c>
      <c r="E157">
        <v>-75</v>
      </c>
      <c r="F157">
        <v>6</v>
      </c>
      <c r="G157" t="s">
        <v>5</v>
      </c>
    </row>
    <row r="158" spans="1:7" x14ac:dyDescent="0.35">
      <c r="A158" t="s">
        <v>12</v>
      </c>
      <c r="B158">
        <v>-6</v>
      </c>
      <c r="C158">
        <v>-62</v>
      </c>
      <c r="D158">
        <v>-198</v>
      </c>
      <c r="E158">
        <v>136</v>
      </c>
      <c r="F158">
        <v>-3</v>
      </c>
      <c r="G158" t="s">
        <v>7</v>
      </c>
    </row>
    <row r="159" spans="1:7" x14ac:dyDescent="0.35">
      <c r="A159" t="s">
        <v>11</v>
      </c>
      <c r="B159">
        <v>0</v>
      </c>
      <c r="C159">
        <v>-23</v>
      </c>
      <c r="D159">
        <v>8</v>
      </c>
      <c r="E159">
        <v>-31</v>
      </c>
      <c r="F159">
        <v>-1</v>
      </c>
      <c r="G159" t="s">
        <v>7</v>
      </c>
    </row>
    <row r="160" spans="1:7" x14ac:dyDescent="0.35">
      <c r="A160" t="s">
        <v>11</v>
      </c>
      <c r="B160">
        <v>1</v>
      </c>
      <c r="C160">
        <v>-44</v>
      </c>
      <c r="D160">
        <v>-26</v>
      </c>
      <c r="E160">
        <v>-18</v>
      </c>
      <c r="F160">
        <v>1</v>
      </c>
      <c r="G160" t="s">
        <v>5</v>
      </c>
    </row>
    <row r="161" spans="1:7" x14ac:dyDescent="0.35">
      <c r="A161" t="s">
        <v>12</v>
      </c>
      <c r="B161">
        <v>6</v>
      </c>
      <c r="C161">
        <v>139</v>
      </c>
      <c r="D161">
        <v>156</v>
      </c>
      <c r="E161">
        <v>-17</v>
      </c>
      <c r="F161">
        <v>6</v>
      </c>
      <c r="G161" t="s">
        <v>5</v>
      </c>
    </row>
    <row r="162" spans="1:7" x14ac:dyDescent="0.35">
      <c r="A162" t="s">
        <v>12</v>
      </c>
      <c r="B162">
        <v>7</v>
      </c>
      <c r="C162">
        <v>155</v>
      </c>
      <c r="D162">
        <v>254</v>
      </c>
      <c r="E162">
        <v>-99</v>
      </c>
      <c r="F162">
        <v>2</v>
      </c>
      <c r="G162" t="s">
        <v>5</v>
      </c>
    </row>
    <row r="163" spans="1:7" x14ac:dyDescent="0.35">
      <c r="A163" t="s">
        <v>12</v>
      </c>
      <c r="B163">
        <v>-1</v>
      </c>
      <c r="C163">
        <v>38</v>
      </c>
      <c r="D163">
        <v>51</v>
      </c>
      <c r="E163">
        <v>-13</v>
      </c>
      <c r="F163">
        <v>2</v>
      </c>
      <c r="G163" t="s">
        <v>5</v>
      </c>
    </row>
    <row r="164" spans="1:7" x14ac:dyDescent="0.35">
      <c r="A164" t="s">
        <v>12</v>
      </c>
      <c r="B164">
        <v>0</v>
      </c>
      <c r="C164">
        <v>-165</v>
      </c>
      <c r="D164">
        <v>-113</v>
      </c>
      <c r="E164">
        <v>-52</v>
      </c>
      <c r="F164">
        <v>1</v>
      </c>
      <c r="G164" t="s">
        <v>5</v>
      </c>
    </row>
    <row r="165" spans="1:7" x14ac:dyDescent="0.35">
      <c r="A165" t="s">
        <v>11</v>
      </c>
      <c r="B165">
        <v>8</v>
      </c>
      <c r="C165">
        <v>134</v>
      </c>
      <c r="D165">
        <v>45</v>
      </c>
      <c r="E165">
        <v>89</v>
      </c>
      <c r="F165">
        <v>2</v>
      </c>
      <c r="G165" t="s">
        <v>5</v>
      </c>
    </row>
    <row r="166" spans="1:7" x14ac:dyDescent="0.35">
      <c r="A166" t="s">
        <v>11</v>
      </c>
      <c r="B166">
        <v>-16</v>
      </c>
      <c r="C166">
        <v>-213</v>
      </c>
      <c r="D166">
        <v>-104</v>
      </c>
      <c r="E166">
        <v>-109</v>
      </c>
      <c r="F166">
        <v>0</v>
      </c>
      <c r="G166" t="s">
        <v>5</v>
      </c>
    </row>
    <row r="167" spans="1:7" x14ac:dyDescent="0.35">
      <c r="A167" t="s">
        <v>12</v>
      </c>
      <c r="B167">
        <v>-5</v>
      </c>
      <c r="C167">
        <v>-55</v>
      </c>
      <c r="D167">
        <v>-6</v>
      </c>
      <c r="E167">
        <v>-49</v>
      </c>
      <c r="F167">
        <v>-1</v>
      </c>
      <c r="G167" t="s">
        <v>7</v>
      </c>
    </row>
    <row r="168" spans="1:7" x14ac:dyDescent="0.35">
      <c r="A168" t="s">
        <v>11</v>
      </c>
      <c r="B168">
        <v>-7</v>
      </c>
      <c r="C168">
        <v>-47</v>
      </c>
      <c r="D168">
        <v>-33</v>
      </c>
      <c r="E168">
        <v>-14</v>
      </c>
      <c r="F168">
        <v>1</v>
      </c>
      <c r="G168" t="s">
        <v>5</v>
      </c>
    </row>
    <row r="169" spans="1:7" x14ac:dyDescent="0.35">
      <c r="A169" t="s">
        <v>11</v>
      </c>
      <c r="B169">
        <v>-1</v>
      </c>
      <c r="C169">
        <v>72</v>
      </c>
      <c r="D169">
        <v>93</v>
      </c>
      <c r="E169">
        <v>-21</v>
      </c>
      <c r="F169">
        <v>-2</v>
      </c>
      <c r="G169" t="s">
        <v>7</v>
      </c>
    </row>
    <row r="170" spans="1:7" x14ac:dyDescent="0.35">
      <c r="A170" t="s">
        <v>12</v>
      </c>
      <c r="B170">
        <v>0</v>
      </c>
      <c r="C170">
        <v>24</v>
      </c>
      <c r="D170">
        <v>35</v>
      </c>
      <c r="E170">
        <v>-11</v>
      </c>
      <c r="F170">
        <v>5</v>
      </c>
      <c r="G170" t="s">
        <v>5</v>
      </c>
    </row>
    <row r="171" spans="1:7" x14ac:dyDescent="0.35">
      <c r="A171" t="s">
        <v>12</v>
      </c>
      <c r="B171">
        <v>3</v>
      </c>
      <c r="C171">
        <v>-73</v>
      </c>
      <c r="D171">
        <v>-47</v>
      </c>
      <c r="E171">
        <v>-26</v>
      </c>
      <c r="F171">
        <v>-3</v>
      </c>
      <c r="G171" t="s">
        <v>7</v>
      </c>
    </row>
    <row r="172" spans="1:7" x14ac:dyDescent="0.35">
      <c r="A172" t="s">
        <v>12</v>
      </c>
      <c r="B172">
        <v>-1</v>
      </c>
      <c r="C172">
        <v>-19</v>
      </c>
      <c r="D172">
        <v>-19</v>
      </c>
      <c r="E172">
        <v>0</v>
      </c>
      <c r="F172">
        <v>1</v>
      </c>
      <c r="G172" t="s">
        <v>5</v>
      </c>
    </row>
    <row r="173" spans="1:7" x14ac:dyDescent="0.35">
      <c r="A173" t="s">
        <v>11</v>
      </c>
      <c r="B173">
        <v>0</v>
      </c>
      <c r="C173">
        <v>54</v>
      </c>
      <c r="D173">
        <v>-88</v>
      </c>
      <c r="E173">
        <v>142</v>
      </c>
      <c r="F173">
        <v>-3</v>
      </c>
      <c r="G173" t="s">
        <v>7</v>
      </c>
    </row>
    <row r="174" spans="1:7" x14ac:dyDescent="0.35">
      <c r="A174" t="s">
        <v>12</v>
      </c>
      <c r="B174">
        <v>13</v>
      </c>
      <c r="C174">
        <v>233</v>
      </c>
      <c r="D174">
        <v>224</v>
      </c>
      <c r="E174">
        <v>9</v>
      </c>
      <c r="F174">
        <v>3</v>
      </c>
      <c r="G174" t="s">
        <v>7</v>
      </c>
    </row>
    <row r="175" spans="1:7" x14ac:dyDescent="0.35">
      <c r="A175" t="s">
        <v>12</v>
      </c>
      <c r="B175">
        <v>4</v>
      </c>
      <c r="C175">
        <v>72</v>
      </c>
      <c r="D175">
        <v>35</v>
      </c>
      <c r="E175">
        <v>37</v>
      </c>
      <c r="F175">
        <v>0</v>
      </c>
      <c r="G175" t="s">
        <v>7</v>
      </c>
    </row>
    <row r="176" spans="1:7" x14ac:dyDescent="0.35">
      <c r="A176" t="s">
        <v>12</v>
      </c>
      <c r="B176">
        <v>4</v>
      </c>
      <c r="C176">
        <v>39</v>
      </c>
      <c r="D176">
        <v>16</v>
      </c>
      <c r="E176">
        <v>23</v>
      </c>
      <c r="F176">
        <v>2</v>
      </c>
      <c r="G176" t="s">
        <v>5</v>
      </c>
    </row>
    <row r="177" spans="1:7" x14ac:dyDescent="0.35">
      <c r="A177" t="s">
        <v>11</v>
      </c>
      <c r="B177">
        <v>-15</v>
      </c>
      <c r="C177">
        <v>-157</v>
      </c>
      <c r="D177">
        <v>-31</v>
      </c>
      <c r="E177">
        <v>-126</v>
      </c>
      <c r="F177">
        <v>-1</v>
      </c>
      <c r="G177" t="s">
        <v>7</v>
      </c>
    </row>
    <row r="178" spans="1:7" x14ac:dyDescent="0.35">
      <c r="A178" t="s">
        <v>12</v>
      </c>
      <c r="B178">
        <v>0</v>
      </c>
      <c r="C178">
        <v>69</v>
      </c>
      <c r="D178">
        <v>18</v>
      </c>
      <c r="E178">
        <v>51</v>
      </c>
      <c r="F178">
        <v>1</v>
      </c>
      <c r="G178" t="s">
        <v>7</v>
      </c>
    </row>
    <row r="179" spans="1:7" x14ac:dyDescent="0.35">
      <c r="A179" t="s">
        <v>12</v>
      </c>
      <c r="B179">
        <v>8</v>
      </c>
      <c r="C179">
        <v>110</v>
      </c>
      <c r="D179">
        <v>1</v>
      </c>
      <c r="E179">
        <v>109</v>
      </c>
      <c r="F179">
        <v>-2</v>
      </c>
      <c r="G179" t="s">
        <v>7</v>
      </c>
    </row>
    <row r="180" spans="1:7" x14ac:dyDescent="0.35">
      <c r="A180" t="s">
        <v>11</v>
      </c>
      <c r="B180">
        <v>-2</v>
      </c>
      <c r="C180">
        <v>109</v>
      </c>
      <c r="D180">
        <v>33</v>
      </c>
      <c r="E180">
        <v>76</v>
      </c>
      <c r="F180">
        <v>0</v>
      </c>
      <c r="G180" t="s">
        <v>7</v>
      </c>
    </row>
    <row r="181" spans="1:7" x14ac:dyDescent="0.35">
      <c r="A181" t="s">
        <v>12</v>
      </c>
      <c r="B181">
        <v>12</v>
      </c>
      <c r="C181">
        <v>168</v>
      </c>
      <c r="D181">
        <v>128</v>
      </c>
      <c r="E181">
        <v>40</v>
      </c>
      <c r="F181">
        <v>0</v>
      </c>
      <c r="G181" t="s">
        <v>7</v>
      </c>
    </row>
    <row r="182" spans="1:7" x14ac:dyDescent="0.35">
      <c r="A182" t="s">
        <v>11</v>
      </c>
      <c r="B182">
        <v>-5</v>
      </c>
      <c r="C182">
        <v>86</v>
      </c>
      <c r="D182">
        <v>32</v>
      </c>
      <c r="E182">
        <v>54</v>
      </c>
      <c r="F182">
        <v>2</v>
      </c>
      <c r="G182" t="s">
        <v>5</v>
      </c>
    </row>
    <row r="183" spans="1:7" x14ac:dyDescent="0.35">
      <c r="A183" t="s">
        <v>12</v>
      </c>
      <c r="B183">
        <v>-2</v>
      </c>
      <c r="C183">
        <v>-61</v>
      </c>
      <c r="D183">
        <v>-96</v>
      </c>
      <c r="E183">
        <v>35</v>
      </c>
      <c r="F183">
        <v>-2</v>
      </c>
      <c r="G183" t="s">
        <v>7</v>
      </c>
    </row>
    <row r="184" spans="1:7" x14ac:dyDescent="0.35">
      <c r="A184" t="s">
        <v>11</v>
      </c>
      <c r="B184">
        <v>12</v>
      </c>
      <c r="C184">
        <v>219</v>
      </c>
      <c r="D184">
        <v>234</v>
      </c>
      <c r="E184">
        <v>-15</v>
      </c>
      <c r="F184">
        <v>-1</v>
      </c>
      <c r="G184" t="s">
        <v>7</v>
      </c>
    </row>
    <row r="185" spans="1:7" x14ac:dyDescent="0.35">
      <c r="A185" t="s">
        <v>12</v>
      </c>
      <c r="B185">
        <v>8</v>
      </c>
      <c r="C185">
        <v>228</v>
      </c>
      <c r="D185">
        <v>226</v>
      </c>
      <c r="E185">
        <v>2</v>
      </c>
      <c r="F185">
        <v>3</v>
      </c>
      <c r="G185" t="s">
        <v>5</v>
      </c>
    </row>
    <row r="186" spans="1:7" x14ac:dyDescent="0.35">
      <c r="A186" t="s">
        <v>11</v>
      </c>
      <c r="B186">
        <v>3</v>
      </c>
      <c r="C186">
        <v>68</v>
      </c>
      <c r="D186">
        <v>87</v>
      </c>
      <c r="E186">
        <v>-19</v>
      </c>
      <c r="F186">
        <v>1</v>
      </c>
      <c r="G186" t="s">
        <v>7</v>
      </c>
    </row>
    <row r="187" spans="1:7" x14ac:dyDescent="0.35">
      <c r="A187" t="s">
        <v>12</v>
      </c>
      <c r="B187">
        <v>11</v>
      </c>
      <c r="C187">
        <v>230</v>
      </c>
      <c r="D187">
        <v>210</v>
      </c>
      <c r="E187">
        <v>20</v>
      </c>
      <c r="F187">
        <v>1</v>
      </c>
      <c r="G187" t="s">
        <v>7</v>
      </c>
    </row>
    <row r="188" spans="1:7" x14ac:dyDescent="0.35">
      <c r="A188" t="s">
        <v>12</v>
      </c>
      <c r="B188">
        <v>-3</v>
      </c>
      <c r="C188">
        <v>67</v>
      </c>
      <c r="D188">
        <v>70</v>
      </c>
      <c r="E188">
        <v>-3</v>
      </c>
      <c r="F188">
        <v>0</v>
      </c>
      <c r="G188" t="s">
        <v>7</v>
      </c>
    </row>
    <row r="189" spans="1:7" x14ac:dyDescent="0.35">
      <c r="A189" t="s">
        <v>11</v>
      </c>
      <c r="B189">
        <v>-3</v>
      </c>
      <c r="C189">
        <v>73</v>
      </c>
      <c r="D189">
        <v>47</v>
      </c>
      <c r="E189">
        <v>26</v>
      </c>
      <c r="F189">
        <v>3</v>
      </c>
      <c r="G189" t="s">
        <v>5</v>
      </c>
    </row>
    <row r="190" spans="1:7" x14ac:dyDescent="0.35">
      <c r="A190" t="s">
        <v>11</v>
      </c>
      <c r="B190">
        <v>-10</v>
      </c>
      <c r="C190">
        <v>-147</v>
      </c>
      <c r="D190">
        <v>-91</v>
      </c>
      <c r="E190">
        <v>-56</v>
      </c>
      <c r="F190">
        <v>-1</v>
      </c>
      <c r="G190" t="s">
        <v>5</v>
      </c>
    </row>
    <row r="191" spans="1:7" x14ac:dyDescent="0.35">
      <c r="A191" t="s">
        <v>12</v>
      </c>
      <c r="B191">
        <v>-8</v>
      </c>
      <c r="C191">
        <v>-123</v>
      </c>
      <c r="D191">
        <v>-127</v>
      </c>
      <c r="E191">
        <v>4</v>
      </c>
      <c r="F191">
        <v>-3</v>
      </c>
      <c r="G191" t="s">
        <v>7</v>
      </c>
    </row>
    <row r="192" spans="1:7" x14ac:dyDescent="0.35">
      <c r="A192" t="s">
        <v>11</v>
      </c>
      <c r="B192">
        <v>-3</v>
      </c>
      <c r="C192">
        <v>-6</v>
      </c>
      <c r="D192">
        <v>-24</v>
      </c>
      <c r="E192">
        <v>18</v>
      </c>
      <c r="F192">
        <v>0</v>
      </c>
      <c r="G192" t="s">
        <v>5</v>
      </c>
    </row>
    <row r="193" spans="1:7" x14ac:dyDescent="0.35">
      <c r="A193" t="s">
        <v>12</v>
      </c>
      <c r="B193">
        <v>2</v>
      </c>
      <c r="C193">
        <v>186</v>
      </c>
      <c r="D193">
        <v>-55</v>
      </c>
      <c r="E193">
        <v>241</v>
      </c>
      <c r="F193">
        <v>-1</v>
      </c>
      <c r="G193" t="s">
        <v>7</v>
      </c>
    </row>
    <row r="194" spans="1:7" x14ac:dyDescent="0.35">
      <c r="A194" t="s">
        <v>11</v>
      </c>
      <c r="B194">
        <v>8</v>
      </c>
      <c r="C194">
        <v>49</v>
      </c>
      <c r="D194">
        <v>86</v>
      </c>
      <c r="E194">
        <v>-37</v>
      </c>
      <c r="F194">
        <v>-1</v>
      </c>
      <c r="G194" t="s">
        <v>5</v>
      </c>
    </row>
    <row r="195" spans="1:7" x14ac:dyDescent="0.35">
      <c r="A195" t="s">
        <v>11</v>
      </c>
      <c r="B195">
        <v>6</v>
      </c>
      <c r="C195">
        <v>7</v>
      </c>
      <c r="D195">
        <v>-84</v>
      </c>
      <c r="E195">
        <v>91</v>
      </c>
      <c r="F195">
        <v>1</v>
      </c>
      <c r="G195" t="s">
        <v>7</v>
      </c>
    </row>
    <row r="196" spans="1:7" x14ac:dyDescent="0.35">
      <c r="A196" t="s">
        <v>12</v>
      </c>
      <c r="B196">
        <v>9</v>
      </c>
      <c r="C196">
        <v>146</v>
      </c>
      <c r="D196">
        <v>95</v>
      </c>
      <c r="E196">
        <v>51</v>
      </c>
      <c r="F196">
        <v>1</v>
      </c>
      <c r="G196" t="s">
        <v>7</v>
      </c>
    </row>
    <row r="197" spans="1:7" x14ac:dyDescent="0.35">
      <c r="A197" t="s">
        <v>12</v>
      </c>
      <c r="B197">
        <v>7</v>
      </c>
      <c r="C197">
        <v>48</v>
      </c>
      <c r="D197">
        <v>-57</v>
      </c>
      <c r="E197">
        <v>105</v>
      </c>
      <c r="F197">
        <v>-2</v>
      </c>
      <c r="G197" t="s">
        <v>7</v>
      </c>
    </row>
    <row r="198" spans="1:7" x14ac:dyDescent="0.35">
      <c r="A198" t="s">
        <v>11</v>
      </c>
      <c r="B198">
        <v>7</v>
      </c>
      <c r="C198">
        <v>129</v>
      </c>
      <c r="D198">
        <v>96</v>
      </c>
      <c r="E198">
        <v>33</v>
      </c>
      <c r="F198">
        <v>0</v>
      </c>
      <c r="G198" t="s">
        <v>7</v>
      </c>
    </row>
    <row r="199" spans="1:7" x14ac:dyDescent="0.35">
      <c r="A199" t="s">
        <v>11</v>
      </c>
      <c r="B199">
        <v>-2</v>
      </c>
      <c r="C199">
        <v>84</v>
      </c>
      <c r="D199">
        <v>-99</v>
      </c>
      <c r="E199">
        <v>183</v>
      </c>
      <c r="F199">
        <v>-2</v>
      </c>
      <c r="G199" t="s">
        <v>7</v>
      </c>
    </row>
    <row r="200" spans="1:7" x14ac:dyDescent="0.35">
      <c r="A200" t="s">
        <v>12</v>
      </c>
      <c r="B200">
        <v>-4</v>
      </c>
      <c r="C200">
        <v>-8</v>
      </c>
      <c r="D200">
        <v>53</v>
      </c>
      <c r="E200">
        <v>-61</v>
      </c>
      <c r="F200">
        <v>-1</v>
      </c>
      <c r="G200" t="s">
        <v>5</v>
      </c>
    </row>
    <row r="201" spans="1:7" x14ac:dyDescent="0.35">
      <c r="A201" t="s">
        <v>11</v>
      </c>
      <c r="B201">
        <v>14</v>
      </c>
      <c r="C201">
        <v>351</v>
      </c>
      <c r="D201">
        <v>293</v>
      </c>
      <c r="E201">
        <v>58</v>
      </c>
      <c r="F201">
        <v>-1</v>
      </c>
      <c r="G201" t="s">
        <v>7</v>
      </c>
    </row>
    <row r="202" spans="1:7" x14ac:dyDescent="0.35">
      <c r="A202" t="s">
        <v>12</v>
      </c>
      <c r="B202">
        <v>4</v>
      </c>
      <c r="C202">
        <v>58</v>
      </c>
      <c r="D202">
        <v>79</v>
      </c>
      <c r="E202">
        <v>-21</v>
      </c>
      <c r="F202">
        <v>4</v>
      </c>
      <c r="G202" t="s">
        <v>5</v>
      </c>
    </row>
    <row r="203" spans="1:7" x14ac:dyDescent="0.35">
      <c r="A203" t="s">
        <v>12</v>
      </c>
      <c r="B203">
        <v>-1</v>
      </c>
      <c r="C203">
        <v>-6</v>
      </c>
      <c r="D203">
        <v>33</v>
      </c>
      <c r="E203">
        <v>-39</v>
      </c>
      <c r="F203">
        <v>2</v>
      </c>
      <c r="G203" t="s">
        <v>5</v>
      </c>
    </row>
    <row r="204" spans="1:7" x14ac:dyDescent="0.35">
      <c r="A204" t="s">
        <v>12</v>
      </c>
      <c r="B204">
        <v>0</v>
      </c>
      <c r="C204">
        <v>-37</v>
      </c>
      <c r="D204">
        <v>-7</v>
      </c>
      <c r="E204">
        <v>-30</v>
      </c>
      <c r="F204">
        <v>1</v>
      </c>
      <c r="G204" t="s">
        <v>5</v>
      </c>
    </row>
    <row r="205" spans="1:7" x14ac:dyDescent="0.35">
      <c r="A205" t="s">
        <v>11</v>
      </c>
      <c r="B205">
        <v>9</v>
      </c>
      <c r="C205">
        <v>30</v>
      </c>
      <c r="D205">
        <v>84</v>
      </c>
      <c r="E205">
        <v>-54</v>
      </c>
      <c r="F205">
        <v>1</v>
      </c>
      <c r="G205" t="s">
        <v>5</v>
      </c>
    </row>
    <row r="206" spans="1:7" x14ac:dyDescent="0.35">
      <c r="A206" t="s">
        <v>12</v>
      </c>
      <c r="B206">
        <v>-4</v>
      </c>
      <c r="C206">
        <v>-158</v>
      </c>
      <c r="D206">
        <v>-86</v>
      </c>
      <c r="E206">
        <v>-72</v>
      </c>
      <c r="F206">
        <v>1</v>
      </c>
      <c r="G206" t="s">
        <v>5</v>
      </c>
    </row>
    <row r="207" spans="1:7" x14ac:dyDescent="0.35">
      <c r="A207" t="s">
        <v>12</v>
      </c>
      <c r="B207">
        <v>3</v>
      </c>
      <c r="C207">
        <v>18</v>
      </c>
      <c r="D207">
        <v>67</v>
      </c>
      <c r="E207">
        <v>-49</v>
      </c>
      <c r="F207">
        <v>3</v>
      </c>
      <c r="G207" t="s">
        <v>5</v>
      </c>
    </row>
    <row r="208" spans="1:7" x14ac:dyDescent="0.35">
      <c r="A208" t="s">
        <v>11</v>
      </c>
      <c r="B208">
        <v>-1</v>
      </c>
      <c r="C208">
        <v>-58</v>
      </c>
      <c r="D208">
        <v>-35</v>
      </c>
      <c r="E208">
        <v>-23</v>
      </c>
      <c r="F208">
        <v>1</v>
      </c>
      <c r="G208" t="s">
        <v>7</v>
      </c>
    </row>
    <row r="209" spans="1:7" x14ac:dyDescent="0.35">
      <c r="A209" t="s">
        <v>12</v>
      </c>
      <c r="B209">
        <v>-7</v>
      </c>
      <c r="C209">
        <v>-129</v>
      </c>
      <c r="D209">
        <v>-96</v>
      </c>
      <c r="E209">
        <v>-33</v>
      </c>
      <c r="F209">
        <v>0</v>
      </c>
      <c r="G209" t="s">
        <v>5</v>
      </c>
    </row>
    <row r="210" spans="1:7" x14ac:dyDescent="0.35">
      <c r="A210" t="s">
        <v>12</v>
      </c>
      <c r="B210">
        <v>-5</v>
      </c>
      <c r="C210">
        <v>69</v>
      </c>
      <c r="D210">
        <v>75</v>
      </c>
      <c r="E210">
        <v>-6</v>
      </c>
      <c r="F210">
        <v>0</v>
      </c>
      <c r="G210" t="s">
        <v>7</v>
      </c>
    </row>
    <row r="211" spans="1:7" x14ac:dyDescent="0.35">
      <c r="A211" t="s">
        <v>11</v>
      </c>
      <c r="B211">
        <v>5</v>
      </c>
      <c r="C211">
        <v>73</v>
      </c>
      <c r="D211">
        <v>48</v>
      </c>
      <c r="E211">
        <v>25</v>
      </c>
      <c r="F211">
        <v>-3</v>
      </c>
      <c r="G211" t="s">
        <v>7</v>
      </c>
    </row>
    <row r="212" spans="1:7" x14ac:dyDescent="0.35">
      <c r="A212" t="s">
        <v>12</v>
      </c>
      <c r="B212">
        <v>1</v>
      </c>
      <c r="C212">
        <v>13</v>
      </c>
      <c r="D212">
        <v>10</v>
      </c>
      <c r="E212">
        <v>3</v>
      </c>
      <c r="F212">
        <v>0</v>
      </c>
      <c r="G212" t="s">
        <v>7</v>
      </c>
    </row>
    <row r="213" spans="1:7" x14ac:dyDescent="0.35">
      <c r="A213" t="s">
        <v>12</v>
      </c>
      <c r="B213">
        <v>-2</v>
      </c>
      <c r="C213">
        <v>-54</v>
      </c>
      <c r="D213">
        <v>-106</v>
      </c>
      <c r="E213">
        <v>52</v>
      </c>
      <c r="F213">
        <v>0</v>
      </c>
      <c r="G213" t="s">
        <v>5</v>
      </c>
    </row>
    <row r="214" spans="1:7" x14ac:dyDescent="0.35">
      <c r="A214" t="s">
        <v>11</v>
      </c>
      <c r="B214">
        <v>-6</v>
      </c>
      <c r="C214">
        <v>-86</v>
      </c>
      <c r="D214">
        <v>-45</v>
      </c>
      <c r="E214">
        <v>-41</v>
      </c>
      <c r="F214">
        <v>-2</v>
      </c>
      <c r="G214" t="s">
        <v>7</v>
      </c>
    </row>
    <row r="215" spans="1:7" x14ac:dyDescent="0.35">
      <c r="A215" t="s">
        <v>11</v>
      </c>
      <c r="B215">
        <v>9</v>
      </c>
      <c r="C215">
        <v>76</v>
      </c>
      <c r="D215">
        <v>175</v>
      </c>
      <c r="E215">
        <v>-99</v>
      </c>
      <c r="F215">
        <v>3</v>
      </c>
      <c r="G215" t="s">
        <v>5</v>
      </c>
    </row>
    <row r="216" spans="1:7" x14ac:dyDescent="0.35">
      <c r="A216" t="s">
        <v>12</v>
      </c>
      <c r="B216">
        <v>6</v>
      </c>
      <c r="C216">
        <v>205</v>
      </c>
      <c r="D216">
        <v>187</v>
      </c>
      <c r="E216">
        <v>18</v>
      </c>
      <c r="F216">
        <v>1</v>
      </c>
      <c r="G216" t="s">
        <v>7</v>
      </c>
    </row>
    <row r="217" spans="1:7" x14ac:dyDescent="0.35">
      <c r="A217" t="s">
        <v>11</v>
      </c>
      <c r="B217">
        <v>3</v>
      </c>
      <c r="C217">
        <v>-141</v>
      </c>
      <c r="D217">
        <v>-146</v>
      </c>
      <c r="E217">
        <v>5</v>
      </c>
      <c r="F217">
        <v>1</v>
      </c>
      <c r="G217" t="s">
        <v>5</v>
      </c>
    </row>
    <row r="218" spans="1:7" x14ac:dyDescent="0.35">
      <c r="A218" t="s">
        <v>11</v>
      </c>
      <c r="B218">
        <v>5</v>
      </c>
      <c r="C218">
        <v>55</v>
      </c>
      <c r="D218">
        <v>6</v>
      </c>
      <c r="E218">
        <v>49</v>
      </c>
      <c r="F218">
        <v>1</v>
      </c>
      <c r="G218" t="s">
        <v>5</v>
      </c>
    </row>
    <row r="219" spans="1:7" x14ac:dyDescent="0.35">
      <c r="A219" t="s">
        <v>12</v>
      </c>
      <c r="B219">
        <v>-5</v>
      </c>
      <c r="C219">
        <v>-94</v>
      </c>
      <c r="D219">
        <v>-21</v>
      </c>
      <c r="E219">
        <v>-73</v>
      </c>
      <c r="F219">
        <v>1</v>
      </c>
      <c r="G219" t="s">
        <v>5</v>
      </c>
    </row>
    <row r="220" spans="1:7" x14ac:dyDescent="0.35">
      <c r="A220" t="s">
        <v>11</v>
      </c>
      <c r="B220">
        <v>-2</v>
      </c>
      <c r="C220">
        <v>34</v>
      </c>
      <c r="D220">
        <v>-26</v>
      </c>
      <c r="E220">
        <v>60</v>
      </c>
      <c r="F220">
        <v>1</v>
      </c>
      <c r="G220" t="s">
        <v>7</v>
      </c>
    </row>
    <row r="221" spans="1:7" x14ac:dyDescent="0.35">
      <c r="A221" t="s">
        <v>11</v>
      </c>
      <c r="B221">
        <v>7</v>
      </c>
      <c r="C221">
        <v>197</v>
      </c>
      <c r="D221">
        <v>243</v>
      </c>
      <c r="E221">
        <v>-46</v>
      </c>
      <c r="F221">
        <v>1</v>
      </c>
      <c r="G221" t="s">
        <v>7</v>
      </c>
    </row>
    <row r="222" spans="1:7" x14ac:dyDescent="0.35">
      <c r="A222" t="s">
        <v>11</v>
      </c>
      <c r="B222">
        <v>0</v>
      </c>
      <c r="C222">
        <v>37</v>
      </c>
      <c r="D222">
        <v>7</v>
      </c>
      <c r="E222">
        <v>30</v>
      </c>
      <c r="F222">
        <v>-1</v>
      </c>
      <c r="G222" t="s">
        <v>7</v>
      </c>
    </row>
    <row r="223" spans="1:7" x14ac:dyDescent="0.35">
      <c r="A223" t="s">
        <v>12</v>
      </c>
      <c r="B223">
        <v>17</v>
      </c>
      <c r="C223">
        <v>214</v>
      </c>
      <c r="D223">
        <v>152</v>
      </c>
      <c r="E223">
        <v>62</v>
      </c>
      <c r="F223">
        <v>-2</v>
      </c>
      <c r="G223" t="s">
        <v>7</v>
      </c>
    </row>
    <row r="224" spans="1:7" x14ac:dyDescent="0.35">
      <c r="A224" t="s">
        <v>12</v>
      </c>
      <c r="B224">
        <v>6</v>
      </c>
      <c r="C224">
        <v>78</v>
      </c>
      <c r="D224">
        <v>143</v>
      </c>
      <c r="E224">
        <v>-65</v>
      </c>
      <c r="F224">
        <v>-1</v>
      </c>
      <c r="G224" t="s">
        <v>7</v>
      </c>
    </row>
    <row r="225" spans="1:7" x14ac:dyDescent="0.35">
      <c r="A225" t="s">
        <v>12</v>
      </c>
      <c r="B225">
        <v>1</v>
      </c>
      <c r="C225">
        <v>-3</v>
      </c>
      <c r="D225">
        <v>92</v>
      </c>
      <c r="E225">
        <v>-95</v>
      </c>
      <c r="F225">
        <v>-2</v>
      </c>
      <c r="G225" t="s">
        <v>7</v>
      </c>
    </row>
    <row r="226" spans="1:7" x14ac:dyDescent="0.35">
      <c r="A226" t="s">
        <v>11</v>
      </c>
      <c r="B226">
        <v>-6</v>
      </c>
      <c r="C226">
        <v>8</v>
      </c>
      <c r="D226">
        <v>32</v>
      </c>
      <c r="E226">
        <v>-24</v>
      </c>
      <c r="F226">
        <v>0</v>
      </c>
      <c r="G226" t="s">
        <v>5</v>
      </c>
    </row>
    <row r="227" spans="1:7" x14ac:dyDescent="0.35">
      <c r="A227" t="s">
        <v>11</v>
      </c>
      <c r="B227">
        <v>0</v>
      </c>
      <c r="C227">
        <v>-79</v>
      </c>
      <c r="D227">
        <v>-26</v>
      </c>
      <c r="E227">
        <v>-53</v>
      </c>
      <c r="F227">
        <v>0</v>
      </c>
      <c r="G227" t="s">
        <v>5</v>
      </c>
    </row>
    <row r="228" spans="1:7" x14ac:dyDescent="0.35">
      <c r="A228" t="s">
        <v>11</v>
      </c>
      <c r="B228">
        <v>-5</v>
      </c>
      <c r="C228">
        <v>5</v>
      </c>
      <c r="D228">
        <v>-28</v>
      </c>
      <c r="E228">
        <v>33</v>
      </c>
      <c r="F228">
        <v>1</v>
      </c>
      <c r="G228" t="s">
        <v>5</v>
      </c>
    </row>
    <row r="229" spans="1:7" x14ac:dyDescent="0.35">
      <c r="A229" t="s">
        <v>11</v>
      </c>
      <c r="B229">
        <v>3</v>
      </c>
      <c r="C229">
        <v>13</v>
      </c>
      <c r="D229">
        <v>56</v>
      </c>
      <c r="E229">
        <v>-43</v>
      </c>
      <c r="F229">
        <v>2</v>
      </c>
      <c r="G229" t="s">
        <v>5</v>
      </c>
    </row>
    <row r="230" spans="1:7" x14ac:dyDescent="0.35">
      <c r="A230" t="s">
        <v>11</v>
      </c>
      <c r="B230">
        <v>-7</v>
      </c>
      <c r="C230">
        <v>-119</v>
      </c>
      <c r="D230">
        <v>-45</v>
      </c>
      <c r="E230">
        <v>-74</v>
      </c>
      <c r="F230">
        <v>3</v>
      </c>
      <c r="G230" t="s">
        <v>5</v>
      </c>
    </row>
    <row r="231" spans="1:7" x14ac:dyDescent="0.35">
      <c r="A231" t="s">
        <v>11</v>
      </c>
      <c r="B231">
        <v>-11</v>
      </c>
      <c r="C231">
        <v>-230</v>
      </c>
      <c r="D231">
        <v>-210</v>
      </c>
      <c r="E231">
        <v>-20</v>
      </c>
      <c r="F231">
        <v>-1</v>
      </c>
      <c r="G231" t="s">
        <v>5</v>
      </c>
    </row>
    <row r="232" spans="1:7" x14ac:dyDescent="0.35">
      <c r="A232" t="s">
        <v>11</v>
      </c>
      <c r="B232">
        <v>-4</v>
      </c>
      <c r="C232">
        <v>104</v>
      </c>
      <c r="D232">
        <v>-52</v>
      </c>
      <c r="E232">
        <v>156</v>
      </c>
      <c r="F232">
        <v>-1</v>
      </c>
      <c r="G232" t="s">
        <v>7</v>
      </c>
    </row>
    <row r="233" spans="1:7" x14ac:dyDescent="0.35">
      <c r="A233" t="s">
        <v>12</v>
      </c>
      <c r="B233">
        <v>8</v>
      </c>
      <c r="C233">
        <v>137</v>
      </c>
      <c r="D233">
        <v>120</v>
      </c>
      <c r="E233">
        <v>17</v>
      </c>
      <c r="F233">
        <v>-2</v>
      </c>
      <c r="G233" t="s">
        <v>7</v>
      </c>
    </row>
    <row r="234" spans="1:7" x14ac:dyDescent="0.35">
      <c r="A234" t="s">
        <v>12</v>
      </c>
      <c r="B234">
        <v>2</v>
      </c>
      <c r="C234">
        <v>-26</v>
      </c>
      <c r="D234">
        <v>-95</v>
      </c>
      <c r="E234">
        <v>69</v>
      </c>
      <c r="F234">
        <v>2</v>
      </c>
      <c r="G234" t="s">
        <v>7</v>
      </c>
    </row>
    <row r="235" spans="1:7" x14ac:dyDescent="0.35">
      <c r="A235" t="s">
        <v>12</v>
      </c>
      <c r="B235">
        <v>2</v>
      </c>
      <c r="C235">
        <v>28</v>
      </c>
      <c r="D235">
        <v>12</v>
      </c>
      <c r="E235">
        <v>16</v>
      </c>
      <c r="F235">
        <v>2</v>
      </c>
      <c r="G235" t="s">
        <v>7</v>
      </c>
    </row>
    <row r="236" spans="1:7" x14ac:dyDescent="0.35">
      <c r="A236" t="s">
        <v>12</v>
      </c>
      <c r="B236">
        <v>-12</v>
      </c>
      <c r="C236">
        <v>-219</v>
      </c>
      <c r="D236">
        <v>-234</v>
      </c>
      <c r="E236">
        <v>15</v>
      </c>
      <c r="F236">
        <v>1</v>
      </c>
      <c r="G236" t="s">
        <v>5</v>
      </c>
    </row>
    <row r="237" spans="1:7" x14ac:dyDescent="0.35">
      <c r="A237" t="s">
        <v>11</v>
      </c>
      <c r="B237">
        <v>-9</v>
      </c>
      <c r="C237">
        <v>-246</v>
      </c>
      <c r="D237">
        <v>-111</v>
      </c>
      <c r="E237">
        <v>-135</v>
      </c>
      <c r="F237">
        <v>1</v>
      </c>
      <c r="G237" t="s">
        <v>5</v>
      </c>
    </row>
    <row r="238" spans="1:7" x14ac:dyDescent="0.35">
      <c r="A238" t="s">
        <v>11</v>
      </c>
      <c r="B238">
        <v>3</v>
      </c>
      <c r="C238">
        <v>45</v>
      </c>
      <c r="D238">
        <v>2</v>
      </c>
      <c r="E238">
        <v>43</v>
      </c>
      <c r="F238">
        <v>2</v>
      </c>
      <c r="G238" t="s">
        <v>7</v>
      </c>
    </row>
    <row r="239" spans="1:7" x14ac:dyDescent="0.35">
      <c r="A239" t="s">
        <v>12</v>
      </c>
      <c r="B239">
        <v>4</v>
      </c>
      <c r="C239">
        <v>151</v>
      </c>
      <c r="D239">
        <v>158</v>
      </c>
      <c r="E239">
        <v>-7</v>
      </c>
      <c r="F239">
        <v>-1</v>
      </c>
      <c r="G239" t="s">
        <v>7</v>
      </c>
    </row>
    <row r="240" spans="1:7" x14ac:dyDescent="0.35">
      <c r="A240" t="s">
        <v>11</v>
      </c>
      <c r="B240">
        <v>7</v>
      </c>
      <c r="C240">
        <v>76</v>
      </c>
      <c r="D240">
        <v>84</v>
      </c>
      <c r="E240">
        <v>-8</v>
      </c>
      <c r="F240">
        <v>2</v>
      </c>
      <c r="G240" t="s">
        <v>5</v>
      </c>
    </row>
    <row r="241" spans="1:7" x14ac:dyDescent="0.35">
      <c r="A241" t="s">
        <v>11</v>
      </c>
      <c r="B241">
        <v>-1</v>
      </c>
      <c r="C241">
        <v>31</v>
      </c>
      <c r="D241">
        <v>-76</v>
      </c>
      <c r="E241">
        <v>107</v>
      </c>
      <c r="F241">
        <v>-1</v>
      </c>
      <c r="G241" t="s">
        <v>7</v>
      </c>
    </row>
    <row r="242" spans="1:7" x14ac:dyDescent="0.35">
      <c r="A242" t="s">
        <v>11</v>
      </c>
      <c r="B242">
        <v>2</v>
      </c>
      <c r="C242">
        <v>-51</v>
      </c>
      <c r="D242">
        <v>-114</v>
      </c>
      <c r="E242">
        <v>63</v>
      </c>
      <c r="F242">
        <v>0</v>
      </c>
      <c r="G242" t="s">
        <v>5</v>
      </c>
    </row>
    <row r="243" spans="1:7" x14ac:dyDescent="0.35">
      <c r="A243" t="s">
        <v>11</v>
      </c>
      <c r="B243">
        <v>-9</v>
      </c>
      <c r="C243">
        <v>-157</v>
      </c>
      <c r="D243">
        <v>-90</v>
      </c>
      <c r="E243">
        <v>-67</v>
      </c>
      <c r="F243">
        <v>1</v>
      </c>
      <c r="G243" t="s">
        <v>5</v>
      </c>
    </row>
    <row r="244" spans="1:7" x14ac:dyDescent="0.35">
      <c r="A244" t="s">
        <v>11</v>
      </c>
      <c r="B244">
        <v>1</v>
      </c>
      <c r="C244">
        <v>-1</v>
      </c>
      <c r="D244">
        <v>-76</v>
      </c>
      <c r="E244">
        <v>75</v>
      </c>
      <c r="F244">
        <v>-6</v>
      </c>
      <c r="G244" t="s">
        <v>7</v>
      </c>
    </row>
    <row r="245" spans="1:7" x14ac:dyDescent="0.35">
      <c r="A245" t="s">
        <v>12</v>
      </c>
      <c r="B245">
        <v>18</v>
      </c>
      <c r="C245">
        <v>273</v>
      </c>
      <c r="D245">
        <v>176</v>
      </c>
      <c r="E245">
        <v>97</v>
      </c>
      <c r="F245">
        <v>1</v>
      </c>
      <c r="G245" t="s">
        <v>7</v>
      </c>
    </row>
    <row r="246" spans="1:7" x14ac:dyDescent="0.35">
      <c r="A246" t="s">
        <v>11</v>
      </c>
      <c r="B246">
        <v>-2</v>
      </c>
      <c r="C246">
        <v>43</v>
      </c>
      <c r="D246">
        <v>50</v>
      </c>
      <c r="E246">
        <v>-7</v>
      </c>
      <c r="F246">
        <v>-1</v>
      </c>
      <c r="G246" t="s">
        <v>7</v>
      </c>
    </row>
    <row r="247" spans="1:7" x14ac:dyDescent="0.35">
      <c r="A247" t="s">
        <v>11</v>
      </c>
      <c r="B247">
        <v>2</v>
      </c>
      <c r="C247">
        <v>48</v>
      </c>
      <c r="D247">
        <v>34</v>
      </c>
      <c r="E247">
        <v>14</v>
      </c>
      <c r="F247">
        <v>0</v>
      </c>
      <c r="G247" t="s">
        <v>7</v>
      </c>
    </row>
    <row r="248" spans="1:7" x14ac:dyDescent="0.35">
      <c r="A248" t="s">
        <v>12</v>
      </c>
      <c r="B248">
        <v>2</v>
      </c>
      <c r="C248">
        <v>57</v>
      </c>
      <c r="D248">
        <v>137</v>
      </c>
      <c r="E248">
        <v>-80</v>
      </c>
      <c r="F248">
        <v>1</v>
      </c>
      <c r="G248" t="s">
        <v>5</v>
      </c>
    </row>
    <row r="249" spans="1:7" x14ac:dyDescent="0.35">
      <c r="A249" t="s">
        <v>11</v>
      </c>
      <c r="B249">
        <v>15</v>
      </c>
      <c r="C249">
        <v>163</v>
      </c>
      <c r="D249">
        <v>24</v>
      </c>
      <c r="E249">
        <v>139</v>
      </c>
      <c r="F249">
        <v>1</v>
      </c>
      <c r="G249" t="s">
        <v>7</v>
      </c>
    </row>
    <row r="250" spans="1:7" x14ac:dyDescent="0.35">
      <c r="A250" t="s">
        <v>11</v>
      </c>
      <c r="B250">
        <v>8</v>
      </c>
      <c r="C250">
        <v>127</v>
      </c>
      <c r="D250">
        <v>178</v>
      </c>
      <c r="E250">
        <v>-51</v>
      </c>
      <c r="F250">
        <v>0</v>
      </c>
      <c r="G250" t="s">
        <v>7</v>
      </c>
    </row>
    <row r="251" spans="1:7" x14ac:dyDescent="0.35">
      <c r="A251" t="s">
        <v>11</v>
      </c>
      <c r="B251">
        <v>5</v>
      </c>
      <c r="C251">
        <v>-69</v>
      </c>
      <c r="D251">
        <v>-75</v>
      </c>
      <c r="E251">
        <v>6</v>
      </c>
      <c r="F251">
        <v>0</v>
      </c>
      <c r="G251" t="s">
        <v>5</v>
      </c>
    </row>
    <row r="252" spans="1:7" x14ac:dyDescent="0.35">
      <c r="A252" t="s">
        <v>11</v>
      </c>
      <c r="B252">
        <v>-3</v>
      </c>
      <c r="C252">
        <v>-59</v>
      </c>
      <c r="D252">
        <v>-137</v>
      </c>
      <c r="E252">
        <v>78</v>
      </c>
      <c r="F252">
        <v>-2</v>
      </c>
      <c r="G252" t="s">
        <v>5</v>
      </c>
    </row>
    <row r="253" spans="1:7" x14ac:dyDescent="0.35">
      <c r="A253" t="s">
        <v>11</v>
      </c>
      <c r="B253">
        <v>8</v>
      </c>
      <c r="C253">
        <v>123</v>
      </c>
      <c r="D253">
        <v>127</v>
      </c>
      <c r="E253">
        <v>-4</v>
      </c>
      <c r="F253">
        <v>3</v>
      </c>
      <c r="G253" t="s">
        <v>5</v>
      </c>
    </row>
    <row r="254" spans="1:7" x14ac:dyDescent="0.35">
      <c r="A254" t="s">
        <v>12</v>
      </c>
      <c r="B254">
        <v>2</v>
      </c>
      <c r="C254">
        <v>-84</v>
      </c>
      <c r="D254">
        <v>99</v>
      </c>
      <c r="E254">
        <v>-183</v>
      </c>
      <c r="F254">
        <v>2</v>
      </c>
      <c r="G254" t="s">
        <v>5</v>
      </c>
    </row>
    <row r="255" spans="1:7" x14ac:dyDescent="0.35">
      <c r="A255" t="s">
        <v>11</v>
      </c>
      <c r="B255">
        <v>7</v>
      </c>
      <c r="C255">
        <v>7</v>
      </c>
      <c r="D255">
        <v>-137</v>
      </c>
      <c r="E255">
        <v>144</v>
      </c>
      <c r="F255">
        <v>0</v>
      </c>
      <c r="G255" t="s">
        <v>7</v>
      </c>
    </row>
    <row r="256" spans="1:7" x14ac:dyDescent="0.35">
      <c r="A256" t="s">
        <v>12</v>
      </c>
      <c r="B256">
        <v>5</v>
      </c>
      <c r="C256">
        <v>46</v>
      </c>
      <c r="D256">
        <v>58</v>
      </c>
      <c r="E256">
        <v>-12</v>
      </c>
      <c r="F256">
        <v>0</v>
      </c>
      <c r="G256" t="s">
        <v>7</v>
      </c>
    </row>
    <row r="257" spans="1:7" x14ac:dyDescent="0.35">
      <c r="A257" t="s">
        <v>11</v>
      </c>
      <c r="B257">
        <v>0</v>
      </c>
      <c r="C257">
        <v>-69</v>
      </c>
      <c r="D257">
        <v>-18</v>
      </c>
      <c r="E257">
        <v>-51</v>
      </c>
      <c r="F257">
        <v>-1</v>
      </c>
      <c r="G257" t="s">
        <v>5</v>
      </c>
    </row>
    <row r="258" spans="1:7" x14ac:dyDescent="0.35">
      <c r="A258" t="s">
        <v>12</v>
      </c>
      <c r="B258">
        <v>3</v>
      </c>
      <c r="C258">
        <v>9</v>
      </c>
      <c r="D258">
        <v>-63</v>
      </c>
      <c r="E258">
        <v>72</v>
      </c>
      <c r="F258">
        <v>-2</v>
      </c>
      <c r="G258" t="s">
        <v>7</v>
      </c>
    </row>
    <row r="259" spans="1:7" x14ac:dyDescent="0.35">
      <c r="A259" t="s">
        <v>12</v>
      </c>
      <c r="B259">
        <v>-3</v>
      </c>
      <c r="C259">
        <v>79</v>
      </c>
      <c r="D259">
        <v>182</v>
      </c>
      <c r="E259">
        <v>-103</v>
      </c>
      <c r="F259">
        <v>1</v>
      </c>
      <c r="G259" t="s">
        <v>5</v>
      </c>
    </row>
    <row r="260" spans="1:7" x14ac:dyDescent="0.35">
      <c r="A260" t="s">
        <v>11</v>
      </c>
      <c r="B260">
        <v>-2</v>
      </c>
      <c r="C260">
        <v>82</v>
      </c>
      <c r="D260">
        <v>2</v>
      </c>
      <c r="E260">
        <v>80</v>
      </c>
      <c r="F260">
        <v>0</v>
      </c>
      <c r="G260" t="s">
        <v>7</v>
      </c>
    </row>
    <row r="261" spans="1:7" x14ac:dyDescent="0.35">
      <c r="A261" t="s">
        <v>12</v>
      </c>
      <c r="B261">
        <v>12</v>
      </c>
      <c r="C261">
        <v>188</v>
      </c>
      <c r="D261">
        <v>270</v>
      </c>
      <c r="E261">
        <v>-82</v>
      </c>
      <c r="F261">
        <v>3</v>
      </c>
      <c r="G261" t="s">
        <v>5</v>
      </c>
    </row>
    <row r="262" spans="1:7" x14ac:dyDescent="0.35">
      <c r="A262" t="s">
        <v>11</v>
      </c>
      <c r="B262">
        <v>1</v>
      </c>
      <c r="C262">
        <v>33</v>
      </c>
      <c r="D262">
        <v>75</v>
      </c>
      <c r="E262">
        <v>-42</v>
      </c>
      <c r="F262">
        <v>1</v>
      </c>
      <c r="G262" t="s">
        <v>7</v>
      </c>
    </row>
    <row r="263" spans="1:7" x14ac:dyDescent="0.35">
      <c r="A263" t="s">
        <v>12</v>
      </c>
      <c r="B263">
        <v>8</v>
      </c>
      <c r="C263">
        <v>218</v>
      </c>
      <c r="D263">
        <v>142</v>
      </c>
      <c r="E263">
        <v>76</v>
      </c>
      <c r="F263">
        <v>-1</v>
      </c>
      <c r="G263" t="s">
        <v>7</v>
      </c>
    </row>
    <row r="264" spans="1:7" x14ac:dyDescent="0.35">
      <c r="A264" t="s">
        <v>12</v>
      </c>
      <c r="B264">
        <v>-6</v>
      </c>
      <c r="C264">
        <v>-84</v>
      </c>
      <c r="D264">
        <v>117</v>
      </c>
      <c r="E264">
        <v>-201</v>
      </c>
      <c r="F264">
        <v>1</v>
      </c>
      <c r="G264" t="s">
        <v>5</v>
      </c>
    </row>
    <row r="265" spans="1:7" x14ac:dyDescent="0.35">
      <c r="A265" t="s">
        <v>11</v>
      </c>
      <c r="B265">
        <v>10</v>
      </c>
      <c r="C265">
        <v>197</v>
      </c>
      <c r="D265">
        <v>235</v>
      </c>
      <c r="E265">
        <v>-38</v>
      </c>
      <c r="F265">
        <v>2</v>
      </c>
      <c r="G265" t="s">
        <v>5</v>
      </c>
    </row>
    <row r="266" spans="1:7" x14ac:dyDescent="0.35">
      <c r="A266" t="s">
        <v>12</v>
      </c>
      <c r="B266">
        <v>9</v>
      </c>
      <c r="C266">
        <v>99</v>
      </c>
      <c r="D266">
        <v>162</v>
      </c>
      <c r="E266">
        <v>-63</v>
      </c>
      <c r="F266">
        <v>1</v>
      </c>
      <c r="G266" t="s">
        <v>5</v>
      </c>
    </row>
    <row r="267" spans="1:7" x14ac:dyDescent="0.35">
      <c r="A267" t="s">
        <v>11</v>
      </c>
      <c r="B267">
        <v>0</v>
      </c>
      <c r="C267">
        <v>-12</v>
      </c>
      <c r="D267">
        <v>-22</v>
      </c>
      <c r="E267">
        <v>10</v>
      </c>
      <c r="F267">
        <v>0</v>
      </c>
      <c r="G267" t="s">
        <v>5</v>
      </c>
    </row>
    <row r="268" spans="1:7" x14ac:dyDescent="0.35">
      <c r="A268" t="s">
        <v>12</v>
      </c>
      <c r="B268">
        <v>-17</v>
      </c>
      <c r="C268">
        <v>-259</v>
      </c>
      <c r="D268">
        <v>4</v>
      </c>
      <c r="E268">
        <v>-263</v>
      </c>
      <c r="F268">
        <v>2</v>
      </c>
      <c r="G268" t="s">
        <v>5</v>
      </c>
    </row>
    <row r="269" spans="1:7" x14ac:dyDescent="0.35">
      <c r="A269" t="s">
        <v>11</v>
      </c>
      <c r="B269">
        <v>-6</v>
      </c>
      <c r="C269">
        <v>-205</v>
      </c>
      <c r="D269">
        <v>-187</v>
      </c>
      <c r="E269">
        <v>-18</v>
      </c>
      <c r="F269">
        <v>-1</v>
      </c>
      <c r="G269" t="s">
        <v>5</v>
      </c>
    </row>
    <row r="270" spans="1:7" x14ac:dyDescent="0.35">
      <c r="A270" t="s">
        <v>11</v>
      </c>
      <c r="B270">
        <v>-7</v>
      </c>
      <c r="C270">
        <v>-109</v>
      </c>
      <c r="D270">
        <v>-82</v>
      </c>
      <c r="E270">
        <v>-27</v>
      </c>
      <c r="F270">
        <v>0</v>
      </c>
      <c r="G270" t="s">
        <v>5</v>
      </c>
    </row>
    <row r="271" spans="1:7" x14ac:dyDescent="0.35">
      <c r="A271" t="s">
        <v>11</v>
      </c>
      <c r="B271">
        <v>3</v>
      </c>
      <c r="C271">
        <v>121</v>
      </c>
      <c r="D271">
        <v>-24</v>
      </c>
      <c r="E271">
        <v>145</v>
      </c>
      <c r="F271">
        <v>-1</v>
      </c>
      <c r="G271" t="s">
        <v>7</v>
      </c>
    </row>
    <row r="272" spans="1:7" x14ac:dyDescent="0.35">
      <c r="A272" t="s">
        <v>11</v>
      </c>
      <c r="B272">
        <v>7</v>
      </c>
      <c r="C272">
        <v>-5</v>
      </c>
      <c r="D272">
        <v>-26</v>
      </c>
      <c r="E272">
        <v>21</v>
      </c>
      <c r="F272">
        <v>-1</v>
      </c>
      <c r="G272" t="s">
        <v>5</v>
      </c>
    </row>
    <row r="273" spans="1:7" x14ac:dyDescent="0.35">
      <c r="A273" t="s">
        <v>12</v>
      </c>
      <c r="B273">
        <v>2</v>
      </c>
      <c r="C273">
        <v>47</v>
      </c>
      <c r="D273">
        <v>15</v>
      </c>
      <c r="E273">
        <v>32</v>
      </c>
      <c r="F273">
        <v>-2</v>
      </c>
      <c r="G273" t="s">
        <v>7</v>
      </c>
    </row>
    <row r="274" spans="1:7" x14ac:dyDescent="0.35">
      <c r="A274" t="s">
        <v>11</v>
      </c>
      <c r="B274">
        <v>19</v>
      </c>
      <c r="C274">
        <v>443</v>
      </c>
      <c r="D274">
        <v>199</v>
      </c>
      <c r="E274">
        <v>244</v>
      </c>
      <c r="F274">
        <v>-3</v>
      </c>
      <c r="G274" t="s">
        <v>7</v>
      </c>
    </row>
    <row r="275" spans="1:7" x14ac:dyDescent="0.35">
      <c r="A275" t="s">
        <v>12</v>
      </c>
      <c r="B275">
        <v>5</v>
      </c>
      <c r="C275">
        <v>-5</v>
      </c>
      <c r="D275">
        <v>28</v>
      </c>
      <c r="E275">
        <v>-33</v>
      </c>
      <c r="F275">
        <v>-1</v>
      </c>
      <c r="G275" t="s">
        <v>7</v>
      </c>
    </row>
    <row r="276" spans="1:7" x14ac:dyDescent="0.35">
      <c r="A276" t="s">
        <v>11</v>
      </c>
      <c r="B276">
        <v>7</v>
      </c>
      <c r="C276">
        <v>100</v>
      </c>
      <c r="D276">
        <v>71</v>
      </c>
      <c r="E276">
        <v>29</v>
      </c>
      <c r="F276">
        <v>-1</v>
      </c>
      <c r="G276" t="s">
        <v>7</v>
      </c>
    </row>
    <row r="277" spans="1:7" x14ac:dyDescent="0.35">
      <c r="A277" t="s">
        <v>11</v>
      </c>
      <c r="B277">
        <v>3</v>
      </c>
      <c r="C277">
        <v>191</v>
      </c>
      <c r="D277">
        <v>65</v>
      </c>
      <c r="E277">
        <v>126</v>
      </c>
      <c r="F277">
        <v>0</v>
      </c>
      <c r="G277" t="s">
        <v>7</v>
      </c>
    </row>
    <row r="278" spans="1:7" x14ac:dyDescent="0.35">
      <c r="A278" t="s">
        <v>11</v>
      </c>
      <c r="B278">
        <v>-13</v>
      </c>
      <c r="C278">
        <v>-266</v>
      </c>
      <c r="D278">
        <v>-93</v>
      </c>
      <c r="E278">
        <v>-173</v>
      </c>
      <c r="F278">
        <v>4</v>
      </c>
      <c r="G278" t="s">
        <v>5</v>
      </c>
    </row>
    <row r="279" spans="1:7" x14ac:dyDescent="0.35">
      <c r="A279" t="s">
        <v>11</v>
      </c>
      <c r="B279">
        <v>2</v>
      </c>
      <c r="C279">
        <v>-24</v>
      </c>
      <c r="D279">
        <v>-86</v>
      </c>
      <c r="E279">
        <v>62</v>
      </c>
      <c r="F279">
        <v>2</v>
      </c>
      <c r="G279" t="s">
        <v>5</v>
      </c>
    </row>
    <row r="280" spans="1:7" x14ac:dyDescent="0.35">
      <c r="A280" t="s">
        <v>11</v>
      </c>
      <c r="B280">
        <v>6</v>
      </c>
      <c r="C280">
        <v>219</v>
      </c>
      <c r="D280">
        <v>53</v>
      </c>
      <c r="E280">
        <v>166</v>
      </c>
      <c r="F280">
        <v>1</v>
      </c>
      <c r="G280" t="s">
        <v>7</v>
      </c>
    </row>
    <row r="281" spans="1:7" x14ac:dyDescent="0.35">
      <c r="A281" t="s">
        <v>11</v>
      </c>
      <c r="B281">
        <v>-3</v>
      </c>
      <c r="C281">
        <v>51</v>
      </c>
      <c r="D281">
        <v>5</v>
      </c>
      <c r="E281">
        <v>46</v>
      </c>
      <c r="F281">
        <v>0</v>
      </c>
      <c r="G281" t="s">
        <v>7</v>
      </c>
    </row>
    <row r="282" spans="1:7" x14ac:dyDescent="0.35">
      <c r="A282" t="s">
        <v>12</v>
      </c>
      <c r="B282">
        <v>3</v>
      </c>
      <c r="C282">
        <v>59</v>
      </c>
      <c r="D282">
        <v>137</v>
      </c>
      <c r="E282">
        <v>-78</v>
      </c>
      <c r="F282">
        <v>2</v>
      </c>
      <c r="G282" t="s">
        <v>7</v>
      </c>
    </row>
    <row r="283" spans="1:7" x14ac:dyDescent="0.35">
      <c r="A283" t="s">
        <v>12</v>
      </c>
      <c r="B283">
        <v>4</v>
      </c>
      <c r="C283">
        <v>-104</v>
      </c>
      <c r="D283">
        <v>52</v>
      </c>
      <c r="E283">
        <v>-156</v>
      </c>
      <c r="F283">
        <v>1</v>
      </c>
      <c r="G283" t="s">
        <v>5</v>
      </c>
    </row>
    <row r="284" spans="1:7" x14ac:dyDescent="0.35">
      <c r="A284" t="s">
        <v>11</v>
      </c>
      <c r="B284">
        <v>8</v>
      </c>
      <c r="C284">
        <v>188</v>
      </c>
      <c r="D284">
        <v>26</v>
      </c>
      <c r="E284">
        <v>162</v>
      </c>
      <c r="F284">
        <v>-1</v>
      </c>
      <c r="G284" t="s">
        <v>7</v>
      </c>
    </row>
    <row r="285" spans="1:7" x14ac:dyDescent="0.35">
      <c r="A285" t="s">
        <v>11</v>
      </c>
      <c r="B285">
        <v>-8</v>
      </c>
      <c r="C285">
        <v>-228</v>
      </c>
      <c r="D285">
        <v>-226</v>
      </c>
      <c r="E285">
        <v>-2</v>
      </c>
      <c r="F285">
        <v>-3</v>
      </c>
      <c r="G285" t="s">
        <v>7</v>
      </c>
    </row>
    <row r="286" spans="1:7" x14ac:dyDescent="0.35">
      <c r="A286" t="s">
        <v>12</v>
      </c>
      <c r="B286">
        <v>7</v>
      </c>
      <c r="C286">
        <v>109</v>
      </c>
      <c r="D286">
        <v>82</v>
      </c>
      <c r="E286">
        <v>27</v>
      </c>
      <c r="F286">
        <v>0</v>
      </c>
      <c r="G286" t="s">
        <v>7</v>
      </c>
    </row>
    <row r="287" spans="1:7" x14ac:dyDescent="0.35">
      <c r="A287" t="s">
        <v>12</v>
      </c>
      <c r="B287">
        <v>-7</v>
      </c>
      <c r="C287">
        <v>5</v>
      </c>
      <c r="D287">
        <v>26</v>
      </c>
      <c r="E287">
        <v>-21</v>
      </c>
      <c r="F287">
        <v>1</v>
      </c>
      <c r="G287" t="s">
        <v>7</v>
      </c>
    </row>
    <row r="288" spans="1:7" x14ac:dyDescent="0.35">
      <c r="A288" t="s">
        <v>11</v>
      </c>
      <c r="B288">
        <v>3</v>
      </c>
      <c r="C288">
        <v>113</v>
      </c>
      <c r="D288">
        <v>136</v>
      </c>
      <c r="E288">
        <v>-23</v>
      </c>
      <c r="F288">
        <v>0</v>
      </c>
      <c r="G288" t="s">
        <v>7</v>
      </c>
    </row>
    <row r="289" spans="1:7" x14ac:dyDescent="0.35">
      <c r="A289" t="s">
        <v>12</v>
      </c>
      <c r="B289">
        <v>1</v>
      </c>
      <c r="C289">
        <v>13</v>
      </c>
      <c r="D289">
        <v>-3</v>
      </c>
      <c r="E289">
        <v>16</v>
      </c>
      <c r="F289">
        <v>3</v>
      </c>
      <c r="G289" t="s">
        <v>5</v>
      </c>
    </row>
    <row r="290" spans="1:7" x14ac:dyDescent="0.35">
      <c r="A290" t="s">
        <v>12</v>
      </c>
      <c r="B290">
        <v>5</v>
      </c>
      <c r="C290">
        <v>92</v>
      </c>
      <c r="D290">
        <v>184</v>
      </c>
      <c r="E290">
        <v>-92</v>
      </c>
      <c r="F290">
        <v>2</v>
      </c>
      <c r="G290" t="s">
        <v>5</v>
      </c>
    </row>
    <row r="291" spans="1:7" x14ac:dyDescent="0.35">
      <c r="A291" t="s">
        <v>11</v>
      </c>
      <c r="B291">
        <v>-5</v>
      </c>
      <c r="C291">
        <v>-92</v>
      </c>
      <c r="D291">
        <v>-184</v>
      </c>
      <c r="E291">
        <v>92</v>
      </c>
      <c r="F291">
        <v>-2</v>
      </c>
      <c r="G291" t="s">
        <v>7</v>
      </c>
    </row>
    <row r="292" spans="1:7" x14ac:dyDescent="0.35">
      <c r="A292" t="s">
        <v>12</v>
      </c>
      <c r="B292">
        <v>1</v>
      </c>
      <c r="C292">
        <v>-72</v>
      </c>
      <c r="D292">
        <v>-93</v>
      </c>
      <c r="E292">
        <v>21</v>
      </c>
      <c r="F292">
        <v>2</v>
      </c>
      <c r="G292" t="s">
        <v>5</v>
      </c>
    </row>
    <row r="293" spans="1:7" x14ac:dyDescent="0.35">
      <c r="A293" t="s">
        <v>12</v>
      </c>
      <c r="B293">
        <v>-3</v>
      </c>
      <c r="C293">
        <v>-18</v>
      </c>
      <c r="D293">
        <v>4</v>
      </c>
      <c r="E293">
        <v>-22</v>
      </c>
      <c r="F293">
        <v>2</v>
      </c>
      <c r="G293" t="s">
        <v>5</v>
      </c>
    </row>
    <row r="294" spans="1:7" x14ac:dyDescent="0.35">
      <c r="A294" t="s">
        <v>11</v>
      </c>
      <c r="B294">
        <v>-2</v>
      </c>
      <c r="C294">
        <v>10</v>
      </c>
      <c r="D294">
        <v>44</v>
      </c>
      <c r="E294">
        <v>-34</v>
      </c>
      <c r="F294">
        <v>0</v>
      </c>
      <c r="G294" t="s">
        <v>7</v>
      </c>
    </row>
    <row r="295" spans="1:7" x14ac:dyDescent="0.35">
      <c r="A295" t="s">
        <v>11</v>
      </c>
      <c r="B295">
        <v>14</v>
      </c>
      <c r="C295">
        <v>240</v>
      </c>
      <c r="D295">
        <v>54</v>
      </c>
      <c r="E295">
        <v>186</v>
      </c>
      <c r="F295">
        <v>0</v>
      </c>
      <c r="G295" t="s">
        <v>7</v>
      </c>
    </row>
    <row r="296" spans="1:7" x14ac:dyDescent="0.35">
      <c r="A296" t="s">
        <v>12</v>
      </c>
      <c r="B296">
        <v>1</v>
      </c>
      <c r="C296">
        <v>-18</v>
      </c>
      <c r="D296">
        <v>-41</v>
      </c>
      <c r="E296">
        <v>23</v>
      </c>
      <c r="F296">
        <v>-1</v>
      </c>
      <c r="G296" t="s">
        <v>7</v>
      </c>
    </row>
    <row r="297" spans="1:7" x14ac:dyDescent="0.35">
      <c r="A297" t="s">
        <v>11</v>
      </c>
      <c r="B297">
        <v>-8</v>
      </c>
      <c r="C297">
        <v>-81</v>
      </c>
      <c r="D297">
        <v>154</v>
      </c>
      <c r="E297">
        <v>-235</v>
      </c>
      <c r="F297">
        <v>-1</v>
      </c>
      <c r="G297" t="s">
        <v>5</v>
      </c>
    </row>
    <row r="298" spans="1:7" x14ac:dyDescent="0.35">
      <c r="A298" t="s">
        <v>11</v>
      </c>
      <c r="B298">
        <v>-9</v>
      </c>
      <c r="C298">
        <v>-148</v>
      </c>
      <c r="D298">
        <v>-34</v>
      </c>
      <c r="E298">
        <v>-114</v>
      </c>
      <c r="F298">
        <v>-3</v>
      </c>
      <c r="G298" t="s">
        <v>5</v>
      </c>
    </row>
    <row r="299" spans="1:7" x14ac:dyDescent="0.35">
      <c r="A299" t="s">
        <v>11</v>
      </c>
      <c r="B299">
        <v>-10</v>
      </c>
      <c r="C299">
        <v>-162</v>
      </c>
      <c r="D299">
        <v>-35</v>
      </c>
      <c r="E299">
        <v>-127</v>
      </c>
      <c r="F299">
        <v>0</v>
      </c>
      <c r="G299" t="s">
        <v>5</v>
      </c>
    </row>
    <row r="300" spans="1:7" x14ac:dyDescent="0.35">
      <c r="A300" t="s">
        <v>12</v>
      </c>
      <c r="B300">
        <v>8</v>
      </c>
      <c r="C300">
        <v>-40</v>
      </c>
      <c r="D300">
        <v>21</v>
      </c>
      <c r="E300">
        <v>-61</v>
      </c>
      <c r="F300">
        <v>2</v>
      </c>
      <c r="G300" t="s">
        <v>5</v>
      </c>
    </row>
    <row r="301" spans="1:7" x14ac:dyDescent="0.35">
      <c r="A301" t="s">
        <v>12</v>
      </c>
      <c r="B301">
        <v>3</v>
      </c>
      <c r="C301">
        <v>-51</v>
      </c>
      <c r="D301">
        <v>-5</v>
      </c>
      <c r="E301">
        <v>-46</v>
      </c>
      <c r="F301">
        <v>0</v>
      </c>
      <c r="G301" t="s">
        <v>5</v>
      </c>
    </row>
    <row r="302" spans="1:7" x14ac:dyDescent="0.35">
      <c r="A302" t="s">
        <v>11</v>
      </c>
      <c r="B302">
        <v>7</v>
      </c>
      <c r="C302">
        <v>143</v>
      </c>
      <c r="D302">
        <v>109</v>
      </c>
      <c r="E302">
        <v>34</v>
      </c>
      <c r="F302">
        <v>3</v>
      </c>
      <c r="G302" t="s">
        <v>5</v>
      </c>
    </row>
    <row r="303" spans="1:7" x14ac:dyDescent="0.35">
      <c r="A303" t="s">
        <v>12</v>
      </c>
      <c r="B303">
        <v>-15</v>
      </c>
      <c r="C303">
        <v>-163</v>
      </c>
      <c r="D303">
        <v>-24</v>
      </c>
      <c r="E303">
        <v>-139</v>
      </c>
      <c r="F303">
        <v>-1</v>
      </c>
      <c r="G303" t="s">
        <v>5</v>
      </c>
    </row>
    <row r="304" spans="1:7" x14ac:dyDescent="0.35">
      <c r="A304" t="s">
        <v>12</v>
      </c>
      <c r="B304">
        <v>-14</v>
      </c>
      <c r="C304">
        <v>-351</v>
      </c>
      <c r="D304">
        <v>-293</v>
      </c>
      <c r="E304">
        <v>-58</v>
      </c>
      <c r="F304">
        <v>1</v>
      </c>
      <c r="G304" t="s">
        <v>5</v>
      </c>
    </row>
    <row r="305" spans="1:7" x14ac:dyDescent="0.35">
      <c r="A305" t="s">
        <v>12</v>
      </c>
      <c r="B305">
        <v>-7</v>
      </c>
      <c r="C305">
        <v>-200</v>
      </c>
      <c r="D305">
        <v>-196</v>
      </c>
      <c r="E305">
        <v>-4</v>
      </c>
      <c r="F305">
        <v>2</v>
      </c>
      <c r="G305" t="s">
        <v>5</v>
      </c>
    </row>
    <row r="306" spans="1:7" x14ac:dyDescent="0.35">
      <c r="A306" t="s">
        <v>11</v>
      </c>
      <c r="B306">
        <v>-10</v>
      </c>
      <c r="C306">
        <v>-120</v>
      </c>
      <c r="D306">
        <v>-5</v>
      </c>
      <c r="E306">
        <v>-115</v>
      </c>
      <c r="F306">
        <v>2</v>
      </c>
      <c r="G306" t="s">
        <v>5</v>
      </c>
    </row>
    <row r="307" spans="1:7" x14ac:dyDescent="0.35">
      <c r="A307" t="s">
        <v>11</v>
      </c>
      <c r="B307">
        <v>8</v>
      </c>
      <c r="C307">
        <v>131</v>
      </c>
      <c r="D307">
        <v>114</v>
      </c>
      <c r="E307">
        <v>17</v>
      </c>
      <c r="F307">
        <v>1</v>
      </c>
      <c r="G307" t="s">
        <v>5</v>
      </c>
    </row>
    <row r="308" spans="1:7" x14ac:dyDescent="0.35">
      <c r="A308" t="s">
        <v>12</v>
      </c>
      <c r="B308">
        <v>4</v>
      </c>
      <c r="C308">
        <v>-18</v>
      </c>
      <c r="D308">
        <v>-4</v>
      </c>
      <c r="E308">
        <v>-14</v>
      </c>
      <c r="F308">
        <v>-1</v>
      </c>
      <c r="G308" t="s">
        <v>7</v>
      </c>
    </row>
    <row r="309" spans="1:7" x14ac:dyDescent="0.35">
      <c r="A309" t="s">
        <v>11</v>
      </c>
      <c r="B309">
        <v>1</v>
      </c>
      <c r="C309">
        <v>33</v>
      </c>
      <c r="D309">
        <v>-13</v>
      </c>
      <c r="E309">
        <v>46</v>
      </c>
      <c r="F309">
        <v>2</v>
      </c>
      <c r="G309" t="s">
        <v>5</v>
      </c>
    </row>
    <row r="310" spans="1:7" x14ac:dyDescent="0.35">
      <c r="A310" t="s">
        <v>12</v>
      </c>
      <c r="B310">
        <v>-6</v>
      </c>
      <c r="C310">
        <v>-71</v>
      </c>
      <c r="D310">
        <v>14</v>
      </c>
      <c r="E310">
        <v>-85</v>
      </c>
      <c r="F310">
        <v>1</v>
      </c>
      <c r="G310" t="s">
        <v>5</v>
      </c>
    </row>
    <row r="311" spans="1:7" x14ac:dyDescent="0.35">
      <c r="A311" t="s">
        <v>11</v>
      </c>
      <c r="B311">
        <v>-4</v>
      </c>
      <c r="C311">
        <v>-8</v>
      </c>
      <c r="D311">
        <v>-88</v>
      </c>
      <c r="E311">
        <v>80</v>
      </c>
      <c r="F311">
        <v>3</v>
      </c>
      <c r="G311" t="s">
        <v>5</v>
      </c>
    </row>
    <row r="312" spans="1:7" x14ac:dyDescent="0.35">
      <c r="A312" t="s">
        <v>11</v>
      </c>
      <c r="B312">
        <v>15</v>
      </c>
      <c r="C312">
        <v>244</v>
      </c>
      <c r="D312">
        <v>117</v>
      </c>
      <c r="E312">
        <v>127</v>
      </c>
      <c r="F312">
        <v>2</v>
      </c>
      <c r="G312" t="s">
        <v>7</v>
      </c>
    </row>
    <row r="313" spans="1:7" x14ac:dyDescent="0.35">
      <c r="A313" t="s">
        <v>11</v>
      </c>
      <c r="B313">
        <v>-9</v>
      </c>
      <c r="C313">
        <v>50</v>
      </c>
      <c r="D313">
        <v>47</v>
      </c>
      <c r="E313">
        <v>3</v>
      </c>
      <c r="F313">
        <v>0</v>
      </c>
      <c r="G313" t="s">
        <v>7</v>
      </c>
    </row>
    <row r="314" spans="1:7" x14ac:dyDescent="0.35">
      <c r="A314" t="s">
        <v>11</v>
      </c>
      <c r="B314">
        <v>2</v>
      </c>
      <c r="C314">
        <v>-39</v>
      </c>
      <c r="D314">
        <v>-25</v>
      </c>
      <c r="E314">
        <v>-14</v>
      </c>
      <c r="F314">
        <v>-1</v>
      </c>
      <c r="G314" t="s">
        <v>5</v>
      </c>
    </row>
    <row r="315" spans="1:7" x14ac:dyDescent="0.35">
      <c r="A315" t="s">
        <v>11</v>
      </c>
      <c r="B315">
        <v>-2</v>
      </c>
      <c r="C315">
        <v>8</v>
      </c>
      <c r="D315">
        <v>-30</v>
      </c>
      <c r="E315">
        <v>38</v>
      </c>
      <c r="F315">
        <v>1</v>
      </c>
      <c r="G315" t="s">
        <v>5</v>
      </c>
    </row>
    <row r="316" spans="1:7" x14ac:dyDescent="0.35">
      <c r="A316" t="s">
        <v>11</v>
      </c>
      <c r="B316">
        <v>-1</v>
      </c>
      <c r="C316">
        <v>48</v>
      </c>
      <c r="D316">
        <v>133</v>
      </c>
      <c r="E316">
        <v>-85</v>
      </c>
      <c r="F316">
        <v>1</v>
      </c>
      <c r="G316" t="s">
        <v>5</v>
      </c>
    </row>
    <row r="317" spans="1:7" x14ac:dyDescent="0.35">
      <c r="A317" t="s">
        <v>12</v>
      </c>
      <c r="B317">
        <v>6</v>
      </c>
      <c r="C317">
        <v>86</v>
      </c>
      <c r="D317">
        <v>45</v>
      </c>
      <c r="E317">
        <v>41</v>
      </c>
      <c r="F317">
        <v>2</v>
      </c>
      <c r="G317" t="s">
        <v>5</v>
      </c>
    </row>
    <row r="318" spans="1:7" x14ac:dyDescent="0.35">
      <c r="A318" t="s">
        <v>12</v>
      </c>
      <c r="B318">
        <v>8</v>
      </c>
      <c r="C318">
        <v>183</v>
      </c>
      <c r="D318">
        <v>128</v>
      </c>
      <c r="E318">
        <v>55</v>
      </c>
      <c r="F318">
        <v>-1</v>
      </c>
      <c r="G318" t="s">
        <v>7</v>
      </c>
    </row>
    <row r="319" spans="1:7" x14ac:dyDescent="0.35">
      <c r="A319" t="s">
        <v>12</v>
      </c>
      <c r="B319">
        <v>5</v>
      </c>
      <c r="C319">
        <v>-86</v>
      </c>
      <c r="D319">
        <v>-32</v>
      </c>
      <c r="E319">
        <v>-54</v>
      </c>
      <c r="F319">
        <v>-2</v>
      </c>
      <c r="G319" t="s">
        <v>7</v>
      </c>
    </row>
    <row r="320" spans="1:7" x14ac:dyDescent="0.35">
      <c r="A320" t="s">
        <v>12</v>
      </c>
      <c r="B320">
        <v>-6</v>
      </c>
      <c r="C320">
        <v>-7</v>
      </c>
      <c r="D320">
        <v>84</v>
      </c>
      <c r="E320">
        <v>-91</v>
      </c>
      <c r="F320">
        <v>-1</v>
      </c>
      <c r="G320" t="s">
        <v>5</v>
      </c>
    </row>
    <row r="321" spans="1:7" x14ac:dyDescent="0.35">
      <c r="A321" t="s">
        <v>12</v>
      </c>
      <c r="B321">
        <v>13</v>
      </c>
      <c r="C321">
        <v>266</v>
      </c>
      <c r="D321">
        <v>93</v>
      </c>
      <c r="E321">
        <v>173</v>
      </c>
      <c r="F321">
        <v>-4</v>
      </c>
      <c r="G321" t="s">
        <v>7</v>
      </c>
    </row>
    <row r="322" spans="1:7" x14ac:dyDescent="0.35">
      <c r="A322" t="s">
        <v>12</v>
      </c>
      <c r="B322">
        <v>-7</v>
      </c>
      <c r="C322">
        <v>-116</v>
      </c>
      <c r="D322">
        <v>-111</v>
      </c>
      <c r="E322">
        <v>-5</v>
      </c>
      <c r="F322">
        <v>0</v>
      </c>
      <c r="G322" t="s">
        <v>5</v>
      </c>
    </row>
    <row r="323" spans="1:7" x14ac:dyDescent="0.35">
      <c r="A323" t="s">
        <v>11</v>
      </c>
      <c r="B323">
        <v>14</v>
      </c>
      <c r="C323">
        <v>44</v>
      </c>
      <c r="D323">
        <v>93</v>
      </c>
      <c r="E323">
        <v>-49</v>
      </c>
      <c r="F323">
        <v>-2</v>
      </c>
      <c r="G323" t="s">
        <v>7</v>
      </c>
    </row>
    <row r="324" spans="1:7" x14ac:dyDescent="0.35">
      <c r="A324" t="s">
        <v>11</v>
      </c>
      <c r="B324">
        <v>-11</v>
      </c>
      <c r="C324">
        <v>-91</v>
      </c>
      <c r="D324">
        <v>71</v>
      </c>
      <c r="E324">
        <v>-162</v>
      </c>
      <c r="F324">
        <v>0</v>
      </c>
      <c r="G324" t="s">
        <v>5</v>
      </c>
    </row>
    <row r="325" spans="1:7" x14ac:dyDescent="0.35">
      <c r="A325" t="s">
        <v>12</v>
      </c>
      <c r="B325">
        <v>11</v>
      </c>
      <c r="C325">
        <v>249</v>
      </c>
      <c r="D325">
        <v>229</v>
      </c>
      <c r="E325">
        <v>20</v>
      </c>
      <c r="F325">
        <v>0</v>
      </c>
      <c r="G325" t="s">
        <v>5</v>
      </c>
    </row>
    <row r="326" spans="1:7" x14ac:dyDescent="0.35">
      <c r="A326" t="s">
        <v>11</v>
      </c>
      <c r="B326">
        <v>-7</v>
      </c>
      <c r="C326">
        <v>-99</v>
      </c>
      <c r="D326">
        <v>-171</v>
      </c>
      <c r="E326">
        <v>72</v>
      </c>
      <c r="F326">
        <v>-1</v>
      </c>
      <c r="G326" t="s">
        <v>7</v>
      </c>
    </row>
    <row r="327" spans="1:7" x14ac:dyDescent="0.35">
      <c r="A327" t="s">
        <v>12</v>
      </c>
      <c r="B327">
        <v>9</v>
      </c>
      <c r="C327">
        <v>219</v>
      </c>
      <c r="D327">
        <v>110</v>
      </c>
      <c r="E327">
        <v>109</v>
      </c>
      <c r="F327">
        <v>0</v>
      </c>
      <c r="G327" t="s">
        <v>7</v>
      </c>
    </row>
    <row r="328" spans="1:7" x14ac:dyDescent="0.35">
      <c r="A328" t="s">
        <v>11</v>
      </c>
      <c r="B328">
        <v>3</v>
      </c>
      <c r="C328">
        <v>-67</v>
      </c>
      <c r="D328">
        <v>-70</v>
      </c>
      <c r="E328">
        <v>3</v>
      </c>
      <c r="F328">
        <v>0</v>
      </c>
      <c r="G328" t="s">
        <v>5</v>
      </c>
    </row>
    <row r="329" spans="1:7" x14ac:dyDescent="0.35">
      <c r="A329" t="s">
        <v>12</v>
      </c>
      <c r="B329">
        <v>2</v>
      </c>
      <c r="C329">
        <v>-43</v>
      </c>
      <c r="D329">
        <v>-50</v>
      </c>
      <c r="E329">
        <v>7</v>
      </c>
      <c r="F329">
        <v>1</v>
      </c>
      <c r="G329" t="s">
        <v>5</v>
      </c>
    </row>
    <row r="330" spans="1:7" x14ac:dyDescent="0.35">
      <c r="A330" t="s">
        <v>11</v>
      </c>
      <c r="B330">
        <v>3</v>
      </c>
      <c r="C330">
        <v>38</v>
      </c>
      <c r="D330">
        <v>-1</v>
      </c>
      <c r="E330">
        <v>39</v>
      </c>
      <c r="F330">
        <v>-1</v>
      </c>
      <c r="G330" t="s">
        <v>7</v>
      </c>
    </row>
    <row r="331" spans="1:7" x14ac:dyDescent="0.35">
      <c r="A331" t="s">
        <v>11</v>
      </c>
      <c r="B331">
        <v>-3</v>
      </c>
      <c r="C331">
        <v>-96</v>
      </c>
      <c r="D331">
        <v>-128</v>
      </c>
      <c r="E331">
        <v>32</v>
      </c>
      <c r="F331">
        <v>0</v>
      </c>
      <c r="G331" t="s">
        <v>5</v>
      </c>
    </row>
    <row r="332" spans="1:7" x14ac:dyDescent="0.35">
      <c r="A332" t="s">
        <v>12</v>
      </c>
      <c r="B332">
        <v>5</v>
      </c>
      <c r="C332">
        <v>176</v>
      </c>
      <c r="D332">
        <v>277</v>
      </c>
      <c r="E332">
        <v>-101</v>
      </c>
      <c r="F332">
        <v>0</v>
      </c>
      <c r="G332" t="s">
        <v>7</v>
      </c>
    </row>
    <row r="333" spans="1:7" x14ac:dyDescent="0.35">
      <c r="A333" t="s">
        <v>12</v>
      </c>
      <c r="B333">
        <v>-2</v>
      </c>
      <c r="C333">
        <v>-32</v>
      </c>
      <c r="D333">
        <v>47</v>
      </c>
      <c r="E333">
        <v>-79</v>
      </c>
      <c r="F333">
        <v>3</v>
      </c>
      <c r="G333" t="s">
        <v>5</v>
      </c>
    </row>
    <row r="334" spans="1:7" x14ac:dyDescent="0.35">
      <c r="A334" t="s">
        <v>12</v>
      </c>
      <c r="B334">
        <v>6</v>
      </c>
      <c r="C334">
        <v>176</v>
      </c>
      <c r="D334">
        <v>111</v>
      </c>
      <c r="E334">
        <v>65</v>
      </c>
      <c r="F334">
        <v>-2</v>
      </c>
      <c r="G334" t="s">
        <v>7</v>
      </c>
    </row>
    <row r="335" spans="1:7" x14ac:dyDescent="0.35">
      <c r="A335" t="s">
        <v>11</v>
      </c>
      <c r="B335">
        <v>-3</v>
      </c>
      <c r="C335">
        <v>-9</v>
      </c>
      <c r="D335">
        <v>63</v>
      </c>
      <c r="E335">
        <v>-72</v>
      </c>
      <c r="F335">
        <v>2</v>
      </c>
      <c r="G335" t="s">
        <v>5</v>
      </c>
    </row>
    <row r="336" spans="1:7" x14ac:dyDescent="0.35">
      <c r="A336" t="s">
        <v>11</v>
      </c>
      <c r="B336">
        <v>5</v>
      </c>
      <c r="C336">
        <v>118</v>
      </c>
      <c r="D336">
        <v>-2</v>
      </c>
      <c r="E336">
        <v>120</v>
      </c>
      <c r="F336">
        <v>0</v>
      </c>
      <c r="G336" t="s">
        <v>7</v>
      </c>
    </row>
    <row r="337" spans="1:7" x14ac:dyDescent="0.35">
      <c r="A337" t="s">
        <v>12</v>
      </c>
      <c r="B337">
        <v>0</v>
      </c>
      <c r="C337">
        <v>6</v>
      </c>
      <c r="D337">
        <v>79</v>
      </c>
      <c r="E337">
        <v>-73</v>
      </c>
      <c r="F337">
        <v>4</v>
      </c>
      <c r="G337" t="s">
        <v>5</v>
      </c>
    </row>
    <row r="338" spans="1:7" x14ac:dyDescent="0.35">
      <c r="A338" t="s">
        <v>11</v>
      </c>
      <c r="B338">
        <v>4</v>
      </c>
      <c r="C338">
        <v>8</v>
      </c>
      <c r="D338">
        <v>-53</v>
      </c>
      <c r="E338">
        <v>61</v>
      </c>
      <c r="F338">
        <v>1</v>
      </c>
      <c r="G338" t="s">
        <v>7</v>
      </c>
    </row>
    <row r="339" spans="1:7" x14ac:dyDescent="0.35">
      <c r="A339" t="s">
        <v>11</v>
      </c>
      <c r="B339">
        <v>-6</v>
      </c>
      <c r="C339">
        <v>-83</v>
      </c>
      <c r="D339">
        <v>40</v>
      </c>
      <c r="E339">
        <v>-123</v>
      </c>
      <c r="F339">
        <v>1</v>
      </c>
      <c r="G339" t="s">
        <v>5</v>
      </c>
    </row>
    <row r="340" spans="1:7" x14ac:dyDescent="0.35">
      <c r="A340" t="s">
        <v>12</v>
      </c>
      <c r="B340">
        <v>-9</v>
      </c>
      <c r="C340">
        <v>-50</v>
      </c>
      <c r="D340">
        <v>24</v>
      </c>
      <c r="E340">
        <v>-74</v>
      </c>
      <c r="F340">
        <v>3</v>
      </c>
      <c r="G340" t="s">
        <v>5</v>
      </c>
    </row>
    <row r="341" spans="1:7" x14ac:dyDescent="0.35">
      <c r="A341" t="s">
        <v>12</v>
      </c>
      <c r="B341">
        <v>4</v>
      </c>
      <c r="C341">
        <v>123</v>
      </c>
      <c r="D341">
        <v>73</v>
      </c>
      <c r="E341">
        <v>50</v>
      </c>
      <c r="F341">
        <v>-2</v>
      </c>
      <c r="G341" t="s">
        <v>7</v>
      </c>
    </row>
    <row r="342" spans="1:7" x14ac:dyDescent="0.35">
      <c r="A342" t="s">
        <v>12</v>
      </c>
      <c r="B342">
        <v>14</v>
      </c>
      <c r="C342">
        <v>230</v>
      </c>
      <c r="D342">
        <v>262</v>
      </c>
      <c r="E342">
        <v>-32</v>
      </c>
      <c r="F342">
        <v>3</v>
      </c>
      <c r="G342" t="s">
        <v>5</v>
      </c>
    </row>
    <row r="343" spans="1:7" x14ac:dyDescent="0.35">
      <c r="A343" t="s">
        <v>12</v>
      </c>
      <c r="B343">
        <v>-8</v>
      </c>
      <c r="C343">
        <v>-49</v>
      </c>
      <c r="D343">
        <v>-86</v>
      </c>
      <c r="E343">
        <v>37</v>
      </c>
      <c r="F343">
        <v>1</v>
      </c>
      <c r="G343" t="s">
        <v>7</v>
      </c>
    </row>
    <row r="344" spans="1:7" x14ac:dyDescent="0.35">
      <c r="A344" t="s">
        <v>11</v>
      </c>
      <c r="B344">
        <v>-13</v>
      </c>
      <c r="C344">
        <v>-290</v>
      </c>
      <c r="D344">
        <v>-131</v>
      </c>
      <c r="E344">
        <v>-159</v>
      </c>
      <c r="F344">
        <v>0</v>
      </c>
      <c r="G344" t="s">
        <v>5</v>
      </c>
    </row>
    <row r="345" spans="1:7" x14ac:dyDescent="0.35">
      <c r="A345" t="s">
        <v>12</v>
      </c>
      <c r="B345">
        <v>-5</v>
      </c>
      <c r="C345">
        <v>116</v>
      </c>
      <c r="D345">
        <v>57</v>
      </c>
      <c r="E345">
        <v>59</v>
      </c>
      <c r="F345">
        <v>-4</v>
      </c>
      <c r="G345" t="s">
        <v>7</v>
      </c>
    </row>
    <row r="346" spans="1:7" x14ac:dyDescent="0.35">
      <c r="A346" t="s">
        <v>11</v>
      </c>
      <c r="B346">
        <v>-15</v>
      </c>
      <c r="C346">
        <v>-276</v>
      </c>
      <c r="D346">
        <v>-244</v>
      </c>
      <c r="E346">
        <v>-32</v>
      </c>
      <c r="F346">
        <v>-1</v>
      </c>
      <c r="G346" t="s">
        <v>5</v>
      </c>
    </row>
    <row r="347" spans="1:7" x14ac:dyDescent="0.35">
      <c r="A347" t="s">
        <v>12</v>
      </c>
      <c r="B347">
        <v>-4</v>
      </c>
      <c r="C347">
        <v>-279</v>
      </c>
      <c r="D347">
        <v>-132</v>
      </c>
      <c r="E347">
        <v>-147</v>
      </c>
      <c r="F347">
        <v>0</v>
      </c>
      <c r="G347" t="s">
        <v>5</v>
      </c>
    </row>
    <row r="348" spans="1:7" x14ac:dyDescent="0.35">
      <c r="A348" t="s">
        <v>12</v>
      </c>
      <c r="B348">
        <v>-10</v>
      </c>
      <c r="C348">
        <v>-118</v>
      </c>
      <c r="D348">
        <v>-85</v>
      </c>
      <c r="E348">
        <v>-33</v>
      </c>
      <c r="F348">
        <v>1</v>
      </c>
      <c r="G348" t="s">
        <v>7</v>
      </c>
    </row>
    <row r="349" spans="1:7" x14ac:dyDescent="0.35">
      <c r="A349" t="s">
        <v>12</v>
      </c>
      <c r="B349">
        <v>-3</v>
      </c>
      <c r="C349">
        <v>-121</v>
      </c>
      <c r="D349">
        <v>24</v>
      </c>
      <c r="E349">
        <v>-145</v>
      </c>
      <c r="F349">
        <v>1</v>
      </c>
      <c r="G349" t="s">
        <v>5</v>
      </c>
    </row>
    <row r="350" spans="1:7" x14ac:dyDescent="0.35">
      <c r="A350" t="s">
        <v>12</v>
      </c>
      <c r="B350">
        <v>-9</v>
      </c>
      <c r="C350">
        <v>-30</v>
      </c>
      <c r="D350">
        <v>-84</v>
      </c>
      <c r="E350">
        <v>54</v>
      </c>
      <c r="F350">
        <v>-1</v>
      </c>
      <c r="G350" t="s">
        <v>7</v>
      </c>
    </row>
    <row r="351" spans="1:7" x14ac:dyDescent="0.35">
      <c r="A351" t="s">
        <v>11</v>
      </c>
      <c r="B351">
        <v>6</v>
      </c>
      <c r="C351">
        <v>3</v>
      </c>
      <c r="D351">
        <v>4</v>
      </c>
      <c r="E351">
        <v>-1</v>
      </c>
      <c r="F351">
        <v>-2</v>
      </c>
      <c r="G351" t="s">
        <v>7</v>
      </c>
    </row>
    <row r="352" spans="1:7" x14ac:dyDescent="0.35">
      <c r="A352" t="s">
        <v>12</v>
      </c>
      <c r="B352">
        <v>-2</v>
      </c>
      <c r="C352">
        <v>39</v>
      </c>
      <c r="D352">
        <v>25</v>
      </c>
      <c r="E352">
        <v>14</v>
      </c>
      <c r="F352">
        <v>1</v>
      </c>
      <c r="G352" t="s">
        <v>7</v>
      </c>
    </row>
    <row r="353" spans="1:7" x14ac:dyDescent="0.35">
      <c r="A353" t="s">
        <v>11</v>
      </c>
      <c r="B353">
        <v>2</v>
      </c>
      <c r="C353">
        <v>32</v>
      </c>
      <c r="D353">
        <v>-47</v>
      </c>
      <c r="E353">
        <v>79</v>
      </c>
      <c r="F353">
        <v>-3</v>
      </c>
      <c r="G353" t="s">
        <v>7</v>
      </c>
    </row>
    <row r="354" spans="1:7" x14ac:dyDescent="0.35">
      <c r="A354" t="s">
        <v>11</v>
      </c>
      <c r="B354">
        <v>-3</v>
      </c>
      <c r="C354">
        <v>-41</v>
      </c>
      <c r="D354">
        <v>-42</v>
      </c>
      <c r="E354">
        <v>1</v>
      </c>
      <c r="F354">
        <v>-1</v>
      </c>
      <c r="G354" t="s">
        <v>7</v>
      </c>
    </row>
    <row r="355" spans="1:7" x14ac:dyDescent="0.35">
      <c r="A355" t="s">
        <v>11</v>
      </c>
      <c r="B355">
        <v>-8</v>
      </c>
      <c r="C355">
        <v>-247</v>
      </c>
      <c r="D355">
        <v>-11</v>
      </c>
      <c r="E355">
        <v>-236</v>
      </c>
      <c r="F355">
        <v>0</v>
      </c>
      <c r="G355" t="s">
        <v>5</v>
      </c>
    </row>
    <row r="356" spans="1:7" x14ac:dyDescent="0.35">
      <c r="A356" t="s">
        <v>11</v>
      </c>
      <c r="B356">
        <v>3</v>
      </c>
      <c r="C356">
        <v>18</v>
      </c>
      <c r="D356">
        <v>-4</v>
      </c>
      <c r="E356">
        <v>22</v>
      </c>
      <c r="F356">
        <v>-2</v>
      </c>
      <c r="G356" t="s">
        <v>7</v>
      </c>
    </row>
    <row r="357" spans="1:7" x14ac:dyDescent="0.35">
      <c r="A357" t="s">
        <v>12</v>
      </c>
      <c r="B357">
        <v>-9</v>
      </c>
      <c r="C357">
        <v>-157</v>
      </c>
      <c r="D357">
        <v>-105</v>
      </c>
      <c r="E357">
        <v>-52</v>
      </c>
      <c r="F357">
        <v>3</v>
      </c>
      <c r="G357" t="s">
        <v>5</v>
      </c>
    </row>
    <row r="358" spans="1:7" x14ac:dyDescent="0.35">
      <c r="A358" t="s">
        <v>12</v>
      </c>
      <c r="B358">
        <v>-3</v>
      </c>
      <c r="C358">
        <v>-68</v>
      </c>
      <c r="D358">
        <v>-87</v>
      </c>
      <c r="E358">
        <v>19</v>
      </c>
      <c r="F358">
        <v>-1</v>
      </c>
      <c r="G358" t="s">
        <v>5</v>
      </c>
    </row>
    <row r="359" spans="1:7" x14ac:dyDescent="0.35">
      <c r="A359" t="s">
        <v>12</v>
      </c>
      <c r="B359">
        <v>-7</v>
      </c>
      <c r="C359">
        <v>-143</v>
      </c>
      <c r="D359">
        <v>-109</v>
      </c>
      <c r="E359">
        <v>-34</v>
      </c>
      <c r="F359">
        <v>-3</v>
      </c>
      <c r="G359" t="s">
        <v>7</v>
      </c>
    </row>
    <row r="360" spans="1:7" x14ac:dyDescent="0.35">
      <c r="A360" t="s">
        <v>11</v>
      </c>
      <c r="B360">
        <v>0</v>
      </c>
      <c r="C360">
        <v>-9</v>
      </c>
      <c r="D360">
        <v>54</v>
      </c>
      <c r="E360">
        <v>-63</v>
      </c>
      <c r="F360">
        <v>1</v>
      </c>
      <c r="G360" t="s">
        <v>7</v>
      </c>
    </row>
    <row r="361" spans="1:7" x14ac:dyDescent="0.35">
      <c r="A361" t="s">
        <v>12</v>
      </c>
      <c r="B361">
        <v>6</v>
      </c>
      <c r="C361">
        <v>92</v>
      </c>
      <c r="D361">
        <v>136</v>
      </c>
      <c r="E361">
        <v>-44</v>
      </c>
      <c r="F361">
        <v>1</v>
      </c>
      <c r="G361" t="s">
        <v>7</v>
      </c>
    </row>
    <row r="362" spans="1:7" x14ac:dyDescent="0.35">
      <c r="A362" t="s">
        <v>11</v>
      </c>
      <c r="B362">
        <v>2</v>
      </c>
      <c r="C362">
        <v>54</v>
      </c>
      <c r="D362">
        <v>106</v>
      </c>
      <c r="E362">
        <v>-52</v>
      </c>
      <c r="F362">
        <v>0</v>
      </c>
      <c r="G362" t="s">
        <v>7</v>
      </c>
    </row>
    <row r="363" spans="1:7" x14ac:dyDescent="0.35">
      <c r="A363" t="s">
        <v>11</v>
      </c>
      <c r="B363">
        <v>-1</v>
      </c>
      <c r="C363">
        <v>18</v>
      </c>
      <c r="D363">
        <v>41</v>
      </c>
      <c r="E363">
        <v>-23</v>
      </c>
      <c r="F363">
        <v>1</v>
      </c>
      <c r="G363" t="s">
        <v>5</v>
      </c>
    </row>
    <row r="364" spans="1:7" x14ac:dyDescent="0.35">
      <c r="A364" t="s">
        <v>12</v>
      </c>
      <c r="B364">
        <v>-7</v>
      </c>
      <c r="C364">
        <v>-100</v>
      </c>
      <c r="D364">
        <v>-71</v>
      </c>
      <c r="E364">
        <v>-29</v>
      </c>
      <c r="F364">
        <v>1</v>
      </c>
      <c r="G364" t="s">
        <v>5</v>
      </c>
    </row>
    <row r="365" spans="1:7" x14ac:dyDescent="0.35">
      <c r="A365" t="s">
        <v>12</v>
      </c>
      <c r="B365">
        <v>-3</v>
      </c>
      <c r="C365">
        <v>-2</v>
      </c>
      <c r="D365">
        <v>-25</v>
      </c>
      <c r="E365">
        <v>23</v>
      </c>
      <c r="F365">
        <v>4</v>
      </c>
      <c r="G365" t="s">
        <v>5</v>
      </c>
    </row>
    <row r="366" spans="1:7" x14ac:dyDescent="0.35">
      <c r="A366" t="s">
        <v>12</v>
      </c>
      <c r="B366">
        <v>13</v>
      </c>
      <c r="C366">
        <v>290</v>
      </c>
      <c r="D366">
        <v>131</v>
      </c>
      <c r="E366">
        <v>159</v>
      </c>
      <c r="F366">
        <v>0</v>
      </c>
      <c r="G366" t="s">
        <v>7</v>
      </c>
    </row>
    <row r="367" spans="1:7" x14ac:dyDescent="0.35">
      <c r="A367" t="s">
        <v>11</v>
      </c>
      <c r="B367">
        <v>-12</v>
      </c>
      <c r="C367">
        <v>-168</v>
      </c>
      <c r="D367">
        <v>-128</v>
      </c>
      <c r="E367">
        <v>-40</v>
      </c>
      <c r="F367">
        <v>0</v>
      </c>
      <c r="G367" t="s">
        <v>5</v>
      </c>
    </row>
    <row r="368" spans="1:7" x14ac:dyDescent="0.35">
      <c r="A368" t="s">
        <v>11</v>
      </c>
      <c r="B368">
        <v>-6</v>
      </c>
      <c r="C368">
        <v>-92</v>
      </c>
      <c r="D368">
        <v>-136</v>
      </c>
      <c r="E368">
        <v>44</v>
      </c>
      <c r="F368">
        <v>-1</v>
      </c>
      <c r="G368" t="s">
        <v>5</v>
      </c>
    </row>
    <row r="369" spans="1:7" x14ac:dyDescent="0.35">
      <c r="A369" t="s">
        <v>12</v>
      </c>
      <c r="B369">
        <v>1</v>
      </c>
      <c r="C369">
        <v>58</v>
      </c>
      <c r="D369">
        <v>35</v>
      </c>
      <c r="E369">
        <v>23</v>
      </c>
      <c r="F369">
        <v>-1</v>
      </c>
      <c r="G369" t="s">
        <v>5</v>
      </c>
    </row>
    <row r="370" spans="1:7" x14ac:dyDescent="0.35">
      <c r="A370" t="s">
        <v>11</v>
      </c>
      <c r="B370">
        <v>-4</v>
      </c>
      <c r="C370">
        <v>18</v>
      </c>
      <c r="D370">
        <v>4</v>
      </c>
      <c r="E370">
        <v>14</v>
      </c>
      <c r="F370">
        <v>1</v>
      </c>
      <c r="G370" t="s">
        <v>5</v>
      </c>
    </row>
    <row r="371" spans="1:7" x14ac:dyDescent="0.35">
      <c r="A371" t="s">
        <v>11</v>
      </c>
      <c r="B371">
        <v>2</v>
      </c>
      <c r="C371">
        <v>85</v>
      </c>
      <c r="D371">
        <v>42</v>
      </c>
      <c r="E371">
        <v>43</v>
      </c>
      <c r="F371">
        <v>0</v>
      </c>
      <c r="G371" t="s">
        <v>5</v>
      </c>
    </row>
    <row r="372" spans="1:7" x14ac:dyDescent="0.35">
      <c r="A372" t="s">
        <v>11</v>
      </c>
      <c r="B372">
        <v>-7</v>
      </c>
      <c r="C372">
        <v>-155</v>
      </c>
      <c r="D372">
        <v>-254</v>
      </c>
      <c r="E372">
        <v>99</v>
      </c>
      <c r="F372">
        <v>-2</v>
      </c>
      <c r="G372" t="s">
        <v>7</v>
      </c>
    </row>
    <row r="373" spans="1:7" x14ac:dyDescent="0.35">
      <c r="A373" t="s">
        <v>12</v>
      </c>
      <c r="B373">
        <v>-1</v>
      </c>
      <c r="C373">
        <v>-23</v>
      </c>
      <c r="D373">
        <v>-104</v>
      </c>
      <c r="E373">
        <v>81</v>
      </c>
      <c r="F373">
        <v>-2</v>
      </c>
      <c r="G373" t="s">
        <v>7</v>
      </c>
    </row>
    <row r="374" spans="1:7" x14ac:dyDescent="0.35">
      <c r="A374" t="s">
        <v>12</v>
      </c>
      <c r="B374">
        <v>-1</v>
      </c>
      <c r="C374">
        <v>-73</v>
      </c>
      <c r="D374">
        <v>14</v>
      </c>
      <c r="E374">
        <v>-87</v>
      </c>
      <c r="F374">
        <v>1</v>
      </c>
      <c r="G374" t="s">
        <v>7</v>
      </c>
    </row>
    <row r="375" spans="1:7" x14ac:dyDescent="0.35">
      <c r="A375" t="s">
        <v>12</v>
      </c>
      <c r="B375">
        <v>-4</v>
      </c>
      <c r="C375">
        <v>-141</v>
      </c>
      <c r="D375">
        <v>-110</v>
      </c>
      <c r="E375">
        <v>-31</v>
      </c>
      <c r="F375">
        <v>-1</v>
      </c>
      <c r="G375" t="s">
        <v>7</v>
      </c>
    </row>
    <row r="376" spans="1:7" x14ac:dyDescent="0.35">
      <c r="A376" t="s">
        <v>12</v>
      </c>
      <c r="B376">
        <v>12</v>
      </c>
      <c r="C376">
        <v>151</v>
      </c>
      <c r="D376">
        <v>90</v>
      </c>
      <c r="E376">
        <v>61</v>
      </c>
      <c r="F376">
        <v>3</v>
      </c>
      <c r="G376" t="s">
        <v>5</v>
      </c>
    </row>
    <row r="377" spans="1:7" x14ac:dyDescent="0.35">
      <c r="A377" t="s">
        <v>12</v>
      </c>
      <c r="B377">
        <v>11</v>
      </c>
      <c r="C377">
        <v>219</v>
      </c>
      <c r="D377">
        <v>148</v>
      </c>
      <c r="E377">
        <v>71</v>
      </c>
      <c r="F377">
        <v>0</v>
      </c>
      <c r="G377" t="s">
        <v>7</v>
      </c>
    </row>
    <row r="378" spans="1:7" x14ac:dyDescent="0.35">
      <c r="A378" t="s">
        <v>12</v>
      </c>
      <c r="B378">
        <v>3</v>
      </c>
      <c r="C378">
        <v>23</v>
      </c>
      <c r="D378">
        <v>57</v>
      </c>
      <c r="E378">
        <v>-34</v>
      </c>
      <c r="F378">
        <v>0</v>
      </c>
      <c r="G378" t="s">
        <v>7</v>
      </c>
    </row>
    <row r="379" spans="1:7" x14ac:dyDescent="0.35">
      <c r="A379" t="s">
        <v>11</v>
      </c>
      <c r="B379">
        <v>-11</v>
      </c>
      <c r="C379">
        <v>-219</v>
      </c>
      <c r="D379">
        <v>-148</v>
      </c>
      <c r="E379">
        <v>-71</v>
      </c>
      <c r="F379">
        <v>0</v>
      </c>
      <c r="G379" t="s">
        <v>5</v>
      </c>
    </row>
    <row r="380" spans="1:7" x14ac:dyDescent="0.35">
      <c r="A380" t="s">
        <v>12</v>
      </c>
      <c r="B380">
        <v>9</v>
      </c>
      <c r="C380">
        <v>54</v>
      </c>
      <c r="D380">
        <v>114</v>
      </c>
      <c r="E380">
        <v>-60</v>
      </c>
      <c r="F380">
        <v>3</v>
      </c>
      <c r="G380" t="s">
        <v>5</v>
      </c>
    </row>
    <row r="381" spans="1:7" x14ac:dyDescent="0.35">
      <c r="A381" t="s">
        <v>12</v>
      </c>
      <c r="B381">
        <v>-8</v>
      </c>
      <c r="C381">
        <v>-172</v>
      </c>
      <c r="D381">
        <v>-38</v>
      </c>
      <c r="E381">
        <v>-134</v>
      </c>
      <c r="F381">
        <v>2</v>
      </c>
      <c r="G381" t="s">
        <v>5</v>
      </c>
    </row>
    <row r="382" spans="1:7" x14ac:dyDescent="0.35">
      <c r="A382" t="s">
        <v>11</v>
      </c>
      <c r="B382">
        <v>-11</v>
      </c>
      <c r="C382">
        <v>-193</v>
      </c>
      <c r="D382">
        <v>-30</v>
      </c>
      <c r="E382">
        <v>-163</v>
      </c>
      <c r="F382">
        <v>0</v>
      </c>
      <c r="G382" t="s">
        <v>5</v>
      </c>
    </row>
    <row r="383" spans="1:7" x14ac:dyDescent="0.35">
      <c r="A383" t="s">
        <v>11</v>
      </c>
      <c r="B383">
        <v>-4</v>
      </c>
      <c r="C383">
        <v>100</v>
      </c>
      <c r="D383">
        <v>156</v>
      </c>
      <c r="E383">
        <v>-56</v>
      </c>
      <c r="F383">
        <v>0</v>
      </c>
      <c r="G383" t="s">
        <v>7</v>
      </c>
    </row>
    <row r="384" spans="1:7" x14ac:dyDescent="0.35">
      <c r="A384" t="s">
        <v>12</v>
      </c>
      <c r="B384">
        <v>-6</v>
      </c>
      <c r="C384">
        <v>-219</v>
      </c>
      <c r="D384">
        <v>-53</v>
      </c>
      <c r="E384">
        <v>-166</v>
      </c>
      <c r="F384">
        <v>-1</v>
      </c>
      <c r="G384" t="s">
        <v>5</v>
      </c>
    </row>
    <row r="385" spans="1:7" x14ac:dyDescent="0.35">
      <c r="A385" t="s">
        <v>12</v>
      </c>
      <c r="B385">
        <v>-3</v>
      </c>
      <c r="C385">
        <v>-55</v>
      </c>
      <c r="D385">
        <v>-72</v>
      </c>
      <c r="E385">
        <v>17</v>
      </c>
      <c r="F385">
        <v>0</v>
      </c>
      <c r="G385" t="s">
        <v>5</v>
      </c>
    </row>
    <row r="386" spans="1:7" x14ac:dyDescent="0.35">
      <c r="A386" t="s">
        <v>11</v>
      </c>
      <c r="B386">
        <v>-1</v>
      </c>
      <c r="C386">
        <v>-81</v>
      </c>
      <c r="D386">
        <v>-73</v>
      </c>
      <c r="E386">
        <v>-8</v>
      </c>
      <c r="F386">
        <v>0</v>
      </c>
      <c r="G386" t="s">
        <v>5</v>
      </c>
    </row>
    <row r="387" spans="1:7" x14ac:dyDescent="0.35">
      <c r="A387" t="s">
        <v>11</v>
      </c>
      <c r="B387">
        <v>-9</v>
      </c>
      <c r="C387">
        <v>-259</v>
      </c>
      <c r="D387">
        <v>-125</v>
      </c>
      <c r="E387">
        <v>-134</v>
      </c>
      <c r="F387">
        <v>2</v>
      </c>
      <c r="G387" t="s">
        <v>5</v>
      </c>
    </row>
    <row r="388" spans="1:7" x14ac:dyDescent="0.35">
      <c r="A388" t="s">
        <v>11</v>
      </c>
      <c r="B388">
        <v>1</v>
      </c>
      <c r="C388">
        <v>31</v>
      </c>
      <c r="D388">
        <v>30</v>
      </c>
      <c r="E388">
        <v>1</v>
      </c>
      <c r="F388">
        <v>0</v>
      </c>
      <c r="G388" t="s">
        <v>5</v>
      </c>
    </row>
    <row r="389" spans="1:7" x14ac:dyDescent="0.35">
      <c r="A389" t="s">
        <v>11</v>
      </c>
      <c r="B389">
        <v>10</v>
      </c>
      <c r="C389">
        <v>118</v>
      </c>
      <c r="D389">
        <v>85</v>
      </c>
      <c r="E389">
        <v>33</v>
      </c>
      <c r="F389">
        <v>-1</v>
      </c>
      <c r="G389" t="s">
        <v>5</v>
      </c>
    </row>
    <row r="390" spans="1:7" x14ac:dyDescent="0.35">
      <c r="A390" t="s">
        <v>12</v>
      </c>
      <c r="B390">
        <v>10</v>
      </c>
      <c r="C390">
        <v>120</v>
      </c>
      <c r="D390">
        <v>5</v>
      </c>
      <c r="E390">
        <v>115</v>
      </c>
      <c r="F390">
        <v>-2</v>
      </c>
      <c r="G390" t="s">
        <v>7</v>
      </c>
    </row>
    <row r="391" spans="1:7" x14ac:dyDescent="0.35">
      <c r="A391" t="s">
        <v>12</v>
      </c>
      <c r="B391">
        <v>6</v>
      </c>
      <c r="C391">
        <v>40</v>
      </c>
      <c r="D391">
        <v>-3</v>
      </c>
      <c r="E391">
        <v>43</v>
      </c>
      <c r="F391">
        <v>1</v>
      </c>
      <c r="G391" t="s">
        <v>7</v>
      </c>
    </row>
    <row r="392" spans="1:7" x14ac:dyDescent="0.35">
      <c r="A392" t="s">
        <v>11</v>
      </c>
      <c r="B392">
        <v>3</v>
      </c>
      <c r="C392">
        <v>-100</v>
      </c>
      <c r="D392">
        <v>-176</v>
      </c>
      <c r="E392">
        <v>76</v>
      </c>
      <c r="F392">
        <v>-1</v>
      </c>
      <c r="G392" t="s">
        <v>5</v>
      </c>
    </row>
    <row r="393" spans="1:7" x14ac:dyDescent="0.35">
      <c r="A393" t="s">
        <v>12</v>
      </c>
      <c r="B393">
        <v>1</v>
      </c>
      <c r="C393">
        <v>-48</v>
      </c>
      <c r="D393">
        <v>-133</v>
      </c>
      <c r="E393">
        <v>85</v>
      </c>
      <c r="F393">
        <v>-1</v>
      </c>
      <c r="G393" t="s">
        <v>7</v>
      </c>
    </row>
    <row r="394" spans="1:7" x14ac:dyDescent="0.35">
      <c r="A394" t="s">
        <v>11</v>
      </c>
      <c r="B394">
        <v>6</v>
      </c>
      <c r="C394">
        <v>84</v>
      </c>
      <c r="D394">
        <v>-117</v>
      </c>
      <c r="E394">
        <v>201</v>
      </c>
      <c r="F394">
        <v>-1</v>
      </c>
      <c r="G394" t="s">
        <v>7</v>
      </c>
    </row>
    <row r="395" spans="1:7" x14ac:dyDescent="0.35">
      <c r="A395" t="s">
        <v>12</v>
      </c>
      <c r="B395">
        <v>-6</v>
      </c>
      <c r="C395">
        <v>20</v>
      </c>
      <c r="D395">
        <v>-27</v>
      </c>
      <c r="E395">
        <v>47</v>
      </c>
      <c r="F395">
        <v>1</v>
      </c>
      <c r="G395" t="s">
        <v>5</v>
      </c>
    </row>
    <row r="396" spans="1:7" x14ac:dyDescent="0.35">
      <c r="A396" t="s">
        <v>11</v>
      </c>
      <c r="B396">
        <v>2</v>
      </c>
      <c r="C396">
        <v>1</v>
      </c>
      <c r="D396">
        <v>11</v>
      </c>
      <c r="E396">
        <v>-10</v>
      </c>
      <c r="F396">
        <v>1</v>
      </c>
      <c r="G396" t="s">
        <v>5</v>
      </c>
    </row>
    <row r="397" spans="1:7" x14ac:dyDescent="0.35">
      <c r="A397" t="s">
        <v>12</v>
      </c>
      <c r="B397">
        <v>6</v>
      </c>
      <c r="C397">
        <v>7</v>
      </c>
      <c r="D397">
        <v>100</v>
      </c>
      <c r="E397">
        <v>-93</v>
      </c>
      <c r="F397">
        <v>2</v>
      </c>
      <c r="G397" t="s">
        <v>5</v>
      </c>
    </row>
    <row r="398" spans="1:7" x14ac:dyDescent="0.35">
      <c r="A398" t="s">
        <v>12</v>
      </c>
      <c r="B398">
        <v>14</v>
      </c>
      <c r="C398">
        <v>10</v>
      </c>
      <c r="D398">
        <v>-27</v>
      </c>
      <c r="E398">
        <v>37</v>
      </c>
      <c r="F398">
        <v>0</v>
      </c>
      <c r="G398" t="s">
        <v>7</v>
      </c>
    </row>
    <row r="399" spans="1:7" x14ac:dyDescent="0.35">
      <c r="A399" t="s">
        <v>11</v>
      </c>
      <c r="B399">
        <v>7</v>
      </c>
      <c r="C399">
        <v>200</v>
      </c>
      <c r="D399">
        <v>196</v>
      </c>
      <c r="E399">
        <v>4</v>
      </c>
      <c r="F399">
        <v>-2</v>
      </c>
      <c r="G399" t="s">
        <v>7</v>
      </c>
    </row>
    <row r="400" spans="1:7" x14ac:dyDescent="0.35">
      <c r="A400" t="s">
        <v>12</v>
      </c>
      <c r="B400">
        <v>-6</v>
      </c>
      <c r="C400">
        <v>-63</v>
      </c>
      <c r="D400">
        <v>-31</v>
      </c>
      <c r="E400">
        <v>-32</v>
      </c>
      <c r="F400">
        <v>2</v>
      </c>
      <c r="G400" t="s">
        <v>5</v>
      </c>
    </row>
    <row r="401" spans="1:7" x14ac:dyDescent="0.35">
      <c r="A401" t="s">
        <v>12</v>
      </c>
      <c r="B401">
        <v>-4</v>
      </c>
      <c r="C401">
        <v>2</v>
      </c>
      <c r="D401">
        <v>74</v>
      </c>
      <c r="E401">
        <v>-72</v>
      </c>
      <c r="F401">
        <v>-3</v>
      </c>
      <c r="G401" t="s">
        <v>7</v>
      </c>
    </row>
    <row r="402" spans="1:7" x14ac:dyDescent="0.35">
      <c r="A402" t="s">
        <v>11</v>
      </c>
      <c r="B402">
        <v>11</v>
      </c>
      <c r="C402">
        <v>157</v>
      </c>
      <c r="D402">
        <v>150</v>
      </c>
      <c r="E402">
        <v>7</v>
      </c>
      <c r="F402">
        <v>-1</v>
      </c>
      <c r="G402" t="s">
        <v>7</v>
      </c>
    </row>
    <row r="403" spans="1:7" x14ac:dyDescent="0.35">
      <c r="A403" t="s">
        <v>11</v>
      </c>
      <c r="B403">
        <v>8</v>
      </c>
      <c r="C403">
        <v>63</v>
      </c>
      <c r="D403">
        <v>7</v>
      </c>
      <c r="E403">
        <v>56</v>
      </c>
      <c r="F403">
        <v>0</v>
      </c>
      <c r="G403" t="s">
        <v>7</v>
      </c>
    </row>
    <row r="404" spans="1:7" x14ac:dyDescent="0.35">
      <c r="A404" t="s">
        <v>12</v>
      </c>
      <c r="B404">
        <v>1</v>
      </c>
      <c r="C404">
        <v>-31</v>
      </c>
      <c r="D404">
        <v>76</v>
      </c>
      <c r="E404">
        <v>-107</v>
      </c>
      <c r="F404">
        <v>1</v>
      </c>
      <c r="G404" t="s">
        <v>5</v>
      </c>
    </row>
    <row r="405" spans="1:7" x14ac:dyDescent="0.35">
      <c r="A405" t="s">
        <v>12</v>
      </c>
      <c r="B405">
        <v>11</v>
      </c>
      <c r="C405">
        <v>193</v>
      </c>
      <c r="D405">
        <v>173</v>
      </c>
      <c r="E405">
        <v>20</v>
      </c>
      <c r="F405">
        <v>-1</v>
      </c>
      <c r="G405" t="s">
        <v>7</v>
      </c>
    </row>
    <row r="406" spans="1:7" x14ac:dyDescent="0.35">
      <c r="A406" t="s">
        <v>11</v>
      </c>
      <c r="B406">
        <v>-4</v>
      </c>
      <c r="C406">
        <v>-58</v>
      </c>
      <c r="D406">
        <v>-79</v>
      </c>
      <c r="E406">
        <v>21</v>
      </c>
      <c r="F406">
        <v>-4</v>
      </c>
      <c r="G406" t="s">
        <v>7</v>
      </c>
    </row>
    <row r="407" spans="1:7" x14ac:dyDescent="0.35">
      <c r="A407" t="s">
        <v>11</v>
      </c>
      <c r="B407">
        <v>-6</v>
      </c>
      <c r="C407">
        <v>-78</v>
      </c>
      <c r="D407">
        <v>-143</v>
      </c>
      <c r="E407">
        <v>65</v>
      </c>
      <c r="F407">
        <v>1</v>
      </c>
      <c r="G407" t="s">
        <v>5</v>
      </c>
    </row>
    <row r="408" spans="1:7" x14ac:dyDescent="0.35">
      <c r="A408" t="s">
        <v>11</v>
      </c>
      <c r="B408">
        <v>1</v>
      </c>
      <c r="C408">
        <v>6</v>
      </c>
      <c r="D408">
        <v>-33</v>
      </c>
      <c r="E408">
        <v>39</v>
      </c>
      <c r="F408">
        <v>-2</v>
      </c>
      <c r="G408" t="s">
        <v>7</v>
      </c>
    </row>
    <row r="409" spans="1:7" x14ac:dyDescent="0.35">
      <c r="A409" t="s">
        <v>11</v>
      </c>
      <c r="B409">
        <v>6</v>
      </c>
      <c r="C409">
        <v>-20</v>
      </c>
      <c r="D409">
        <v>27</v>
      </c>
      <c r="E409">
        <v>-47</v>
      </c>
      <c r="F409">
        <v>-1</v>
      </c>
      <c r="G409" t="s">
        <v>7</v>
      </c>
    </row>
    <row r="410" spans="1:7" x14ac:dyDescent="0.35">
      <c r="A410" t="s">
        <v>12</v>
      </c>
      <c r="B410">
        <v>13</v>
      </c>
      <c r="C410">
        <v>69</v>
      </c>
      <c r="D410">
        <v>75</v>
      </c>
      <c r="E410">
        <v>-6</v>
      </c>
      <c r="F410">
        <v>3</v>
      </c>
      <c r="G410" t="s">
        <v>5</v>
      </c>
    </row>
    <row r="411" spans="1:7" x14ac:dyDescent="0.35">
      <c r="A411" t="s">
        <v>11</v>
      </c>
      <c r="B411">
        <v>6</v>
      </c>
      <c r="C411">
        <v>17</v>
      </c>
      <c r="D411">
        <v>-56</v>
      </c>
      <c r="E411">
        <v>73</v>
      </c>
      <c r="F411">
        <v>-1</v>
      </c>
      <c r="G411" t="s">
        <v>5</v>
      </c>
    </row>
    <row r="412" spans="1:7" x14ac:dyDescent="0.35">
      <c r="A412" t="s">
        <v>11</v>
      </c>
      <c r="B412">
        <v>0</v>
      </c>
      <c r="C412">
        <v>165</v>
      </c>
      <c r="D412">
        <v>113</v>
      </c>
      <c r="E412">
        <v>52</v>
      </c>
      <c r="F412">
        <v>-1</v>
      </c>
      <c r="G412" t="s">
        <v>7</v>
      </c>
    </row>
    <row r="413" spans="1:7" x14ac:dyDescent="0.35">
      <c r="A413" t="s">
        <v>11</v>
      </c>
      <c r="B413">
        <v>-7</v>
      </c>
      <c r="C413">
        <v>14</v>
      </c>
      <c r="D413">
        <v>5</v>
      </c>
      <c r="E413">
        <v>9</v>
      </c>
      <c r="F413">
        <v>-2</v>
      </c>
      <c r="G413" t="s">
        <v>7</v>
      </c>
    </row>
    <row r="414" spans="1:7" x14ac:dyDescent="0.35">
      <c r="A414" t="s">
        <v>11</v>
      </c>
      <c r="B414">
        <v>2</v>
      </c>
      <c r="C414">
        <v>-38</v>
      </c>
      <c r="D414">
        <v>20</v>
      </c>
      <c r="E414">
        <v>-58</v>
      </c>
      <c r="F414">
        <v>0</v>
      </c>
      <c r="G414" t="s">
        <v>5</v>
      </c>
    </row>
    <row r="415" spans="1:7" x14ac:dyDescent="0.35">
      <c r="A415" t="s">
        <v>11</v>
      </c>
      <c r="B415">
        <v>-11</v>
      </c>
      <c r="C415">
        <v>-258</v>
      </c>
      <c r="D415">
        <v>-144</v>
      </c>
      <c r="E415">
        <v>-114</v>
      </c>
      <c r="F415">
        <v>0</v>
      </c>
      <c r="G415" t="s">
        <v>5</v>
      </c>
    </row>
    <row r="416" spans="1:7" x14ac:dyDescent="0.35">
      <c r="A416" t="s">
        <v>12</v>
      </c>
      <c r="B416">
        <v>4</v>
      </c>
      <c r="C416">
        <v>8</v>
      </c>
      <c r="D416">
        <v>88</v>
      </c>
      <c r="E416">
        <v>-80</v>
      </c>
      <c r="F416">
        <v>-3</v>
      </c>
      <c r="G416" t="s">
        <v>7</v>
      </c>
    </row>
    <row r="417" spans="1:7" x14ac:dyDescent="0.35">
      <c r="A417" t="s">
        <v>11</v>
      </c>
      <c r="B417">
        <v>-1</v>
      </c>
      <c r="C417">
        <v>-13</v>
      </c>
      <c r="D417">
        <v>-10</v>
      </c>
      <c r="E417">
        <v>-3</v>
      </c>
      <c r="F417">
        <v>0</v>
      </c>
      <c r="G417" t="s">
        <v>5</v>
      </c>
    </row>
    <row r="418" spans="1:7" x14ac:dyDescent="0.35">
      <c r="A418" t="s">
        <v>12</v>
      </c>
      <c r="B418">
        <v>-2</v>
      </c>
      <c r="C418">
        <v>-239</v>
      </c>
      <c r="D418">
        <v>-212</v>
      </c>
      <c r="E418">
        <v>-27</v>
      </c>
      <c r="F418">
        <v>0</v>
      </c>
      <c r="G418" t="s">
        <v>7</v>
      </c>
    </row>
    <row r="419" spans="1:7" x14ac:dyDescent="0.35">
      <c r="A419" t="s">
        <v>11</v>
      </c>
      <c r="B419">
        <v>-1</v>
      </c>
      <c r="C419">
        <v>-13</v>
      </c>
      <c r="D419">
        <v>3</v>
      </c>
      <c r="E419">
        <v>-16</v>
      </c>
      <c r="F419">
        <v>-3</v>
      </c>
      <c r="G419" t="s">
        <v>7</v>
      </c>
    </row>
    <row r="420" spans="1:7" x14ac:dyDescent="0.35">
      <c r="A420" t="s">
        <v>11</v>
      </c>
      <c r="B420">
        <v>-4</v>
      </c>
      <c r="C420">
        <v>-24</v>
      </c>
      <c r="D420">
        <v>39</v>
      </c>
      <c r="E420">
        <v>-63</v>
      </c>
      <c r="F420">
        <v>0</v>
      </c>
      <c r="G420" t="s">
        <v>5</v>
      </c>
    </row>
    <row r="421" spans="1:7" x14ac:dyDescent="0.35">
      <c r="A421" t="s">
        <v>11</v>
      </c>
      <c r="B421">
        <v>-7</v>
      </c>
      <c r="C421">
        <v>-90</v>
      </c>
      <c r="D421">
        <v>50</v>
      </c>
      <c r="E421">
        <v>-140</v>
      </c>
      <c r="F421">
        <v>1</v>
      </c>
      <c r="G421" t="s">
        <v>5</v>
      </c>
    </row>
    <row r="422" spans="1:7" x14ac:dyDescent="0.35">
      <c r="A422" t="s">
        <v>11</v>
      </c>
      <c r="B422">
        <v>-9</v>
      </c>
      <c r="C422">
        <v>-54</v>
      </c>
      <c r="D422">
        <v>-114</v>
      </c>
      <c r="E422">
        <v>60</v>
      </c>
      <c r="F422">
        <v>-3</v>
      </c>
      <c r="G422" t="s">
        <v>7</v>
      </c>
    </row>
    <row r="423" spans="1:7" x14ac:dyDescent="0.35">
      <c r="A423" t="s">
        <v>11</v>
      </c>
      <c r="B423">
        <v>2</v>
      </c>
      <c r="C423">
        <v>-102</v>
      </c>
      <c r="D423">
        <v>0</v>
      </c>
      <c r="E423">
        <v>-102</v>
      </c>
      <c r="F423">
        <v>-1</v>
      </c>
      <c r="G423" t="s">
        <v>5</v>
      </c>
    </row>
    <row r="424" spans="1:7" x14ac:dyDescent="0.35">
      <c r="A424" t="s">
        <v>12</v>
      </c>
      <c r="B424">
        <v>-19</v>
      </c>
      <c r="C424">
        <v>-443</v>
      </c>
      <c r="D424">
        <v>-199</v>
      </c>
      <c r="E424">
        <v>-244</v>
      </c>
      <c r="F424">
        <v>3</v>
      </c>
      <c r="G424" t="s">
        <v>5</v>
      </c>
    </row>
    <row r="425" spans="1:7" x14ac:dyDescent="0.35">
      <c r="A425" t="s">
        <v>12</v>
      </c>
      <c r="B425">
        <v>-5</v>
      </c>
      <c r="C425">
        <v>-118</v>
      </c>
      <c r="D425">
        <v>2</v>
      </c>
      <c r="E425">
        <v>-120</v>
      </c>
      <c r="F425">
        <v>0</v>
      </c>
      <c r="G425" t="s">
        <v>5</v>
      </c>
    </row>
    <row r="426" spans="1:7" x14ac:dyDescent="0.35">
      <c r="A426" t="s">
        <v>11</v>
      </c>
      <c r="B426">
        <v>6</v>
      </c>
      <c r="C426">
        <v>147</v>
      </c>
      <c r="D426">
        <v>87</v>
      </c>
      <c r="E426">
        <v>60</v>
      </c>
      <c r="F426">
        <v>3</v>
      </c>
      <c r="G426" t="s">
        <v>7</v>
      </c>
    </row>
    <row r="427" spans="1:7" x14ac:dyDescent="0.35">
      <c r="A427" t="s">
        <v>12</v>
      </c>
      <c r="B427">
        <v>7</v>
      </c>
      <c r="C427">
        <v>47</v>
      </c>
      <c r="D427">
        <v>33</v>
      </c>
      <c r="E427">
        <v>14</v>
      </c>
      <c r="F427">
        <v>-1</v>
      </c>
      <c r="G427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workbookViewId="0">
      <selection activeCell="I13" sqref="I13"/>
    </sheetView>
  </sheetViews>
  <sheetFormatPr defaultRowHeight="14.5" x14ac:dyDescent="0.35"/>
  <sheetData>
    <row r="1" spans="1:7" x14ac:dyDescent="0.35">
      <c r="A1" t="s">
        <v>12</v>
      </c>
      <c r="B1">
        <v>-8</v>
      </c>
      <c r="C1">
        <v>-134</v>
      </c>
      <c r="D1">
        <v>-45</v>
      </c>
      <c r="E1">
        <v>-89</v>
      </c>
      <c r="F1">
        <v>-2</v>
      </c>
      <c r="G1" t="s">
        <v>7</v>
      </c>
    </row>
    <row r="2" spans="1:7" x14ac:dyDescent="0.35">
      <c r="A2" t="s">
        <v>11</v>
      </c>
      <c r="B2">
        <v>2</v>
      </c>
      <c r="C2">
        <v>-7</v>
      </c>
      <c r="D2">
        <v>-28</v>
      </c>
      <c r="E2">
        <v>21</v>
      </c>
      <c r="F2">
        <v>-3</v>
      </c>
      <c r="G2" t="s">
        <v>7</v>
      </c>
    </row>
    <row r="3" spans="1:7" x14ac:dyDescent="0.35">
      <c r="A3" t="s">
        <v>12</v>
      </c>
      <c r="B3">
        <v>-5</v>
      </c>
      <c r="C3">
        <v>-166</v>
      </c>
      <c r="D3">
        <v>-30</v>
      </c>
      <c r="E3">
        <v>-136</v>
      </c>
      <c r="F3">
        <v>1</v>
      </c>
      <c r="G3" t="s">
        <v>5</v>
      </c>
    </row>
    <row r="4" spans="1:7" x14ac:dyDescent="0.35">
      <c r="A4" t="s">
        <v>12</v>
      </c>
      <c r="B4">
        <v>-2</v>
      </c>
      <c r="C4">
        <v>-4</v>
      </c>
      <c r="D4">
        <v>-227</v>
      </c>
      <c r="E4">
        <v>223</v>
      </c>
      <c r="F4">
        <v>-3</v>
      </c>
      <c r="G4" t="s">
        <v>7</v>
      </c>
    </row>
    <row r="5" spans="1:7" x14ac:dyDescent="0.35">
      <c r="A5" t="s">
        <v>11</v>
      </c>
      <c r="B5">
        <v>7</v>
      </c>
      <c r="C5">
        <v>116</v>
      </c>
      <c r="D5">
        <v>111</v>
      </c>
      <c r="E5">
        <v>5</v>
      </c>
      <c r="F5">
        <v>0</v>
      </c>
      <c r="G5" t="s">
        <v>7</v>
      </c>
    </row>
    <row r="6" spans="1:7" x14ac:dyDescent="0.35">
      <c r="A6" t="s">
        <v>11</v>
      </c>
      <c r="B6">
        <v>-12</v>
      </c>
      <c r="C6">
        <v>-158</v>
      </c>
      <c r="D6">
        <v>-56</v>
      </c>
      <c r="E6">
        <v>-102</v>
      </c>
      <c r="F6">
        <v>2</v>
      </c>
      <c r="G6" t="s">
        <v>5</v>
      </c>
    </row>
    <row r="7" spans="1:7" x14ac:dyDescent="0.35">
      <c r="A7" t="s">
        <v>12</v>
      </c>
      <c r="B7">
        <v>-6</v>
      </c>
      <c r="C7">
        <v>-3</v>
      </c>
      <c r="D7">
        <v>-4</v>
      </c>
      <c r="E7">
        <v>1</v>
      </c>
      <c r="F7">
        <v>2</v>
      </c>
      <c r="G7" t="s">
        <v>5</v>
      </c>
    </row>
    <row r="8" spans="1:7" x14ac:dyDescent="0.35">
      <c r="A8" t="s">
        <v>11</v>
      </c>
      <c r="B8">
        <v>1</v>
      </c>
      <c r="C8">
        <v>-38</v>
      </c>
      <c r="D8">
        <v>-51</v>
      </c>
      <c r="E8">
        <v>13</v>
      </c>
      <c r="F8">
        <v>-2</v>
      </c>
      <c r="G8" t="s">
        <v>7</v>
      </c>
    </row>
    <row r="9" spans="1:7" x14ac:dyDescent="0.35">
      <c r="A9" t="s">
        <v>12</v>
      </c>
      <c r="B9">
        <v>7</v>
      </c>
      <c r="C9">
        <v>115</v>
      </c>
      <c r="D9">
        <v>43</v>
      </c>
      <c r="E9">
        <v>72</v>
      </c>
      <c r="F9">
        <v>-1</v>
      </c>
      <c r="G9" t="s">
        <v>5</v>
      </c>
    </row>
    <row r="10" spans="1:7" x14ac:dyDescent="0.35">
      <c r="A10" t="s">
        <v>12</v>
      </c>
      <c r="B10">
        <v>9</v>
      </c>
      <c r="C10">
        <v>148</v>
      </c>
      <c r="D10">
        <v>34</v>
      </c>
      <c r="E10">
        <v>114</v>
      </c>
      <c r="F10">
        <v>3</v>
      </c>
      <c r="G10" t="s">
        <v>7</v>
      </c>
    </row>
    <row r="11" spans="1:7" x14ac:dyDescent="0.35">
      <c r="A11" t="s">
        <v>11</v>
      </c>
      <c r="B11">
        <v>-4</v>
      </c>
      <c r="C11">
        <v>-39</v>
      </c>
      <c r="D11">
        <v>-16</v>
      </c>
      <c r="E11">
        <v>-23</v>
      </c>
      <c r="F11">
        <v>-2</v>
      </c>
      <c r="G11" t="s">
        <v>7</v>
      </c>
    </row>
    <row r="12" spans="1:7" x14ac:dyDescent="0.35">
      <c r="A12" t="s">
        <v>11</v>
      </c>
      <c r="B12">
        <v>3</v>
      </c>
      <c r="C12">
        <v>2</v>
      </c>
      <c r="D12">
        <v>25</v>
      </c>
      <c r="E12">
        <v>-23</v>
      </c>
      <c r="F12">
        <v>-4</v>
      </c>
      <c r="G12" t="s">
        <v>7</v>
      </c>
    </row>
    <row r="13" spans="1:7" x14ac:dyDescent="0.35">
      <c r="A13" t="s">
        <v>12</v>
      </c>
      <c r="B13">
        <v>6</v>
      </c>
      <c r="C13">
        <v>-48</v>
      </c>
      <c r="D13">
        <v>-52</v>
      </c>
      <c r="E13">
        <v>4</v>
      </c>
      <c r="F13">
        <v>0</v>
      </c>
      <c r="G13" t="s">
        <v>7</v>
      </c>
    </row>
    <row r="14" spans="1:7" x14ac:dyDescent="0.35">
      <c r="A14" t="s">
        <v>12</v>
      </c>
      <c r="B14">
        <v>-4</v>
      </c>
      <c r="C14">
        <v>-61</v>
      </c>
      <c r="D14">
        <v>-54</v>
      </c>
      <c r="E14">
        <v>-7</v>
      </c>
      <c r="F14">
        <v>-1</v>
      </c>
      <c r="G14" t="s">
        <v>5</v>
      </c>
    </row>
    <row r="15" spans="1:7" x14ac:dyDescent="0.35">
      <c r="A15" t="s">
        <v>11</v>
      </c>
      <c r="B15">
        <v>-3</v>
      </c>
      <c r="C15">
        <v>-31</v>
      </c>
      <c r="D15">
        <v>11</v>
      </c>
      <c r="E15">
        <v>-42</v>
      </c>
      <c r="F15">
        <v>5</v>
      </c>
      <c r="G15" t="s">
        <v>5</v>
      </c>
    </row>
    <row r="16" spans="1:7" x14ac:dyDescent="0.35">
      <c r="A16" t="s">
        <v>12</v>
      </c>
      <c r="B16">
        <v>-1</v>
      </c>
      <c r="C16">
        <v>-33</v>
      </c>
      <c r="D16">
        <v>13</v>
      </c>
      <c r="E16">
        <v>-46</v>
      </c>
      <c r="F16">
        <v>-2</v>
      </c>
      <c r="G16" t="s">
        <v>7</v>
      </c>
    </row>
    <row r="17" spans="1:7" x14ac:dyDescent="0.35">
      <c r="A17" t="s">
        <v>11</v>
      </c>
      <c r="B17">
        <v>5</v>
      </c>
      <c r="C17">
        <v>94</v>
      </c>
      <c r="D17">
        <v>21</v>
      </c>
      <c r="E17">
        <v>73</v>
      </c>
      <c r="F17">
        <v>-1</v>
      </c>
      <c r="G17" t="s">
        <v>7</v>
      </c>
    </row>
    <row r="18" spans="1:7" x14ac:dyDescent="0.35">
      <c r="A18" t="s">
        <v>11</v>
      </c>
      <c r="B18">
        <v>10</v>
      </c>
      <c r="C18">
        <v>175</v>
      </c>
      <c r="D18">
        <v>114</v>
      </c>
      <c r="E18">
        <v>61</v>
      </c>
      <c r="F18">
        <v>1</v>
      </c>
      <c r="G18" t="s">
        <v>7</v>
      </c>
    </row>
    <row r="19" spans="1:7" x14ac:dyDescent="0.35">
      <c r="A19" t="s">
        <v>12</v>
      </c>
      <c r="B19">
        <v>-8</v>
      </c>
      <c r="C19">
        <v>-37</v>
      </c>
      <c r="D19">
        <v>31</v>
      </c>
      <c r="E19">
        <v>-68</v>
      </c>
      <c r="F19">
        <v>-3</v>
      </c>
      <c r="G19" t="s">
        <v>7</v>
      </c>
    </row>
    <row r="20" spans="1:7" x14ac:dyDescent="0.35">
      <c r="A20" t="s">
        <v>12</v>
      </c>
      <c r="B20">
        <v>-8</v>
      </c>
      <c r="C20">
        <v>-48</v>
      </c>
      <c r="D20">
        <v>-35</v>
      </c>
      <c r="E20">
        <v>-13</v>
      </c>
      <c r="F20">
        <v>3</v>
      </c>
      <c r="G20" t="s">
        <v>5</v>
      </c>
    </row>
    <row r="21" spans="1:7" x14ac:dyDescent="0.35">
      <c r="A21" t="s">
        <v>11</v>
      </c>
      <c r="B21">
        <v>2</v>
      </c>
      <c r="C21">
        <v>61</v>
      </c>
      <c r="D21">
        <v>96</v>
      </c>
      <c r="E21">
        <v>-35</v>
      </c>
      <c r="F21">
        <v>2</v>
      </c>
      <c r="G21" t="s">
        <v>5</v>
      </c>
    </row>
    <row r="22" spans="1:7" x14ac:dyDescent="0.35">
      <c r="A22" t="s">
        <v>11</v>
      </c>
      <c r="B22">
        <v>17</v>
      </c>
      <c r="C22">
        <v>259</v>
      </c>
      <c r="D22">
        <v>-4</v>
      </c>
      <c r="E22">
        <v>263</v>
      </c>
      <c r="F22">
        <v>-2</v>
      </c>
      <c r="G22" t="s">
        <v>7</v>
      </c>
    </row>
    <row r="23" spans="1:7" x14ac:dyDescent="0.35">
      <c r="A23" t="s">
        <v>12</v>
      </c>
      <c r="B23">
        <v>2</v>
      </c>
      <c r="C23">
        <v>-109</v>
      </c>
      <c r="D23">
        <v>-33</v>
      </c>
      <c r="E23">
        <v>-76</v>
      </c>
      <c r="F23">
        <v>0</v>
      </c>
      <c r="G23" t="s">
        <v>5</v>
      </c>
    </row>
    <row r="24" spans="1:7" x14ac:dyDescent="0.35">
      <c r="A24" t="s">
        <v>11</v>
      </c>
      <c r="B24">
        <v>-5</v>
      </c>
      <c r="C24">
        <v>-128</v>
      </c>
      <c r="D24">
        <v>-165</v>
      </c>
      <c r="E24">
        <v>37</v>
      </c>
      <c r="F24">
        <v>-3</v>
      </c>
      <c r="G24" t="s">
        <v>7</v>
      </c>
    </row>
    <row r="25" spans="1:7" x14ac:dyDescent="0.35">
      <c r="A25" t="s">
        <v>11</v>
      </c>
      <c r="B25">
        <v>6</v>
      </c>
      <c r="C25">
        <v>62</v>
      </c>
      <c r="D25">
        <v>198</v>
      </c>
      <c r="E25">
        <v>-136</v>
      </c>
      <c r="F25">
        <v>3</v>
      </c>
      <c r="G25" t="s">
        <v>5</v>
      </c>
    </row>
    <row r="26" spans="1:7" x14ac:dyDescent="0.35">
      <c r="A26" t="s">
        <v>11</v>
      </c>
      <c r="B26">
        <v>-18</v>
      </c>
      <c r="C26">
        <v>-273</v>
      </c>
      <c r="D26">
        <v>-176</v>
      </c>
      <c r="E26">
        <v>-97</v>
      </c>
      <c r="F26">
        <v>-1</v>
      </c>
      <c r="G26" t="s">
        <v>5</v>
      </c>
    </row>
    <row r="27" spans="1:7" x14ac:dyDescent="0.35">
      <c r="A27" t="s">
        <v>12</v>
      </c>
      <c r="B27">
        <v>-2</v>
      </c>
      <c r="C27">
        <v>7</v>
      </c>
      <c r="D27">
        <v>28</v>
      </c>
      <c r="E27">
        <v>-21</v>
      </c>
      <c r="F27">
        <v>3</v>
      </c>
      <c r="G27" t="s">
        <v>5</v>
      </c>
    </row>
    <row r="28" spans="1:7" x14ac:dyDescent="0.35">
      <c r="A28" t="s">
        <v>12</v>
      </c>
      <c r="B28">
        <v>2</v>
      </c>
      <c r="C28">
        <v>-34</v>
      </c>
      <c r="D28">
        <v>26</v>
      </c>
      <c r="E28">
        <v>-60</v>
      </c>
      <c r="F28">
        <v>-1</v>
      </c>
      <c r="G28" t="s">
        <v>5</v>
      </c>
    </row>
    <row r="29" spans="1:7" x14ac:dyDescent="0.35">
      <c r="A29" t="s">
        <v>11</v>
      </c>
      <c r="B29">
        <v>9</v>
      </c>
      <c r="C29">
        <v>48</v>
      </c>
      <c r="D29">
        <v>45</v>
      </c>
      <c r="E29">
        <v>3</v>
      </c>
      <c r="F29">
        <v>1</v>
      </c>
      <c r="G29" t="s">
        <v>5</v>
      </c>
    </row>
    <row r="30" spans="1:7" x14ac:dyDescent="0.35">
      <c r="A30" t="s">
        <v>12</v>
      </c>
      <c r="B30">
        <v>-5</v>
      </c>
      <c r="C30">
        <v>-160</v>
      </c>
      <c r="D30">
        <v>-258</v>
      </c>
      <c r="E30">
        <v>98</v>
      </c>
      <c r="F30">
        <v>1</v>
      </c>
      <c r="G30" t="s">
        <v>5</v>
      </c>
    </row>
    <row r="31" spans="1:7" x14ac:dyDescent="0.35">
      <c r="A31" t="s">
        <v>12</v>
      </c>
      <c r="B31">
        <v>2</v>
      </c>
      <c r="C31">
        <v>-135</v>
      </c>
      <c r="D31">
        <v>-115</v>
      </c>
      <c r="E31">
        <v>-20</v>
      </c>
      <c r="F31">
        <v>2</v>
      </c>
      <c r="G31" t="s">
        <v>5</v>
      </c>
    </row>
    <row r="32" spans="1:7" x14ac:dyDescent="0.35">
      <c r="A32" t="s">
        <v>12</v>
      </c>
      <c r="B32">
        <v>11</v>
      </c>
      <c r="C32">
        <v>193</v>
      </c>
      <c r="D32">
        <v>30</v>
      </c>
      <c r="E32">
        <v>163</v>
      </c>
      <c r="F32">
        <v>0</v>
      </c>
      <c r="G32" t="s">
        <v>7</v>
      </c>
    </row>
    <row r="33" spans="1:7" x14ac:dyDescent="0.35">
      <c r="A33" t="s">
        <v>12</v>
      </c>
      <c r="B33">
        <v>12</v>
      </c>
      <c r="C33">
        <v>157</v>
      </c>
      <c r="D33">
        <v>103</v>
      </c>
      <c r="E33">
        <v>54</v>
      </c>
      <c r="F33">
        <v>0</v>
      </c>
      <c r="G33" t="s">
        <v>7</v>
      </c>
    </row>
    <row r="34" spans="1:7" x14ac:dyDescent="0.35">
      <c r="A34" t="s">
        <v>11</v>
      </c>
      <c r="B34">
        <v>5</v>
      </c>
      <c r="C34">
        <v>61</v>
      </c>
      <c r="D34">
        <v>108</v>
      </c>
      <c r="E34">
        <v>-47</v>
      </c>
      <c r="F34">
        <v>-1</v>
      </c>
      <c r="G34" t="s">
        <v>5</v>
      </c>
    </row>
    <row r="35" spans="1:7" x14ac:dyDescent="0.35">
      <c r="A35" t="s">
        <v>11</v>
      </c>
      <c r="B35">
        <v>-2</v>
      </c>
      <c r="C35">
        <v>-57</v>
      </c>
      <c r="D35">
        <v>-137</v>
      </c>
      <c r="E35">
        <v>80</v>
      </c>
      <c r="F35">
        <v>-1</v>
      </c>
      <c r="G35" t="s">
        <v>7</v>
      </c>
    </row>
    <row r="36" spans="1:7" x14ac:dyDescent="0.35">
      <c r="A36" t="s">
        <v>11</v>
      </c>
      <c r="B36">
        <v>1</v>
      </c>
      <c r="C36">
        <v>-35</v>
      </c>
      <c r="D36">
        <v>-138</v>
      </c>
      <c r="E36">
        <v>103</v>
      </c>
      <c r="F36">
        <v>-1</v>
      </c>
      <c r="G36" t="s">
        <v>7</v>
      </c>
    </row>
    <row r="37" spans="1:7" x14ac:dyDescent="0.35">
      <c r="A37" t="s">
        <v>12</v>
      </c>
      <c r="B37">
        <v>-2</v>
      </c>
      <c r="C37">
        <v>38</v>
      </c>
      <c r="D37">
        <v>-20</v>
      </c>
      <c r="E37">
        <v>58</v>
      </c>
      <c r="F37">
        <v>0</v>
      </c>
      <c r="G37" t="s">
        <v>7</v>
      </c>
    </row>
    <row r="38" spans="1:7" x14ac:dyDescent="0.35">
      <c r="A38" t="s">
        <v>12</v>
      </c>
      <c r="B38">
        <v>-4</v>
      </c>
      <c r="C38">
        <v>-197</v>
      </c>
      <c r="D38">
        <v>-133</v>
      </c>
      <c r="E38">
        <v>-64</v>
      </c>
      <c r="F38">
        <v>0</v>
      </c>
      <c r="G38" t="s">
        <v>5</v>
      </c>
    </row>
    <row r="39" spans="1:7" x14ac:dyDescent="0.35">
      <c r="A39" t="s">
        <v>12</v>
      </c>
      <c r="B39">
        <v>7</v>
      </c>
      <c r="C39">
        <v>-14</v>
      </c>
      <c r="D39">
        <v>-5</v>
      </c>
      <c r="E39">
        <v>-9</v>
      </c>
      <c r="F39">
        <v>2</v>
      </c>
      <c r="G39" t="s">
        <v>5</v>
      </c>
    </row>
    <row r="40" spans="1:7" x14ac:dyDescent="0.35">
      <c r="A40" t="s">
        <v>12</v>
      </c>
      <c r="B40">
        <v>4</v>
      </c>
      <c r="C40">
        <v>140</v>
      </c>
      <c r="D40">
        <v>200</v>
      </c>
      <c r="E40">
        <v>-60</v>
      </c>
      <c r="F40">
        <v>0</v>
      </c>
      <c r="G40" t="s">
        <v>7</v>
      </c>
    </row>
    <row r="41" spans="1:7" x14ac:dyDescent="0.35">
      <c r="A41" t="s">
        <v>11</v>
      </c>
      <c r="B41">
        <v>-10</v>
      </c>
      <c r="C41">
        <v>-102</v>
      </c>
      <c r="D41">
        <v>-51</v>
      </c>
      <c r="E41">
        <v>-51</v>
      </c>
      <c r="F41">
        <v>0</v>
      </c>
      <c r="G41" t="s">
        <v>7</v>
      </c>
    </row>
    <row r="42" spans="1:7" x14ac:dyDescent="0.35">
      <c r="A42" t="s">
        <v>11</v>
      </c>
      <c r="B42">
        <v>6</v>
      </c>
      <c r="C42">
        <v>71</v>
      </c>
      <c r="D42">
        <v>-14</v>
      </c>
      <c r="E42">
        <v>85</v>
      </c>
      <c r="F42">
        <v>-1</v>
      </c>
      <c r="G42" t="s">
        <v>7</v>
      </c>
    </row>
    <row r="43" spans="1:7" x14ac:dyDescent="0.35">
      <c r="A43" t="s">
        <v>11</v>
      </c>
      <c r="B43">
        <v>-15</v>
      </c>
      <c r="C43">
        <v>-197</v>
      </c>
      <c r="D43">
        <v>-108</v>
      </c>
      <c r="E43">
        <v>-89</v>
      </c>
      <c r="F43">
        <v>-3</v>
      </c>
      <c r="G43" t="s">
        <v>5</v>
      </c>
    </row>
    <row r="44" spans="1:7" x14ac:dyDescent="0.35">
      <c r="A44" t="s">
        <v>11</v>
      </c>
      <c r="B44">
        <v>8</v>
      </c>
      <c r="C44">
        <v>48</v>
      </c>
      <c r="D44">
        <v>35</v>
      </c>
      <c r="E44">
        <v>13</v>
      </c>
      <c r="F44">
        <v>-3</v>
      </c>
      <c r="G44" t="s">
        <v>7</v>
      </c>
    </row>
    <row r="45" spans="1:7" x14ac:dyDescent="0.35">
      <c r="A45" t="s">
        <v>12</v>
      </c>
      <c r="B45">
        <v>-8</v>
      </c>
      <c r="C45">
        <v>-164</v>
      </c>
      <c r="D45">
        <v>-94</v>
      </c>
      <c r="E45">
        <v>-70</v>
      </c>
      <c r="F45">
        <v>-1</v>
      </c>
      <c r="G45" t="s">
        <v>5</v>
      </c>
    </row>
    <row r="46" spans="1:7" x14ac:dyDescent="0.35">
      <c r="A46" t="s">
        <v>11</v>
      </c>
      <c r="B46">
        <v>-14</v>
      </c>
      <c r="C46">
        <v>-161</v>
      </c>
      <c r="D46">
        <v>4</v>
      </c>
      <c r="E46">
        <v>-165</v>
      </c>
      <c r="F46">
        <v>0</v>
      </c>
      <c r="G46" t="s">
        <v>5</v>
      </c>
    </row>
    <row r="47" spans="1:7" x14ac:dyDescent="0.35">
      <c r="A47" t="s">
        <v>12</v>
      </c>
      <c r="B47">
        <v>7</v>
      </c>
      <c r="C47">
        <v>99</v>
      </c>
      <c r="D47">
        <v>171</v>
      </c>
      <c r="E47">
        <v>-72</v>
      </c>
      <c r="F47">
        <v>1</v>
      </c>
      <c r="G47" t="s">
        <v>5</v>
      </c>
    </row>
    <row r="48" spans="1:7" x14ac:dyDescent="0.35">
      <c r="A48" t="s">
        <v>11</v>
      </c>
      <c r="B48">
        <v>5</v>
      </c>
      <c r="C48">
        <v>-116</v>
      </c>
      <c r="D48">
        <v>-57</v>
      </c>
      <c r="E48">
        <v>-59</v>
      </c>
      <c r="F48">
        <v>4</v>
      </c>
      <c r="G48" t="s">
        <v>5</v>
      </c>
    </row>
    <row r="49" spans="1:7" x14ac:dyDescent="0.35">
      <c r="A49" t="s">
        <v>11</v>
      </c>
      <c r="B49">
        <v>-11</v>
      </c>
      <c r="C49">
        <v>-249</v>
      </c>
      <c r="D49">
        <v>-229</v>
      </c>
      <c r="E49">
        <v>-20</v>
      </c>
      <c r="F49">
        <v>0</v>
      </c>
      <c r="G49" t="s">
        <v>7</v>
      </c>
    </row>
    <row r="50" spans="1:7" x14ac:dyDescent="0.35">
      <c r="A50" t="s">
        <v>12</v>
      </c>
      <c r="B50">
        <v>-4</v>
      </c>
      <c r="C50">
        <v>16</v>
      </c>
      <c r="D50">
        <v>-20</v>
      </c>
      <c r="E50">
        <v>36</v>
      </c>
      <c r="F50">
        <v>1</v>
      </c>
      <c r="G50" t="s">
        <v>7</v>
      </c>
    </row>
    <row r="51" spans="1:7" x14ac:dyDescent="0.35">
      <c r="A51" t="s">
        <v>12</v>
      </c>
      <c r="B51">
        <v>5</v>
      </c>
      <c r="C51">
        <v>128</v>
      </c>
      <c r="D51">
        <v>165</v>
      </c>
      <c r="E51">
        <v>-37</v>
      </c>
      <c r="F51">
        <v>3</v>
      </c>
      <c r="G51" t="s">
        <v>5</v>
      </c>
    </row>
    <row r="52" spans="1:7" x14ac:dyDescent="0.35">
      <c r="A52" t="s">
        <v>12</v>
      </c>
      <c r="B52">
        <v>16</v>
      </c>
      <c r="C52">
        <v>213</v>
      </c>
      <c r="D52">
        <v>104</v>
      </c>
      <c r="E52">
        <v>109</v>
      </c>
      <c r="F52">
        <v>0</v>
      </c>
      <c r="G52" t="s">
        <v>7</v>
      </c>
    </row>
    <row r="53" spans="1:7" x14ac:dyDescent="0.35">
      <c r="A53" t="s">
        <v>11</v>
      </c>
      <c r="B53">
        <v>8</v>
      </c>
      <c r="C53">
        <v>37</v>
      </c>
      <c r="D53">
        <v>109</v>
      </c>
      <c r="E53">
        <v>-72</v>
      </c>
      <c r="F53">
        <v>-2</v>
      </c>
      <c r="G53" t="s">
        <v>7</v>
      </c>
    </row>
    <row r="54" spans="1:7" x14ac:dyDescent="0.35">
      <c r="A54" t="s">
        <v>12</v>
      </c>
      <c r="B54">
        <v>-1</v>
      </c>
      <c r="C54">
        <v>-31</v>
      </c>
      <c r="D54">
        <v>-30</v>
      </c>
      <c r="E54">
        <v>-1</v>
      </c>
      <c r="F54">
        <v>0</v>
      </c>
      <c r="G54" t="s">
        <v>7</v>
      </c>
    </row>
    <row r="55" spans="1:7" x14ac:dyDescent="0.35">
      <c r="A55" t="s">
        <v>11</v>
      </c>
      <c r="B55">
        <v>9</v>
      </c>
      <c r="C55">
        <v>159</v>
      </c>
      <c r="D55">
        <v>287</v>
      </c>
      <c r="E55">
        <v>-128</v>
      </c>
      <c r="F55">
        <v>0</v>
      </c>
      <c r="G55" t="s">
        <v>5</v>
      </c>
    </row>
    <row r="56" spans="1:7" x14ac:dyDescent="0.35">
      <c r="A56" t="s">
        <v>11</v>
      </c>
      <c r="B56">
        <v>16</v>
      </c>
      <c r="C56">
        <v>195</v>
      </c>
      <c r="D56">
        <v>113</v>
      </c>
      <c r="E56">
        <v>82</v>
      </c>
      <c r="F56">
        <v>-3</v>
      </c>
      <c r="G56" t="s">
        <v>7</v>
      </c>
    </row>
    <row r="57" spans="1:7" x14ac:dyDescent="0.35">
      <c r="A57" t="s">
        <v>12</v>
      </c>
      <c r="B57">
        <v>-8</v>
      </c>
      <c r="C57">
        <v>-37</v>
      </c>
      <c r="D57">
        <v>-109</v>
      </c>
      <c r="E57">
        <v>72</v>
      </c>
      <c r="F57">
        <v>2</v>
      </c>
      <c r="G57" t="s">
        <v>5</v>
      </c>
    </row>
    <row r="58" spans="1:7" x14ac:dyDescent="0.35">
      <c r="A58" t="s">
        <v>12</v>
      </c>
      <c r="B58">
        <v>-3</v>
      </c>
      <c r="C58">
        <v>141</v>
      </c>
      <c r="D58">
        <v>146</v>
      </c>
      <c r="E58">
        <v>-5</v>
      </c>
      <c r="F58">
        <v>-1</v>
      </c>
      <c r="G58" t="s">
        <v>7</v>
      </c>
    </row>
    <row r="59" spans="1:7" x14ac:dyDescent="0.35">
      <c r="A59" t="s">
        <v>12</v>
      </c>
      <c r="B59">
        <v>-3</v>
      </c>
      <c r="C59">
        <v>-191</v>
      </c>
      <c r="D59">
        <v>-65</v>
      </c>
      <c r="E59">
        <v>-126</v>
      </c>
      <c r="F59">
        <v>0</v>
      </c>
      <c r="G59" t="s">
        <v>5</v>
      </c>
    </row>
    <row r="60" spans="1:7" x14ac:dyDescent="0.35">
      <c r="A60" t="s">
        <v>12</v>
      </c>
      <c r="B60">
        <v>10</v>
      </c>
      <c r="C60">
        <v>147</v>
      </c>
      <c r="D60">
        <v>91</v>
      </c>
      <c r="E60">
        <v>56</v>
      </c>
      <c r="F60">
        <v>1</v>
      </c>
      <c r="G60" t="s">
        <v>7</v>
      </c>
    </row>
    <row r="61" spans="1:7" x14ac:dyDescent="0.35">
      <c r="A61" t="s">
        <v>12</v>
      </c>
      <c r="B61">
        <v>9</v>
      </c>
      <c r="C61">
        <v>-4</v>
      </c>
      <c r="D61">
        <v>64</v>
      </c>
      <c r="E61">
        <v>-68</v>
      </c>
      <c r="F61">
        <v>3</v>
      </c>
      <c r="G61" t="s">
        <v>5</v>
      </c>
    </row>
    <row r="62" spans="1:7" x14ac:dyDescent="0.35">
      <c r="A62" t="s">
        <v>11</v>
      </c>
      <c r="B62">
        <v>-6</v>
      </c>
      <c r="C62">
        <v>-40</v>
      </c>
      <c r="D62">
        <v>3</v>
      </c>
      <c r="E62">
        <v>-43</v>
      </c>
      <c r="F62">
        <v>-1</v>
      </c>
      <c r="G62" t="s">
        <v>5</v>
      </c>
    </row>
    <row r="63" spans="1:7" x14ac:dyDescent="0.35">
      <c r="A63" t="s">
        <v>11</v>
      </c>
      <c r="B63">
        <v>2</v>
      </c>
      <c r="C63">
        <v>4</v>
      </c>
      <c r="D63">
        <v>227</v>
      </c>
      <c r="E63">
        <v>-223</v>
      </c>
      <c r="F63">
        <v>3</v>
      </c>
      <c r="G63" t="s">
        <v>5</v>
      </c>
    </row>
    <row r="64" spans="1:7" x14ac:dyDescent="0.35">
      <c r="A64" t="s">
        <v>11</v>
      </c>
      <c r="B64">
        <v>-2</v>
      </c>
      <c r="C64">
        <v>26</v>
      </c>
      <c r="D64">
        <v>95</v>
      </c>
      <c r="E64">
        <v>-69</v>
      </c>
      <c r="F64">
        <v>-2</v>
      </c>
      <c r="G64" t="s">
        <v>5</v>
      </c>
    </row>
    <row r="65" spans="1:7" x14ac:dyDescent="0.35">
      <c r="A65" t="s">
        <v>11</v>
      </c>
      <c r="B65">
        <v>-11</v>
      </c>
      <c r="C65">
        <v>-193</v>
      </c>
      <c r="D65">
        <v>-173</v>
      </c>
      <c r="E65">
        <v>-20</v>
      </c>
      <c r="F65">
        <v>1</v>
      </c>
      <c r="G65" t="s">
        <v>5</v>
      </c>
    </row>
    <row r="66" spans="1:7" x14ac:dyDescent="0.35">
      <c r="A66" t="s">
        <v>11</v>
      </c>
      <c r="B66">
        <v>-9</v>
      </c>
      <c r="C66">
        <v>4</v>
      </c>
      <c r="D66">
        <v>-64</v>
      </c>
      <c r="E66">
        <v>68</v>
      </c>
      <c r="F66">
        <v>-3</v>
      </c>
      <c r="G66" t="s">
        <v>7</v>
      </c>
    </row>
    <row r="67" spans="1:7" x14ac:dyDescent="0.35">
      <c r="A67" t="s">
        <v>12</v>
      </c>
      <c r="B67">
        <v>10</v>
      </c>
      <c r="C67">
        <v>102</v>
      </c>
      <c r="D67">
        <v>51</v>
      </c>
      <c r="E67">
        <v>51</v>
      </c>
      <c r="F67">
        <v>0</v>
      </c>
      <c r="G67" t="s">
        <v>5</v>
      </c>
    </row>
    <row r="68" spans="1:7" x14ac:dyDescent="0.35">
      <c r="A68" t="s">
        <v>11</v>
      </c>
      <c r="B68">
        <v>0</v>
      </c>
      <c r="C68">
        <v>-24</v>
      </c>
      <c r="D68">
        <v>-35</v>
      </c>
      <c r="E68">
        <v>11</v>
      </c>
      <c r="F68">
        <v>-5</v>
      </c>
      <c r="G68" t="s">
        <v>7</v>
      </c>
    </row>
    <row r="69" spans="1:7" x14ac:dyDescent="0.35">
      <c r="A69" t="s">
        <v>12</v>
      </c>
      <c r="B69">
        <v>-2</v>
      </c>
      <c r="C69">
        <v>-74</v>
      </c>
      <c r="D69">
        <v>-79</v>
      </c>
      <c r="E69">
        <v>5</v>
      </c>
      <c r="F69">
        <v>-2</v>
      </c>
      <c r="G69" t="s">
        <v>5</v>
      </c>
    </row>
    <row r="70" spans="1:7" x14ac:dyDescent="0.35">
      <c r="A70" t="s">
        <v>12</v>
      </c>
      <c r="B70">
        <v>9</v>
      </c>
      <c r="C70">
        <v>157</v>
      </c>
      <c r="D70">
        <v>90</v>
      </c>
      <c r="E70">
        <v>67</v>
      </c>
      <c r="F70">
        <v>-1</v>
      </c>
      <c r="G70" t="s">
        <v>7</v>
      </c>
    </row>
    <row r="71" spans="1:7" x14ac:dyDescent="0.35">
      <c r="A71" t="s">
        <v>11</v>
      </c>
      <c r="B71">
        <v>-1</v>
      </c>
      <c r="C71">
        <v>39</v>
      </c>
      <c r="D71">
        <v>31</v>
      </c>
      <c r="E71">
        <v>8</v>
      </c>
      <c r="F71">
        <v>1</v>
      </c>
      <c r="G71" t="s">
        <v>5</v>
      </c>
    </row>
    <row r="72" spans="1:7" x14ac:dyDescent="0.35">
      <c r="A72" t="s">
        <v>12</v>
      </c>
      <c r="B72">
        <v>-7</v>
      </c>
      <c r="C72">
        <v>-2</v>
      </c>
      <c r="D72">
        <v>-1</v>
      </c>
      <c r="E72">
        <v>-1</v>
      </c>
      <c r="F72">
        <v>0</v>
      </c>
      <c r="G72" t="s">
        <v>7</v>
      </c>
    </row>
    <row r="73" spans="1:7" x14ac:dyDescent="0.35">
      <c r="A73" t="s">
        <v>12</v>
      </c>
      <c r="B73">
        <v>-12</v>
      </c>
      <c r="C73">
        <v>-174</v>
      </c>
      <c r="D73">
        <v>-184</v>
      </c>
      <c r="E73">
        <v>10</v>
      </c>
      <c r="F73">
        <v>-1</v>
      </c>
      <c r="G73" t="s">
        <v>5</v>
      </c>
    </row>
    <row r="74" spans="1:7" x14ac:dyDescent="0.35">
      <c r="A74" t="s">
        <v>12</v>
      </c>
      <c r="B74">
        <v>14</v>
      </c>
      <c r="C74">
        <v>161</v>
      </c>
      <c r="D74">
        <v>-4</v>
      </c>
      <c r="E74">
        <v>165</v>
      </c>
      <c r="F74">
        <v>0</v>
      </c>
      <c r="G74" t="s">
        <v>7</v>
      </c>
    </row>
    <row r="75" spans="1:7" x14ac:dyDescent="0.35">
      <c r="A75" t="s">
        <v>12</v>
      </c>
      <c r="B75">
        <v>4</v>
      </c>
      <c r="C75">
        <v>24</v>
      </c>
      <c r="D75">
        <v>-39</v>
      </c>
      <c r="E75">
        <v>63</v>
      </c>
      <c r="F75">
        <v>0</v>
      </c>
      <c r="G75" t="s">
        <v>7</v>
      </c>
    </row>
    <row r="76" spans="1:7" x14ac:dyDescent="0.35">
      <c r="A76" t="s">
        <v>12</v>
      </c>
      <c r="B76">
        <v>-1</v>
      </c>
      <c r="C76">
        <v>66</v>
      </c>
      <c r="D76">
        <v>2</v>
      </c>
      <c r="E76">
        <v>64</v>
      </c>
      <c r="F76">
        <v>-2</v>
      </c>
      <c r="G76" t="s">
        <v>7</v>
      </c>
    </row>
    <row r="77" spans="1:7" x14ac:dyDescent="0.35">
      <c r="A77" t="s">
        <v>12</v>
      </c>
      <c r="B77">
        <v>7</v>
      </c>
      <c r="C77">
        <v>38</v>
      </c>
      <c r="D77">
        <v>-57</v>
      </c>
      <c r="E77">
        <v>95</v>
      </c>
      <c r="F77">
        <v>0</v>
      </c>
      <c r="G77" t="s">
        <v>7</v>
      </c>
    </row>
    <row r="78" spans="1:7" x14ac:dyDescent="0.35">
      <c r="A78" t="s">
        <v>11</v>
      </c>
      <c r="B78">
        <v>-5</v>
      </c>
      <c r="C78">
        <v>-176</v>
      </c>
      <c r="D78">
        <v>-277</v>
      </c>
      <c r="E78">
        <v>101</v>
      </c>
      <c r="F78">
        <v>0</v>
      </c>
      <c r="G78" t="s">
        <v>5</v>
      </c>
    </row>
    <row r="79" spans="1:7" x14ac:dyDescent="0.35">
      <c r="A79" t="s">
        <v>12</v>
      </c>
      <c r="B79">
        <v>-6</v>
      </c>
      <c r="C79">
        <v>-147</v>
      </c>
      <c r="D79">
        <v>-87</v>
      </c>
      <c r="E79">
        <v>-60</v>
      </c>
      <c r="F79">
        <v>-3</v>
      </c>
      <c r="G79" t="s">
        <v>5</v>
      </c>
    </row>
    <row r="80" spans="1:7" x14ac:dyDescent="0.35">
      <c r="A80" t="s">
        <v>11</v>
      </c>
      <c r="B80">
        <v>-2</v>
      </c>
      <c r="C80">
        <v>135</v>
      </c>
      <c r="D80">
        <v>115</v>
      </c>
      <c r="E80">
        <v>20</v>
      </c>
      <c r="F80">
        <v>-2</v>
      </c>
      <c r="G80" t="s">
        <v>7</v>
      </c>
    </row>
    <row r="81" spans="1:7" x14ac:dyDescent="0.35">
      <c r="A81" t="s">
        <v>11</v>
      </c>
      <c r="B81">
        <v>-8</v>
      </c>
      <c r="C81">
        <v>-218</v>
      </c>
      <c r="D81">
        <v>-142</v>
      </c>
      <c r="E81">
        <v>-76</v>
      </c>
      <c r="F81">
        <v>1</v>
      </c>
      <c r="G81" t="s">
        <v>5</v>
      </c>
    </row>
    <row r="82" spans="1:7" x14ac:dyDescent="0.35">
      <c r="A82" t="s">
        <v>12</v>
      </c>
      <c r="B82">
        <v>6</v>
      </c>
      <c r="C82">
        <v>-8</v>
      </c>
      <c r="D82">
        <v>-32</v>
      </c>
      <c r="E82">
        <v>24</v>
      </c>
      <c r="F82">
        <v>0</v>
      </c>
      <c r="G82" t="s">
        <v>7</v>
      </c>
    </row>
    <row r="83" spans="1:7" x14ac:dyDescent="0.35">
      <c r="A83" t="s">
        <v>11</v>
      </c>
      <c r="B83">
        <v>-2</v>
      </c>
      <c r="C83">
        <v>-186</v>
      </c>
      <c r="D83">
        <v>55</v>
      </c>
      <c r="E83">
        <v>-241</v>
      </c>
      <c r="F83">
        <v>1</v>
      </c>
      <c r="G83" t="s">
        <v>5</v>
      </c>
    </row>
    <row r="84" spans="1:7" x14ac:dyDescent="0.35">
      <c r="A84" t="s">
        <v>11</v>
      </c>
      <c r="B84">
        <v>-7</v>
      </c>
      <c r="C84">
        <v>-115</v>
      </c>
      <c r="D84">
        <v>-43</v>
      </c>
      <c r="E84">
        <v>-72</v>
      </c>
      <c r="F84">
        <v>1</v>
      </c>
      <c r="G84" t="s">
        <v>7</v>
      </c>
    </row>
    <row r="85" spans="1:7" x14ac:dyDescent="0.35">
      <c r="A85" t="s">
        <v>11</v>
      </c>
      <c r="B85">
        <v>-12</v>
      </c>
      <c r="C85">
        <v>-188</v>
      </c>
      <c r="D85">
        <v>-270</v>
      </c>
      <c r="E85">
        <v>82</v>
      </c>
      <c r="F85">
        <v>-3</v>
      </c>
      <c r="G85" t="s">
        <v>7</v>
      </c>
    </row>
    <row r="86" spans="1:7" x14ac:dyDescent="0.35">
      <c r="A86" t="s">
        <v>12</v>
      </c>
      <c r="B86">
        <v>1</v>
      </c>
      <c r="C86">
        <v>-39</v>
      </c>
      <c r="D86">
        <v>-31</v>
      </c>
      <c r="E86">
        <v>-8</v>
      </c>
      <c r="F86">
        <v>-1</v>
      </c>
      <c r="G86" t="s">
        <v>7</v>
      </c>
    </row>
    <row r="87" spans="1:7" x14ac:dyDescent="0.35">
      <c r="A87" t="s">
        <v>12</v>
      </c>
      <c r="B87">
        <v>4</v>
      </c>
      <c r="C87">
        <v>-100</v>
      </c>
      <c r="D87">
        <v>-156</v>
      </c>
      <c r="E87">
        <v>56</v>
      </c>
      <c r="F87">
        <v>0</v>
      </c>
      <c r="G87" t="s">
        <v>5</v>
      </c>
    </row>
    <row r="88" spans="1:7" x14ac:dyDescent="0.35">
      <c r="A88" t="s">
        <v>12</v>
      </c>
      <c r="B88">
        <v>3</v>
      </c>
      <c r="C88">
        <v>41</v>
      </c>
      <c r="D88">
        <v>42</v>
      </c>
      <c r="E88">
        <v>-1</v>
      </c>
      <c r="F88">
        <v>1</v>
      </c>
      <c r="G88" t="s">
        <v>5</v>
      </c>
    </row>
    <row r="89" spans="1:7" x14ac:dyDescent="0.35">
      <c r="A89" t="s">
        <v>11</v>
      </c>
      <c r="B89">
        <v>-16</v>
      </c>
      <c r="C89">
        <v>-163</v>
      </c>
      <c r="D89">
        <v>-118</v>
      </c>
      <c r="E89">
        <v>-45</v>
      </c>
      <c r="F89">
        <v>-1</v>
      </c>
      <c r="G89" t="s">
        <v>5</v>
      </c>
    </row>
    <row r="90" spans="1:7" x14ac:dyDescent="0.35">
      <c r="A90" t="s">
        <v>12</v>
      </c>
      <c r="B90">
        <v>-9</v>
      </c>
      <c r="C90">
        <v>-48</v>
      </c>
      <c r="D90">
        <v>-45</v>
      </c>
      <c r="E90">
        <v>-3</v>
      </c>
      <c r="F90">
        <v>-1</v>
      </c>
      <c r="G90" t="s">
        <v>7</v>
      </c>
    </row>
    <row r="91" spans="1:7" x14ac:dyDescent="0.35">
      <c r="A91" t="s">
        <v>12</v>
      </c>
      <c r="B91">
        <v>4</v>
      </c>
      <c r="C91">
        <v>30</v>
      </c>
      <c r="D91">
        <v>-106</v>
      </c>
      <c r="E91">
        <v>136</v>
      </c>
      <c r="F91">
        <v>0</v>
      </c>
      <c r="G91" t="s">
        <v>7</v>
      </c>
    </row>
    <row r="92" spans="1:7" x14ac:dyDescent="0.35">
      <c r="A92" t="s">
        <v>12</v>
      </c>
      <c r="B92">
        <v>15</v>
      </c>
      <c r="C92">
        <v>197</v>
      </c>
      <c r="D92">
        <v>108</v>
      </c>
      <c r="E92">
        <v>89</v>
      </c>
      <c r="F92">
        <v>3</v>
      </c>
      <c r="G92" t="s">
        <v>7</v>
      </c>
    </row>
    <row r="93" spans="1:7" x14ac:dyDescent="0.35">
      <c r="A93" t="s">
        <v>11</v>
      </c>
      <c r="B93">
        <v>13</v>
      </c>
      <c r="C93">
        <v>172</v>
      </c>
      <c r="D93">
        <v>79</v>
      </c>
      <c r="E93">
        <v>93</v>
      </c>
      <c r="F93">
        <v>1</v>
      </c>
      <c r="G93" t="s">
        <v>5</v>
      </c>
    </row>
    <row r="94" spans="1:7" x14ac:dyDescent="0.35">
      <c r="A94" t="s">
        <v>12</v>
      </c>
      <c r="B94">
        <v>-3</v>
      </c>
      <c r="C94">
        <v>-113</v>
      </c>
      <c r="D94">
        <v>-136</v>
      </c>
      <c r="E94">
        <v>23</v>
      </c>
      <c r="F94">
        <v>0</v>
      </c>
      <c r="G94" t="s">
        <v>5</v>
      </c>
    </row>
    <row r="95" spans="1:7" x14ac:dyDescent="0.35">
      <c r="A95" t="s">
        <v>11</v>
      </c>
      <c r="B95">
        <v>5</v>
      </c>
      <c r="C95">
        <v>144</v>
      </c>
      <c r="D95">
        <v>-14</v>
      </c>
      <c r="E95">
        <v>158</v>
      </c>
      <c r="F95">
        <v>0</v>
      </c>
      <c r="G95" t="s">
        <v>7</v>
      </c>
    </row>
    <row r="96" spans="1:7" x14ac:dyDescent="0.35">
      <c r="A96" t="s">
        <v>11</v>
      </c>
      <c r="B96">
        <v>1</v>
      </c>
      <c r="C96">
        <v>19</v>
      </c>
      <c r="D96">
        <v>19</v>
      </c>
      <c r="E96">
        <v>0</v>
      </c>
      <c r="F96">
        <v>-1</v>
      </c>
      <c r="G96" t="s">
        <v>7</v>
      </c>
    </row>
    <row r="97" spans="1:7" x14ac:dyDescent="0.35">
      <c r="A97" t="s">
        <v>11</v>
      </c>
      <c r="B97">
        <v>-10</v>
      </c>
      <c r="C97">
        <v>-70</v>
      </c>
      <c r="D97">
        <v>-91</v>
      </c>
      <c r="E97">
        <v>21</v>
      </c>
      <c r="F97">
        <v>-2</v>
      </c>
      <c r="G97" t="s">
        <v>7</v>
      </c>
    </row>
    <row r="98" spans="1:7" x14ac:dyDescent="0.35">
      <c r="A98" t="s">
        <v>11</v>
      </c>
      <c r="B98">
        <v>-3</v>
      </c>
      <c r="C98">
        <v>-18</v>
      </c>
      <c r="D98">
        <v>-67</v>
      </c>
      <c r="E98">
        <v>49</v>
      </c>
      <c r="F98">
        <v>-3</v>
      </c>
      <c r="G98" t="s">
        <v>7</v>
      </c>
    </row>
    <row r="99" spans="1:7" x14ac:dyDescent="0.35">
      <c r="A99" t="s">
        <v>11</v>
      </c>
      <c r="B99">
        <v>1</v>
      </c>
      <c r="C99">
        <v>169</v>
      </c>
      <c r="D99">
        <v>-14</v>
      </c>
      <c r="E99">
        <v>183</v>
      </c>
      <c r="F99">
        <v>-4</v>
      </c>
      <c r="G99" t="s">
        <v>7</v>
      </c>
    </row>
    <row r="100" spans="1:7" x14ac:dyDescent="0.35">
      <c r="A100" t="s">
        <v>11</v>
      </c>
      <c r="B100">
        <v>-14</v>
      </c>
      <c r="C100">
        <v>-230</v>
      </c>
      <c r="D100">
        <v>-262</v>
      </c>
      <c r="E100">
        <v>32</v>
      </c>
      <c r="F100">
        <v>-3</v>
      </c>
      <c r="G100" t="s">
        <v>7</v>
      </c>
    </row>
    <row r="101" spans="1:7" x14ac:dyDescent="0.35">
      <c r="A101" t="s">
        <v>12</v>
      </c>
      <c r="B101">
        <v>7</v>
      </c>
      <c r="C101">
        <v>120</v>
      </c>
      <c r="D101">
        <v>56</v>
      </c>
      <c r="E101">
        <v>64</v>
      </c>
      <c r="F101">
        <v>-1</v>
      </c>
      <c r="G101" t="s">
        <v>7</v>
      </c>
    </row>
    <row r="102" spans="1:7" x14ac:dyDescent="0.35">
      <c r="A102" t="s">
        <v>11</v>
      </c>
      <c r="B102">
        <v>-12</v>
      </c>
      <c r="C102">
        <v>-151</v>
      </c>
      <c r="D102">
        <v>-90</v>
      </c>
      <c r="E102">
        <v>-61</v>
      </c>
      <c r="F102">
        <v>-3</v>
      </c>
      <c r="G102" t="s">
        <v>7</v>
      </c>
    </row>
    <row r="103" spans="1:7" x14ac:dyDescent="0.35">
      <c r="A103" t="s">
        <v>12</v>
      </c>
      <c r="B103">
        <v>2</v>
      </c>
      <c r="C103">
        <v>-82</v>
      </c>
      <c r="D103">
        <v>-2</v>
      </c>
      <c r="E103">
        <v>-80</v>
      </c>
      <c r="F103">
        <v>0</v>
      </c>
      <c r="G103" t="s">
        <v>5</v>
      </c>
    </row>
    <row r="104" spans="1:7" x14ac:dyDescent="0.35">
      <c r="A104" t="s">
        <v>11</v>
      </c>
      <c r="B104">
        <v>2</v>
      </c>
      <c r="C104">
        <v>239</v>
      </c>
      <c r="D104">
        <v>212</v>
      </c>
      <c r="E104">
        <v>27</v>
      </c>
      <c r="F104">
        <v>0</v>
      </c>
      <c r="G104" t="s">
        <v>5</v>
      </c>
    </row>
    <row r="105" spans="1:7" x14ac:dyDescent="0.35">
      <c r="A105" t="s">
        <v>12</v>
      </c>
      <c r="B105">
        <v>6</v>
      </c>
      <c r="C105">
        <v>83</v>
      </c>
      <c r="D105">
        <v>-40</v>
      </c>
      <c r="E105">
        <v>123</v>
      </c>
      <c r="F105">
        <v>-1</v>
      </c>
      <c r="G105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3"/>
  <sheetViews>
    <sheetView workbookViewId="0">
      <selection activeCell="G4" sqref="G4"/>
    </sheetView>
  </sheetViews>
  <sheetFormatPr defaultRowHeight="14.5" x14ac:dyDescent="0.35"/>
  <sheetData>
    <row r="1" spans="1:15" ht="29" x14ac:dyDescent="0.35">
      <c r="A1" s="1" t="s">
        <v>10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9</v>
      </c>
      <c r="H1" s="1"/>
      <c r="I1" s="1"/>
      <c r="J1" s="1"/>
      <c r="K1" s="1"/>
      <c r="L1" s="1"/>
      <c r="M1" s="1"/>
      <c r="N1" s="1"/>
      <c r="O1" s="1"/>
    </row>
    <row r="2" spans="1:15" x14ac:dyDescent="0.35">
      <c r="A2" t="s">
        <v>12</v>
      </c>
      <c r="B2" t="s">
        <v>39</v>
      </c>
      <c r="C2" t="s">
        <v>39</v>
      </c>
      <c r="D2" t="s">
        <v>39</v>
      </c>
      <c r="E2" t="s">
        <v>39</v>
      </c>
      <c r="F2" t="s">
        <v>31</v>
      </c>
      <c r="G2" t="s">
        <v>7</v>
      </c>
    </row>
    <row r="3" spans="1:15" x14ac:dyDescent="0.35">
      <c r="A3" t="s">
        <v>11</v>
      </c>
      <c r="B3" t="s">
        <v>35</v>
      </c>
      <c r="C3" t="s">
        <v>31</v>
      </c>
      <c r="D3" t="s">
        <v>31</v>
      </c>
      <c r="E3" t="s">
        <v>35</v>
      </c>
      <c r="F3" t="s">
        <v>39</v>
      </c>
      <c r="G3" t="s">
        <v>5</v>
      </c>
    </row>
    <row r="4" spans="1:15" x14ac:dyDescent="0.35">
      <c r="A4" t="s">
        <v>12</v>
      </c>
      <c r="B4" t="s">
        <v>39</v>
      </c>
      <c r="C4" t="s">
        <v>39</v>
      </c>
      <c r="D4" t="s">
        <v>39</v>
      </c>
      <c r="E4" t="s">
        <v>35</v>
      </c>
      <c r="F4" t="s">
        <v>39</v>
      </c>
      <c r="G4" t="s">
        <v>7</v>
      </c>
    </row>
    <row r="5" spans="1:15" x14ac:dyDescent="0.35">
      <c r="A5" t="s">
        <v>11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5</v>
      </c>
    </row>
    <row r="6" spans="1:15" x14ac:dyDescent="0.35">
      <c r="A6" t="s">
        <v>11</v>
      </c>
      <c r="B6" t="s">
        <v>39</v>
      </c>
      <c r="C6" t="s">
        <v>39</v>
      </c>
      <c r="D6" t="s">
        <v>39</v>
      </c>
      <c r="E6" t="s">
        <v>35</v>
      </c>
      <c r="F6" t="s">
        <v>31</v>
      </c>
      <c r="G6" t="s">
        <v>7</v>
      </c>
    </row>
    <row r="7" spans="1:15" x14ac:dyDescent="0.35">
      <c r="A7" t="s">
        <v>12</v>
      </c>
      <c r="B7" t="s">
        <v>39</v>
      </c>
      <c r="C7" t="s">
        <v>39</v>
      </c>
      <c r="D7" t="s">
        <v>35</v>
      </c>
      <c r="E7" t="s">
        <v>39</v>
      </c>
      <c r="F7" t="s">
        <v>35</v>
      </c>
      <c r="G7" t="s">
        <v>7</v>
      </c>
    </row>
    <row r="8" spans="1:15" x14ac:dyDescent="0.35">
      <c r="A8" t="s">
        <v>11</v>
      </c>
      <c r="B8" t="s">
        <v>31</v>
      </c>
      <c r="C8" t="s">
        <v>31</v>
      </c>
      <c r="D8" t="s">
        <v>35</v>
      </c>
      <c r="E8" t="s">
        <v>31</v>
      </c>
      <c r="F8" t="s">
        <v>35</v>
      </c>
      <c r="G8" t="s">
        <v>5</v>
      </c>
    </row>
    <row r="9" spans="1:15" x14ac:dyDescent="0.35">
      <c r="A9" t="s">
        <v>12</v>
      </c>
      <c r="B9" t="s">
        <v>35</v>
      </c>
      <c r="C9" t="s">
        <v>39</v>
      </c>
      <c r="D9" t="s">
        <v>39</v>
      </c>
      <c r="E9" t="s">
        <v>35</v>
      </c>
      <c r="F9" t="s">
        <v>35</v>
      </c>
      <c r="G9" t="s">
        <v>7</v>
      </c>
    </row>
    <row r="10" spans="1:15" x14ac:dyDescent="0.35">
      <c r="A10" t="s">
        <v>11</v>
      </c>
      <c r="B10" t="s">
        <v>39</v>
      </c>
      <c r="C10" t="s">
        <v>35</v>
      </c>
      <c r="D10" t="s">
        <v>35</v>
      </c>
      <c r="E10" t="s">
        <v>35</v>
      </c>
      <c r="F10" t="s">
        <v>35</v>
      </c>
      <c r="G10" t="s">
        <v>5</v>
      </c>
    </row>
    <row r="11" spans="1:15" x14ac:dyDescent="0.35">
      <c r="A11" t="s">
        <v>12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7</v>
      </c>
    </row>
    <row r="12" spans="1:15" x14ac:dyDescent="0.35">
      <c r="A12" t="s">
        <v>11</v>
      </c>
      <c r="B12" t="s">
        <v>31</v>
      </c>
      <c r="C12" t="s">
        <v>35</v>
      </c>
      <c r="D12" t="s">
        <v>35</v>
      </c>
      <c r="E12" t="s">
        <v>35</v>
      </c>
      <c r="F12" t="s">
        <v>35</v>
      </c>
      <c r="G12" t="s">
        <v>5</v>
      </c>
    </row>
    <row r="13" spans="1:15" x14ac:dyDescent="0.35">
      <c r="A13" t="s">
        <v>12</v>
      </c>
      <c r="B13" t="s">
        <v>31</v>
      </c>
      <c r="C13" t="s">
        <v>31</v>
      </c>
      <c r="D13" t="s">
        <v>31</v>
      </c>
      <c r="E13" t="s">
        <v>35</v>
      </c>
      <c r="F13" t="s">
        <v>31</v>
      </c>
      <c r="G13" t="s">
        <v>7</v>
      </c>
    </row>
    <row r="14" spans="1:15" x14ac:dyDescent="0.35">
      <c r="A14" t="s">
        <v>11</v>
      </c>
      <c r="B14" t="s">
        <v>35</v>
      </c>
      <c r="C14" t="s">
        <v>39</v>
      </c>
      <c r="D14" t="s">
        <v>35</v>
      </c>
      <c r="E14" t="s">
        <v>39</v>
      </c>
      <c r="F14" t="s">
        <v>35</v>
      </c>
      <c r="G14" t="s">
        <v>7</v>
      </c>
    </row>
    <row r="15" spans="1:15" x14ac:dyDescent="0.35">
      <c r="A15" t="s">
        <v>11</v>
      </c>
      <c r="B15" t="s">
        <v>35</v>
      </c>
      <c r="C15" t="s">
        <v>35</v>
      </c>
      <c r="D15" t="s">
        <v>35</v>
      </c>
      <c r="E15" t="s">
        <v>35</v>
      </c>
      <c r="F15" t="s">
        <v>39</v>
      </c>
      <c r="G15" t="s">
        <v>5</v>
      </c>
    </row>
    <row r="16" spans="1:15" x14ac:dyDescent="0.35">
      <c r="A16" t="s">
        <v>12</v>
      </c>
      <c r="B16" t="s">
        <v>35</v>
      </c>
      <c r="C16" t="s">
        <v>35</v>
      </c>
      <c r="D16" t="s">
        <v>35</v>
      </c>
      <c r="E16" t="s">
        <v>35</v>
      </c>
      <c r="F16" t="s">
        <v>31</v>
      </c>
      <c r="G16" t="s">
        <v>7</v>
      </c>
    </row>
    <row r="17" spans="1:7" x14ac:dyDescent="0.35">
      <c r="A17" t="s">
        <v>12</v>
      </c>
      <c r="B17" t="s">
        <v>35</v>
      </c>
      <c r="C17" t="s">
        <v>31</v>
      </c>
      <c r="D17" t="s">
        <v>35</v>
      </c>
      <c r="E17" t="s">
        <v>35</v>
      </c>
      <c r="F17" t="s">
        <v>35</v>
      </c>
      <c r="G17" t="s">
        <v>7</v>
      </c>
    </row>
    <row r="18" spans="1:7" x14ac:dyDescent="0.35">
      <c r="A18" t="s">
        <v>12</v>
      </c>
      <c r="B18" t="s">
        <v>35</v>
      </c>
      <c r="C18" t="s">
        <v>35</v>
      </c>
      <c r="D18" t="s">
        <v>35</v>
      </c>
      <c r="E18" t="s">
        <v>35</v>
      </c>
      <c r="F18" t="s">
        <v>31</v>
      </c>
      <c r="G18" t="s">
        <v>7</v>
      </c>
    </row>
    <row r="19" spans="1:7" x14ac:dyDescent="0.35">
      <c r="A19" t="s">
        <v>12</v>
      </c>
      <c r="B19" t="s">
        <v>39</v>
      </c>
      <c r="C19" t="s">
        <v>35</v>
      </c>
      <c r="D19" t="s">
        <v>39</v>
      </c>
      <c r="E19" t="s">
        <v>35</v>
      </c>
      <c r="F19" t="s">
        <v>39</v>
      </c>
      <c r="G19" t="s">
        <v>5</v>
      </c>
    </row>
    <row r="20" spans="1:7" x14ac:dyDescent="0.35">
      <c r="A20" t="s">
        <v>12</v>
      </c>
      <c r="B20" t="s">
        <v>35</v>
      </c>
      <c r="C20" t="s">
        <v>31</v>
      </c>
      <c r="D20" t="s">
        <v>35</v>
      </c>
      <c r="E20" t="s">
        <v>31</v>
      </c>
      <c r="F20" t="s">
        <v>39</v>
      </c>
      <c r="G20" t="s">
        <v>5</v>
      </c>
    </row>
    <row r="21" spans="1:7" x14ac:dyDescent="0.35">
      <c r="A21" t="s">
        <v>12</v>
      </c>
      <c r="B21" t="s">
        <v>31</v>
      </c>
      <c r="C21" t="s">
        <v>31</v>
      </c>
      <c r="D21" t="s">
        <v>31</v>
      </c>
      <c r="E21" t="s">
        <v>35</v>
      </c>
      <c r="F21" t="s">
        <v>39</v>
      </c>
      <c r="G21" t="s">
        <v>5</v>
      </c>
    </row>
    <row r="22" spans="1:7" x14ac:dyDescent="0.35">
      <c r="A22" t="s">
        <v>11</v>
      </c>
      <c r="B22" t="s">
        <v>35</v>
      </c>
      <c r="C22" t="s">
        <v>35</v>
      </c>
      <c r="D22" t="s">
        <v>39</v>
      </c>
      <c r="E22" t="s">
        <v>31</v>
      </c>
      <c r="F22" t="s">
        <v>39</v>
      </c>
      <c r="G22" t="s">
        <v>5</v>
      </c>
    </row>
    <row r="23" spans="1:7" x14ac:dyDescent="0.35">
      <c r="A23" t="s">
        <v>12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5</v>
      </c>
    </row>
    <row r="24" spans="1:7" x14ac:dyDescent="0.35">
      <c r="A24" t="s">
        <v>12</v>
      </c>
      <c r="B24" t="s">
        <v>39</v>
      </c>
      <c r="C24" t="s">
        <v>39</v>
      </c>
      <c r="D24" t="s">
        <v>35</v>
      </c>
      <c r="E24" t="s">
        <v>39</v>
      </c>
      <c r="F24" t="s">
        <v>31</v>
      </c>
      <c r="G24" t="s">
        <v>7</v>
      </c>
    </row>
    <row r="25" spans="1:7" x14ac:dyDescent="0.35">
      <c r="A25" t="s">
        <v>12</v>
      </c>
      <c r="B25" t="s">
        <v>35</v>
      </c>
      <c r="C25" t="s">
        <v>35</v>
      </c>
      <c r="D25" t="s">
        <v>39</v>
      </c>
      <c r="E25" t="s">
        <v>31</v>
      </c>
      <c r="F25" t="s">
        <v>39</v>
      </c>
      <c r="G25" t="s">
        <v>5</v>
      </c>
    </row>
    <row r="26" spans="1:7" x14ac:dyDescent="0.35">
      <c r="A26" t="s">
        <v>11</v>
      </c>
      <c r="B26" t="s">
        <v>39</v>
      </c>
      <c r="C26" t="s">
        <v>35</v>
      </c>
      <c r="D26" t="s">
        <v>35</v>
      </c>
      <c r="E26" t="s">
        <v>39</v>
      </c>
      <c r="F26" t="s">
        <v>31</v>
      </c>
      <c r="G26" t="s">
        <v>7</v>
      </c>
    </row>
    <row r="27" spans="1:7" x14ac:dyDescent="0.35">
      <c r="A27" t="s">
        <v>12</v>
      </c>
      <c r="B27" t="s">
        <v>35</v>
      </c>
      <c r="C27" t="s">
        <v>35</v>
      </c>
      <c r="D27" t="s">
        <v>39</v>
      </c>
      <c r="E27" t="s">
        <v>31</v>
      </c>
      <c r="F27" t="s">
        <v>39</v>
      </c>
      <c r="G27" t="s">
        <v>5</v>
      </c>
    </row>
    <row r="28" spans="1:7" x14ac:dyDescent="0.35">
      <c r="A28" t="s">
        <v>12</v>
      </c>
      <c r="B28" t="s">
        <v>31</v>
      </c>
      <c r="C28" t="s">
        <v>31</v>
      </c>
      <c r="D28" t="s">
        <v>35</v>
      </c>
      <c r="E28" t="s">
        <v>31</v>
      </c>
      <c r="F28" t="s">
        <v>35</v>
      </c>
      <c r="G28" t="s">
        <v>5</v>
      </c>
    </row>
    <row r="29" spans="1:7" x14ac:dyDescent="0.35">
      <c r="A29" t="s">
        <v>11</v>
      </c>
      <c r="B29" t="s">
        <v>39</v>
      </c>
      <c r="C29" t="s">
        <v>39</v>
      </c>
      <c r="D29" t="s">
        <v>35</v>
      </c>
      <c r="E29" t="s">
        <v>39</v>
      </c>
      <c r="F29" t="s">
        <v>35</v>
      </c>
      <c r="G29" t="s">
        <v>7</v>
      </c>
    </row>
    <row r="30" spans="1:7" x14ac:dyDescent="0.35">
      <c r="A30" t="s">
        <v>12</v>
      </c>
      <c r="B30" t="s">
        <v>35</v>
      </c>
      <c r="C30" t="s">
        <v>39</v>
      </c>
      <c r="D30" t="s">
        <v>39</v>
      </c>
      <c r="E30" t="s">
        <v>39</v>
      </c>
      <c r="F30" t="s">
        <v>35</v>
      </c>
      <c r="G30" t="s">
        <v>7</v>
      </c>
    </row>
    <row r="31" spans="1:7" x14ac:dyDescent="0.35">
      <c r="A31" t="s">
        <v>12</v>
      </c>
      <c r="B31" t="s">
        <v>31</v>
      </c>
      <c r="C31" t="s">
        <v>31</v>
      </c>
      <c r="D31" t="s">
        <v>31</v>
      </c>
      <c r="E31" t="s">
        <v>35</v>
      </c>
      <c r="F31" t="s">
        <v>35</v>
      </c>
      <c r="G31" t="s">
        <v>5</v>
      </c>
    </row>
    <row r="32" spans="1:7" x14ac:dyDescent="0.35">
      <c r="A32" t="s">
        <v>11</v>
      </c>
      <c r="B32" t="s">
        <v>31</v>
      </c>
      <c r="C32" t="s">
        <v>31</v>
      </c>
      <c r="D32" t="s">
        <v>31</v>
      </c>
      <c r="E32" t="s">
        <v>31</v>
      </c>
      <c r="F32" t="s">
        <v>35</v>
      </c>
      <c r="G32" t="s">
        <v>5</v>
      </c>
    </row>
    <row r="33" spans="1:7" x14ac:dyDescent="0.35">
      <c r="A33" t="s">
        <v>11</v>
      </c>
      <c r="B33" t="s">
        <v>35</v>
      </c>
      <c r="C33" t="s">
        <v>31</v>
      </c>
      <c r="D33" t="s">
        <v>31</v>
      </c>
      <c r="E33" t="s">
        <v>39</v>
      </c>
      <c r="F33" t="s">
        <v>35</v>
      </c>
      <c r="G33" t="s">
        <v>7</v>
      </c>
    </row>
    <row r="34" spans="1:7" x14ac:dyDescent="0.35">
      <c r="A34" t="s">
        <v>12</v>
      </c>
      <c r="B34" t="s">
        <v>39</v>
      </c>
      <c r="C34" t="s">
        <v>39</v>
      </c>
      <c r="D34" t="s">
        <v>35</v>
      </c>
      <c r="E34" t="s">
        <v>39</v>
      </c>
      <c r="F34" t="s">
        <v>35</v>
      </c>
      <c r="G34" t="s">
        <v>7</v>
      </c>
    </row>
    <row r="35" spans="1:7" x14ac:dyDescent="0.35">
      <c r="A35" t="s">
        <v>12</v>
      </c>
      <c r="B35" t="s">
        <v>35</v>
      </c>
      <c r="C35" t="s">
        <v>35</v>
      </c>
      <c r="D35" t="s">
        <v>39</v>
      </c>
      <c r="E35" t="s">
        <v>31</v>
      </c>
      <c r="F35" t="s">
        <v>35</v>
      </c>
      <c r="G35" t="s">
        <v>7</v>
      </c>
    </row>
    <row r="36" spans="1:7" x14ac:dyDescent="0.35">
      <c r="A36" t="s">
        <v>12</v>
      </c>
      <c r="B36" t="s">
        <v>31</v>
      </c>
      <c r="C36" t="s">
        <v>31</v>
      </c>
      <c r="D36" t="s">
        <v>31</v>
      </c>
      <c r="E36" t="s">
        <v>35</v>
      </c>
      <c r="F36" t="s">
        <v>39</v>
      </c>
      <c r="G36" t="s">
        <v>5</v>
      </c>
    </row>
    <row r="37" spans="1:7" x14ac:dyDescent="0.35">
      <c r="A37" t="s">
        <v>12</v>
      </c>
      <c r="B37" t="s">
        <v>35</v>
      </c>
      <c r="C37" t="s">
        <v>35</v>
      </c>
      <c r="D37" t="s">
        <v>35</v>
      </c>
      <c r="E37" t="s">
        <v>35</v>
      </c>
      <c r="F37" t="s">
        <v>35</v>
      </c>
      <c r="G37" t="s">
        <v>7</v>
      </c>
    </row>
    <row r="38" spans="1:7" x14ac:dyDescent="0.35">
      <c r="A38" t="s">
        <v>12</v>
      </c>
      <c r="B38" t="s">
        <v>39</v>
      </c>
      <c r="C38" t="s">
        <v>39</v>
      </c>
      <c r="D38" t="s">
        <v>35</v>
      </c>
      <c r="E38" t="s">
        <v>39</v>
      </c>
      <c r="F38" t="s">
        <v>39</v>
      </c>
      <c r="G38" t="s">
        <v>5</v>
      </c>
    </row>
    <row r="39" spans="1:7" x14ac:dyDescent="0.35">
      <c r="A39" t="s">
        <v>12</v>
      </c>
      <c r="B39" t="s">
        <v>35</v>
      </c>
      <c r="C39" t="s">
        <v>35</v>
      </c>
      <c r="D39" t="s">
        <v>35</v>
      </c>
      <c r="E39" t="s">
        <v>35</v>
      </c>
      <c r="F39" t="s">
        <v>31</v>
      </c>
      <c r="G39" t="s">
        <v>5</v>
      </c>
    </row>
    <row r="40" spans="1:7" x14ac:dyDescent="0.35">
      <c r="A40" t="s">
        <v>11</v>
      </c>
      <c r="B40" t="s">
        <v>31</v>
      </c>
      <c r="C40" t="s">
        <v>35</v>
      </c>
      <c r="D40" t="s">
        <v>35</v>
      </c>
      <c r="E40" t="s">
        <v>39</v>
      </c>
      <c r="F40" t="s">
        <v>31</v>
      </c>
      <c r="G40" t="s">
        <v>7</v>
      </c>
    </row>
    <row r="41" spans="1:7" x14ac:dyDescent="0.35">
      <c r="A41" t="s">
        <v>12</v>
      </c>
      <c r="B41" t="s">
        <v>39</v>
      </c>
      <c r="C41" t="s">
        <v>39</v>
      </c>
      <c r="D41" t="s">
        <v>39</v>
      </c>
      <c r="E41" t="s">
        <v>39</v>
      </c>
      <c r="F41" t="s">
        <v>35</v>
      </c>
      <c r="G41" t="s">
        <v>7</v>
      </c>
    </row>
    <row r="42" spans="1:7" x14ac:dyDescent="0.35">
      <c r="A42" t="s">
        <v>12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7</v>
      </c>
    </row>
    <row r="43" spans="1:7" x14ac:dyDescent="0.35">
      <c r="A43" t="s">
        <v>12</v>
      </c>
      <c r="B43" t="s">
        <v>35</v>
      </c>
      <c r="C43" t="s">
        <v>35</v>
      </c>
      <c r="D43" t="s">
        <v>35</v>
      </c>
      <c r="E43" t="s">
        <v>35</v>
      </c>
      <c r="F43" t="s">
        <v>35</v>
      </c>
      <c r="G43" t="s">
        <v>5</v>
      </c>
    </row>
    <row r="44" spans="1:7" x14ac:dyDescent="0.35">
      <c r="A44" t="s">
        <v>11</v>
      </c>
      <c r="B44" t="s">
        <v>35</v>
      </c>
      <c r="C44" t="s">
        <v>35</v>
      </c>
      <c r="D44" t="s">
        <v>39</v>
      </c>
      <c r="E44" t="s">
        <v>31</v>
      </c>
      <c r="F44" t="s">
        <v>35</v>
      </c>
      <c r="G44" t="s">
        <v>5</v>
      </c>
    </row>
    <row r="45" spans="1:7" x14ac:dyDescent="0.35">
      <c r="A45" t="s">
        <v>12</v>
      </c>
      <c r="B45" t="s">
        <v>35</v>
      </c>
      <c r="C45" t="s">
        <v>35</v>
      </c>
      <c r="D45" t="s">
        <v>39</v>
      </c>
      <c r="E45" t="s">
        <v>31</v>
      </c>
      <c r="F45" t="s">
        <v>39</v>
      </c>
      <c r="G45" t="s">
        <v>5</v>
      </c>
    </row>
    <row r="46" spans="1:7" x14ac:dyDescent="0.35">
      <c r="A46" t="s">
        <v>11</v>
      </c>
      <c r="B46" t="s">
        <v>35</v>
      </c>
      <c r="C46" t="s">
        <v>39</v>
      </c>
      <c r="D46" t="s">
        <v>39</v>
      </c>
      <c r="E46" t="s">
        <v>31</v>
      </c>
      <c r="F46" t="s">
        <v>35</v>
      </c>
      <c r="G46" t="s">
        <v>7</v>
      </c>
    </row>
    <row r="47" spans="1:7" x14ac:dyDescent="0.35">
      <c r="A47" t="s">
        <v>11</v>
      </c>
      <c r="B47" t="s">
        <v>39</v>
      </c>
      <c r="C47" t="s">
        <v>39</v>
      </c>
      <c r="D47" t="s">
        <v>39</v>
      </c>
      <c r="E47" t="s">
        <v>39</v>
      </c>
      <c r="F47" t="s">
        <v>39</v>
      </c>
      <c r="G47" t="s">
        <v>7</v>
      </c>
    </row>
    <row r="48" spans="1:7" x14ac:dyDescent="0.35">
      <c r="A48" t="s">
        <v>12</v>
      </c>
      <c r="B48" t="s">
        <v>39</v>
      </c>
      <c r="C48" t="s">
        <v>39</v>
      </c>
      <c r="D48" t="s">
        <v>31</v>
      </c>
      <c r="E48" t="s">
        <v>39</v>
      </c>
      <c r="F48" t="s">
        <v>39</v>
      </c>
      <c r="G48" t="s">
        <v>7</v>
      </c>
    </row>
    <row r="49" spans="1:7" x14ac:dyDescent="0.35">
      <c r="A49" t="s">
        <v>12</v>
      </c>
      <c r="B49" t="s">
        <v>35</v>
      </c>
      <c r="C49" t="s">
        <v>35</v>
      </c>
      <c r="D49" t="s">
        <v>35</v>
      </c>
      <c r="E49" t="s">
        <v>39</v>
      </c>
      <c r="F49" t="s">
        <v>35</v>
      </c>
      <c r="G49" t="s">
        <v>7</v>
      </c>
    </row>
    <row r="50" spans="1:7" x14ac:dyDescent="0.35">
      <c r="A50" t="s">
        <v>12</v>
      </c>
      <c r="B50" t="s">
        <v>39</v>
      </c>
      <c r="C50" t="s">
        <v>39</v>
      </c>
      <c r="D50" t="s">
        <v>35</v>
      </c>
      <c r="E50" t="s">
        <v>39</v>
      </c>
      <c r="F50" t="s">
        <v>35</v>
      </c>
      <c r="G50" t="s">
        <v>7</v>
      </c>
    </row>
    <row r="51" spans="1:7" x14ac:dyDescent="0.35">
      <c r="A51" t="s">
        <v>11</v>
      </c>
      <c r="B51" t="s">
        <v>35</v>
      </c>
      <c r="C51" t="s">
        <v>35</v>
      </c>
      <c r="D51" t="s">
        <v>35</v>
      </c>
      <c r="E51" t="s">
        <v>35</v>
      </c>
      <c r="F51" t="s">
        <v>39</v>
      </c>
      <c r="G51" t="s">
        <v>5</v>
      </c>
    </row>
    <row r="52" spans="1:7" x14ac:dyDescent="0.35">
      <c r="A52" t="s">
        <v>12</v>
      </c>
      <c r="B52" t="s">
        <v>31</v>
      </c>
      <c r="C52" t="s">
        <v>31</v>
      </c>
      <c r="D52" t="s">
        <v>31</v>
      </c>
      <c r="E52" t="s">
        <v>35</v>
      </c>
      <c r="F52" t="s">
        <v>35</v>
      </c>
      <c r="G52" t="s">
        <v>5</v>
      </c>
    </row>
    <row r="53" spans="1:7" x14ac:dyDescent="0.35">
      <c r="A53" t="s">
        <v>12</v>
      </c>
      <c r="B53" t="s">
        <v>31</v>
      </c>
      <c r="C53" t="s">
        <v>31</v>
      </c>
      <c r="D53" t="s">
        <v>35</v>
      </c>
      <c r="E53" t="s">
        <v>31</v>
      </c>
      <c r="F53" t="s">
        <v>35</v>
      </c>
      <c r="G53" t="s">
        <v>5</v>
      </c>
    </row>
    <row r="54" spans="1:7" x14ac:dyDescent="0.35">
      <c r="A54" t="s">
        <v>11</v>
      </c>
      <c r="B54" t="s">
        <v>31</v>
      </c>
      <c r="C54" t="s">
        <v>31</v>
      </c>
      <c r="D54" t="s">
        <v>35</v>
      </c>
      <c r="E54" t="s">
        <v>31</v>
      </c>
      <c r="F54" t="s">
        <v>39</v>
      </c>
      <c r="G54" t="s">
        <v>5</v>
      </c>
    </row>
    <row r="55" spans="1:7" x14ac:dyDescent="0.35">
      <c r="A55" t="s">
        <v>12</v>
      </c>
      <c r="B55" t="s">
        <v>31</v>
      </c>
      <c r="C55" t="s">
        <v>35</v>
      </c>
      <c r="D55" t="s">
        <v>35</v>
      </c>
      <c r="E55" t="s">
        <v>31</v>
      </c>
      <c r="F55" t="s">
        <v>35</v>
      </c>
      <c r="G55" t="s">
        <v>5</v>
      </c>
    </row>
    <row r="56" spans="1:7" x14ac:dyDescent="0.35">
      <c r="A56" t="s">
        <v>11</v>
      </c>
      <c r="B56" t="s">
        <v>35</v>
      </c>
      <c r="C56" t="s">
        <v>35</v>
      </c>
      <c r="D56" t="s">
        <v>39</v>
      </c>
      <c r="E56" t="s">
        <v>35</v>
      </c>
      <c r="F56" t="s">
        <v>39</v>
      </c>
      <c r="G56" t="s">
        <v>7</v>
      </c>
    </row>
    <row r="57" spans="1:7" x14ac:dyDescent="0.35">
      <c r="A57" t="s">
        <v>11</v>
      </c>
      <c r="B57" t="s">
        <v>35</v>
      </c>
      <c r="C57" t="s">
        <v>31</v>
      </c>
      <c r="D57" t="s">
        <v>31</v>
      </c>
      <c r="E57" t="s">
        <v>35</v>
      </c>
      <c r="F57" t="s">
        <v>39</v>
      </c>
      <c r="G57" t="s">
        <v>5</v>
      </c>
    </row>
    <row r="58" spans="1:7" x14ac:dyDescent="0.35">
      <c r="A58" t="s">
        <v>11</v>
      </c>
      <c r="B58" t="s">
        <v>31</v>
      </c>
      <c r="C58" t="s">
        <v>35</v>
      </c>
      <c r="D58" t="s">
        <v>35</v>
      </c>
      <c r="E58" t="s">
        <v>35</v>
      </c>
      <c r="F58" t="s">
        <v>35</v>
      </c>
      <c r="G58" t="s">
        <v>7</v>
      </c>
    </row>
    <row r="59" spans="1:7" x14ac:dyDescent="0.35">
      <c r="A59" t="s">
        <v>11</v>
      </c>
      <c r="B59" t="s">
        <v>31</v>
      </c>
      <c r="C59" t="s">
        <v>31</v>
      </c>
      <c r="D59" t="s">
        <v>31</v>
      </c>
      <c r="E59" t="s">
        <v>31</v>
      </c>
      <c r="F59" t="s">
        <v>39</v>
      </c>
      <c r="G59" t="s">
        <v>5</v>
      </c>
    </row>
    <row r="60" spans="1:7" x14ac:dyDescent="0.35">
      <c r="A60" t="s">
        <v>12</v>
      </c>
      <c r="B60" t="s">
        <v>31</v>
      </c>
      <c r="C60" t="s">
        <v>31</v>
      </c>
      <c r="D60" t="s">
        <v>31</v>
      </c>
      <c r="E60" t="s">
        <v>31</v>
      </c>
      <c r="F60" t="s">
        <v>35</v>
      </c>
      <c r="G60" t="s">
        <v>7</v>
      </c>
    </row>
    <row r="61" spans="1:7" x14ac:dyDescent="0.35">
      <c r="A61" t="s">
        <v>11</v>
      </c>
      <c r="B61" t="s">
        <v>31</v>
      </c>
      <c r="C61" t="s">
        <v>35</v>
      </c>
      <c r="D61" t="s">
        <v>39</v>
      </c>
      <c r="E61" t="s">
        <v>31</v>
      </c>
      <c r="F61" t="s">
        <v>39</v>
      </c>
      <c r="G61" t="s">
        <v>5</v>
      </c>
    </row>
    <row r="62" spans="1:7" x14ac:dyDescent="0.35">
      <c r="A62" t="s">
        <v>11</v>
      </c>
      <c r="B62" t="s">
        <v>35</v>
      </c>
      <c r="C62" t="s">
        <v>35</v>
      </c>
      <c r="D62" t="s">
        <v>35</v>
      </c>
      <c r="E62" t="s">
        <v>35</v>
      </c>
      <c r="F62" t="s">
        <v>39</v>
      </c>
      <c r="G62" t="s">
        <v>5</v>
      </c>
    </row>
    <row r="63" spans="1:7" x14ac:dyDescent="0.35">
      <c r="A63" t="s">
        <v>11</v>
      </c>
      <c r="B63" t="s">
        <v>31</v>
      </c>
      <c r="C63" t="s">
        <v>35</v>
      </c>
      <c r="D63" t="s">
        <v>35</v>
      </c>
      <c r="E63" t="s">
        <v>35</v>
      </c>
      <c r="F63" t="s">
        <v>35</v>
      </c>
      <c r="G63" t="s">
        <v>5</v>
      </c>
    </row>
    <row r="64" spans="1:7" x14ac:dyDescent="0.35">
      <c r="A64" t="s">
        <v>12</v>
      </c>
      <c r="B64" t="s">
        <v>35</v>
      </c>
      <c r="C64" t="s">
        <v>35</v>
      </c>
      <c r="D64" t="s">
        <v>39</v>
      </c>
      <c r="E64" t="s">
        <v>31</v>
      </c>
      <c r="F64" t="s">
        <v>31</v>
      </c>
      <c r="G64" t="s">
        <v>7</v>
      </c>
    </row>
    <row r="65" spans="1:7" x14ac:dyDescent="0.35">
      <c r="A65" t="s">
        <v>11</v>
      </c>
      <c r="B65" t="s">
        <v>35</v>
      </c>
      <c r="C65" t="s">
        <v>35</v>
      </c>
      <c r="D65" t="s">
        <v>35</v>
      </c>
      <c r="E65" t="s">
        <v>35</v>
      </c>
      <c r="F65" t="s">
        <v>31</v>
      </c>
      <c r="G65" t="s">
        <v>7</v>
      </c>
    </row>
    <row r="66" spans="1:7" x14ac:dyDescent="0.35">
      <c r="A66" t="s">
        <v>11</v>
      </c>
      <c r="B66" t="s">
        <v>35</v>
      </c>
      <c r="C66" t="s">
        <v>31</v>
      </c>
      <c r="D66" t="s">
        <v>31</v>
      </c>
      <c r="E66" t="s">
        <v>39</v>
      </c>
      <c r="F66" t="s">
        <v>35</v>
      </c>
      <c r="G66" t="s">
        <v>5</v>
      </c>
    </row>
    <row r="67" spans="1:7" x14ac:dyDescent="0.35">
      <c r="A67" t="s">
        <v>11</v>
      </c>
      <c r="B67" t="s">
        <v>35</v>
      </c>
      <c r="C67" t="s">
        <v>39</v>
      </c>
      <c r="D67" t="s">
        <v>39</v>
      </c>
      <c r="E67" t="s">
        <v>39</v>
      </c>
      <c r="F67" t="s">
        <v>35</v>
      </c>
      <c r="G67" t="s">
        <v>7</v>
      </c>
    </row>
    <row r="68" spans="1:7" x14ac:dyDescent="0.35">
      <c r="A68" t="s">
        <v>12</v>
      </c>
      <c r="B68" t="s">
        <v>39</v>
      </c>
      <c r="C68" t="s">
        <v>35</v>
      </c>
      <c r="D68" t="s">
        <v>35</v>
      </c>
      <c r="E68" t="s">
        <v>35</v>
      </c>
      <c r="F68" t="s">
        <v>39</v>
      </c>
      <c r="G68" t="s">
        <v>5</v>
      </c>
    </row>
    <row r="69" spans="1:7" x14ac:dyDescent="0.35">
      <c r="A69" t="s">
        <v>12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7</v>
      </c>
    </row>
    <row r="70" spans="1:7" x14ac:dyDescent="0.35">
      <c r="A70" t="s">
        <v>11</v>
      </c>
      <c r="B70" t="s">
        <v>39</v>
      </c>
      <c r="C70" t="s">
        <v>39</v>
      </c>
      <c r="D70" t="s">
        <v>39</v>
      </c>
      <c r="E70" t="s">
        <v>35</v>
      </c>
      <c r="F70" t="s">
        <v>31</v>
      </c>
      <c r="G70" t="s">
        <v>7</v>
      </c>
    </row>
    <row r="71" spans="1:7" x14ac:dyDescent="0.35">
      <c r="A71" t="s">
        <v>11</v>
      </c>
      <c r="B71" t="s">
        <v>35</v>
      </c>
      <c r="C71" t="s">
        <v>35</v>
      </c>
      <c r="D71" t="s">
        <v>35</v>
      </c>
      <c r="E71" t="s">
        <v>35</v>
      </c>
      <c r="F71" t="s">
        <v>31</v>
      </c>
      <c r="G71" t="s">
        <v>5</v>
      </c>
    </row>
    <row r="72" spans="1:7" x14ac:dyDescent="0.35">
      <c r="A72" t="s">
        <v>11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5</v>
      </c>
    </row>
    <row r="73" spans="1:7" x14ac:dyDescent="0.35">
      <c r="A73" t="s">
        <v>11</v>
      </c>
      <c r="B73" t="s">
        <v>35</v>
      </c>
      <c r="C73" t="s">
        <v>39</v>
      </c>
      <c r="D73" t="s">
        <v>39</v>
      </c>
      <c r="E73" t="s">
        <v>39</v>
      </c>
      <c r="F73" t="s">
        <v>35</v>
      </c>
      <c r="G73" t="s">
        <v>7</v>
      </c>
    </row>
    <row r="74" spans="1:7" x14ac:dyDescent="0.35">
      <c r="A74" t="s">
        <v>11</v>
      </c>
      <c r="B74" t="s">
        <v>39</v>
      </c>
      <c r="C74" t="s">
        <v>39</v>
      </c>
      <c r="D74" t="s">
        <v>39</v>
      </c>
      <c r="E74" t="s">
        <v>39</v>
      </c>
      <c r="F74" t="s">
        <v>35</v>
      </c>
      <c r="G74" t="s">
        <v>7</v>
      </c>
    </row>
    <row r="75" spans="1:7" x14ac:dyDescent="0.35">
      <c r="A75" t="s">
        <v>12</v>
      </c>
      <c r="B75" t="s">
        <v>35</v>
      </c>
      <c r="C75" t="s">
        <v>39</v>
      </c>
      <c r="D75" t="s">
        <v>39</v>
      </c>
      <c r="E75" t="s">
        <v>35</v>
      </c>
      <c r="F75" t="s">
        <v>39</v>
      </c>
      <c r="G75" t="s">
        <v>5</v>
      </c>
    </row>
    <row r="76" spans="1:7" x14ac:dyDescent="0.35">
      <c r="A76" t="s">
        <v>12</v>
      </c>
      <c r="B76" t="s">
        <v>35</v>
      </c>
      <c r="C76" t="s">
        <v>35</v>
      </c>
      <c r="D76" t="s">
        <v>35</v>
      </c>
      <c r="E76" t="s">
        <v>39</v>
      </c>
      <c r="F76" t="s">
        <v>35</v>
      </c>
      <c r="G76" t="s">
        <v>5</v>
      </c>
    </row>
    <row r="77" spans="1:7" x14ac:dyDescent="0.35">
      <c r="A77" t="s">
        <v>11</v>
      </c>
      <c r="B77" t="s">
        <v>35</v>
      </c>
      <c r="C77" t="s">
        <v>39</v>
      </c>
      <c r="D77" t="s">
        <v>39</v>
      </c>
      <c r="E77" t="s">
        <v>35</v>
      </c>
      <c r="F77" t="s">
        <v>39</v>
      </c>
      <c r="G77" t="s">
        <v>5</v>
      </c>
    </row>
    <row r="78" spans="1:7" x14ac:dyDescent="0.35">
      <c r="A78" t="s">
        <v>11</v>
      </c>
      <c r="B78" t="s">
        <v>35</v>
      </c>
      <c r="C78" t="s">
        <v>35</v>
      </c>
      <c r="D78" t="s">
        <v>31</v>
      </c>
      <c r="E78" t="s">
        <v>39</v>
      </c>
      <c r="F78" t="s">
        <v>35</v>
      </c>
      <c r="G78" t="s">
        <v>7</v>
      </c>
    </row>
    <row r="79" spans="1:7" x14ac:dyDescent="0.35">
      <c r="A79" t="s">
        <v>12</v>
      </c>
      <c r="B79" t="s">
        <v>31</v>
      </c>
      <c r="C79" t="s">
        <v>31</v>
      </c>
      <c r="D79" t="s">
        <v>35</v>
      </c>
      <c r="E79" t="s">
        <v>31</v>
      </c>
      <c r="F79" t="s">
        <v>39</v>
      </c>
      <c r="G79" t="s">
        <v>5</v>
      </c>
    </row>
    <row r="80" spans="1:7" x14ac:dyDescent="0.35">
      <c r="A80" t="s">
        <v>11</v>
      </c>
      <c r="B80" t="s">
        <v>35</v>
      </c>
      <c r="C80" t="s">
        <v>39</v>
      </c>
      <c r="D80" t="s">
        <v>39</v>
      </c>
      <c r="E80" t="s">
        <v>39</v>
      </c>
      <c r="F80" t="s">
        <v>35</v>
      </c>
      <c r="G80" t="s">
        <v>7</v>
      </c>
    </row>
    <row r="81" spans="1:7" x14ac:dyDescent="0.35">
      <c r="A81" t="s">
        <v>11</v>
      </c>
      <c r="B81" t="s">
        <v>31</v>
      </c>
      <c r="C81" t="s">
        <v>31</v>
      </c>
      <c r="D81" t="s">
        <v>31</v>
      </c>
      <c r="E81" t="s">
        <v>35</v>
      </c>
      <c r="F81" t="s">
        <v>31</v>
      </c>
      <c r="G81" t="s">
        <v>5</v>
      </c>
    </row>
    <row r="82" spans="1:7" x14ac:dyDescent="0.35">
      <c r="A82" t="s">
        <v>12</v>
      </c>
      <c r="B82" t="s">
        <v>35</v>
      </c>
      <c r="C82" t="s">
        <v>35</v>
      </c>
      <c r="D82" t="s">
        <v>35</v>
      </c>
      <c r="E82" t="s">
        <v>35</v>
      </c>
      <c r="F82" t="s">
        <v>35</v>
      </c>
      <c r="G82" t="s">
        <v>7</v>
      </c>
    </row>
    <row r="83" spans="1:7" x14ac:dyDescent="0.35">
      <c r="A83" t="s">
        <v>11</v>
      </c>
      <c r="B83" t="s">
        <v>35</v>
      </c>
      <c r="C83" t="s">
        <v>35</v>
      </c>
      <c r="D83" t="s">
        <v>31</v>
      </c>
      <c r="E83" t="s">
        <v>39</v>
      </c>
      <c r="F83" t="s">
        <v>31</v>
      </c>
      <c r="G83" t="s">
        <v>7</v>
      </c>
    </row>
    <row r="84" spans="1:7" x14ac:dyDescent="0.35">
      <c r="A84" t="s">
        <v>12</v>
      </c>
      <c r="B84" t="s">
        <v>39</v>
      </c>
      <c r="C84" t="s">
        <v>39</v>
      </c>
      <c r="D84" t="s">
        <v>35</v>
      </c>
      <c r="E84" t="s">
        <v>39</v>
      </c>
      <c r="F84" t="s">
        <v>31</v>
      </c>
      <c r="G84" t="s">
        <v>7</v>
      </c>
    </row>
    <row r="85" spans="1:7" x14ac:dyDescent="0.35">
      <c r="A85" t="s">
        <v>11</v>
      </c>
      <c r="B85" t="s">
        <v>35</v>
      </c>
      <c r="C85" t="s">
        <v>35</v>
      </c>
      <c r="D85" t="s">
        <v>35</v>
      </c>
      <c r="E85" t="s">
        <v>39</v>
      </c>
      <c r="F85" t="s">
        <v>35</v>
      </c>
      <c r="G85" t="s">
        <v>5</v>
      </c>
    </row>
    <row r="86" spans="1:7" x14ac:dyDescent="0.35">
      <c r="A86" t="s">
        <v>12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7</v>
      </c>
    </row>
    <row r="87" spans="1:7" x14ac:dyDescent="0.35">
      <c r="A87" t="s">
        <v>11</v>
      </c>
      <c r="B87" t="s">
        <v>31</v>
      </c>
      <c r="C87" t="s">
        <v>31</v>
      </c>
      <c r="D87" t="s">
        <v>31</v>
      </c>
      <c r="E87" t="s">
        <v>35</v>
      </c>
      <c r="F87" t="s">
        <v>35</v>
      </c>
      <c r="G87" t="s">
        <v>5</v>
      </c>
    </row>
    <row r="88" spans="1:7" x14ac:dyDescent="0.35">
      <c r="A88" t="s">
        <v>11</v>
      </c>
      <c r="B88" t="s">
        <v>35</v>
      </c>
      <c r="C88" t="s">
        <v>35</v>
      </c>
      <c r="D88" t="s">
        <v>31</v>
      </c>
      <c r="E88" t="s">
        <v>39</v>
      </c>
      <c r="F88" t="s">
        <v>39</v>
      </c>
      <c r="G88" t="s">
        <v>5</v>
      </c>
    </row>
    <row r="89" spans="1:7" x14ac:dyDescent="0.35">
      <c r="A89" t="s">
        <v>12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5</v>
      </c>
    </row>
    <row r="90" spans="1:7" x14ac:dyDescent="0.35">
      <c r="A90" t="s">
        <v>12</v>
      </c>
      <c r="B90" t="s">
        <v>39</v>
      </c>
      <c r="C90" t="s">
        <v>35</v>
      </c>
      <c r="D90" t="s">
        <v>35</v>
      </c>
      <c r="E90" t="s">
        <v>35</v>
      </c>
      <c r="F90" t="s">
        <v>35</v>
      </c>
      <c r="G90" t="s">
        <v>5</v>
      </c>
    </row>
    <row r="91" spans="1:7" x14ac:dyDescent="0.35">
      <c r="A91" t="s">
        <v>12</v>
      </c>
      <c r="B91" t="s">
        <v>31</v>
      </c>
      <c r="C91" t="s">
        <v>31</v>
      </c>
      <c r="D91" t="s">
        <v>31</v>
      </c>
      <c r="E91" t="s">
        <v>31</v>
      </c>
      <c r="F91" t="s">
        <v>31</v>
      </c>
      <c r="G91" t="s">
        <v>5</v>
      </c>
    </row>
    <row r="92" spans="1:7" x14ac:dyDescent="0.35">
      <c r="A92" t="s">
        <v>11</v>
      </c>
      <c r="B92" t="s">
        <v>39</v>
      </c>
      <c r="C92" t="s">
        <v>35</v>
      </c>
      <c r="D92" t="s">
        <v>35</v>
      </c>
      <c r="E92" t="s">
        <v>35</v>
      </c>
      <c r="F92" t="s">
        <v>31</v>
      </c>
      <c r="G92" t="s">
        <v>7</v>
      </c>
    </row>
    <row r="93" spans="1:7" x14ac:dyDescent="0.35">
      <c r="A93" t="s">
        <v>11</v>
      </c>
      <c r="B93" t="s">
        <v>31</v>
      </c>
      <c r="C93" t="s">
        <v>35</v>
      </c>
      <c r="D93" t="s">
        <v>35</v>
      </c>
      <c r="E93" t="s">
        <v>31</v>
      </c>
      <c r="F93" t="s">
        <v>35</v>
      </c>
      <c r="G93" t="s">
        <v>5</v>
      </c>
    </row>
    <row r="94" spans="1:7" x14ac:dyDescent="0.35">
      <c r="A94" t="s">
        <v>12</v>
      </c>
      <c r="B94" t="s">
        <v>39</v>
      </c>
      <c r="C94" t="s">
        <v>39</v>
      </c>
      <c r="D94" t="s">
        <v>39</v>
      </c>
      <c r="E94" t="s">
        <v>35</v>
      </c>
      <c r="F94" t="s">
        <v>39</v>
      </c>
      <c r="G94" t="s">
        <v>7</v>
      </c>
    </row>
    <row r="95" spans="1:7" x14ac:dyDescent="0.35">
      <c r="A95" t="s">
        <v>11</v>
      </c>
      <c r="B95" t="s">
        <v>35</v>
      </c>
      <c r="C95" t="s">
        <v>35</v>
      </c>
      <c r="D95" t="s">
        <v>35</v>
      </c>
      <c r="E95" t="s">
        <v>39</v>
      </c>
      <c r="F95" t="s">
        <v>35</v>
      </c>
      <c r="G95" t="s">
        <v>7</v>
      </c>
    </row>
    <row r="96" spans="1:7" x14ac:dyDescent="0.35">
      <c r="A96" t="s">
        <v>12</v>
      </c>
      <c r="B96" t="s">
        <v>35</v>
      </c>
      <c r="C96" t="s">
        <v>35</v>
      </c>
      <c r="D96" t="s">
        <v>35</v>
      </c>
      <c r="E96" t="s">
        <v>35</v>
      </c>
      <c r="F96" t="s">
        <v>39</v>
      </c>
      <c r="G96" t="s">
        <v>5</v>
      </c>
    </row>
    <row r="97" spans="1:7" x14ac:dyDescent="0.35">
      <c r="A97" t="s">
        <v>12</v>
      </c>
      <c r="B97" t="s">
        <v>31</v>
      </c>
      <c r="C97" t="s">
        <v>35</v>
      </c>
      <c r="D97" t="s">
        <v>31</v>
      </c>
      <c r="E97" t="s">
        <v>35</v>
      </c>
      <c r="F97" t="s">
        <v>39</v>
      </c>
      <c r="G97" t="s">
        <v>5</v>
      </c>
    </row>
    <row r="98" spans="1:7" x14ac:dyDescent="0.35">
      <c r="A98" t="s">
        <v>11</v>
      </c>
      <c r="B98" t="s">
        <v>39</v>
      </c>
      <c r="C98" t="s">
        <v>35</v>
      </c>
      <c r="D98" t="s">
        <v>35</v>
      </c>
      <c r="E98" t="s">
        <v>35</v>
      </c>
      <c r="F98" t="s">
        <v>31</v>
      </c>
      <c r="G98" t="s">
        <v>7</v>
      </c>
    </row>
    <row r="99" spans="1:7" x14ac:dyDescent="0.35">
      <c r="A99" t="s">
        <v>11</v>
      </c>
      <c r="B99" t="s">
        <v>35</v>
      </c>
      <c r="C99" t="s">
        <v>35</v>
      </c>
      <c r="D99" t="s">
        <v>35</v>
      </c>
      <c r="E99" t="s">
        <v>31</v>
      </c>
      <c r="F99" t="s">
        <v>39</v>
      </c>
      <c r="G99" t="s">
        <v>5</v>
      </c>
    </row>
    <row r="100" spans="1:7" x14ac:dyDescent="0.35">
      <c r="A100" t="s">
        <v>11</v>
      </c>
      <c r="B100" t="s">
        <v>35</v>
      </c>
      <c r="C100" t="s">
        <v>31</v>
      </c>
      <c r="D100" t="s">
        <v>35</v>
      </c>
      <c r="E100" t="s">
        <v>31</v>
      </c>
      <c r="F100" t="s">
        <v>39</v>
      </c>
      <c r="G100" t="s">
        <v>5</v>
      </c>
    </row>
    <row r="101" spans="1:7" x14ac:dyDescent="0.35">
      <c r="A101" t="s">
        <v>12</v>
      </c>
      <c r="B101" t="s">
        <v>39</v>
      </c>
      <c r="C101" t="s">
        <v>39</v>
      </c>
      <c r="D101" t="s">
        <v>35</v>
      </c>
      <c r="E101" t="s">
        <v>39</v>
      </c>
      <c r="F101" t="s">
        <v>35</v>
      </c>
      <c r="G101" t="s">
        <v>7</v>
      </c>
    </row>
    <row r="102" spans="1:7" x14ac:dyDescent="0.35">
      <c r="A102" t="s">
        <v>12</v>
      </c>
      <c r="B102" t="s">
        <v>31</v>
      </c>
      <c r="C102" t="s">
        <v>31</v>
      </c>
      <c r="D102" t="s">
        <v>31</v>
      </c>
      <c r="E102" t="s">
        <v>31</v>
      </c>
      <c r="F102" t="s">
        <v>35</v>
      </c>
      <c r="G102" t="s">
        <v>5</v>
      </c>
    </row>
    <row r="103" spans="1:7" x14ac:dyDescent="0.35">
      <c r="A103" t="s">
        <v>11</v>
      </c>
      <c r="B103" t="s">
        <v>35</v>
      </c>
      <c r="C103" t="s">
        <v>31</v>
      </c>
      <c r="D103" t="s">
        <v>31</v>
      </c>
      <c r="E103" t="s">
        <v>31</v>
      </c>
      <c r="F103" t="s">
        <v>35</v>
      </c>
      <c r="G103" t="s">
        <v>5</v>
      </c>
    </row>
    <row r="104" spans="1:7" x14ac:dyDescent="0.35">
      <c r="A104" t="s">
        <v>12</v>
      </c>
      <c r="B104" t="s">
        <v>31</v>
      </c>
      <c r="C104" t="s">
        <v>35</v>
      </c>
      <c r="D104" t="s">
        <v>35</v>
      </c>
      <c r="E104" t="s">
        <v>35</v>
      </c>
      <c r="F104" t="s">
        <v>39</v>
      </c>
      <c r="G104" t="s">
        <v>5</v>
      </c>
    </row>
    <row r="105" spans="1:7" x14ac:dyDescent="0.35">
      <c r="A105" t="s">
        <v>12</v>
      </c>
      <c r="B105" t="s">
        <v>39</v>
      </c>
      <c r="C105" t="s">
        <v>39</v>
      </c>
      <c r="D105" t="s">
        <v>35</v>
      </c>
      <c r="E105" t="s">
        <v>39</v>
      </c>
      <c r="F105" t="s">
        <v>35</v>
      </c>
      <c r="G105" t="s">
        <v>7</v>
      </c>
    </row>
    <row r="106" spans="1:7" x14ac:dyDescent="0.35">
      <c r="A106" t="s">
        <v>12</v>
      </c>
      <c r="B106" t="s">
        <v>35</v>
      </c>
      <c r="C106" t="s">
        <v>39</v>
      </c>
      <c r="D106" t="s">
        <v>35</v>
      </c>
      <c r="E106" t="s">
        <v>39</v>
      </c>
      <c r="F106" t="s">
        <v>39</v>
      </c>
      <c r="G106" t="s">
        <v>7</v>
      </c>
    </row>
    <row r="107" spans="1:7" x14ac:dyDescent="0.35">
      <c r="A107" t="s">
        <v>12</v>
      </c>
      <c r="B107" t="s">
        <v>35</v>
      </c>
      <c r="C107" t="s">
        <v>35</v>
      </c>
      <c r="D107" t="s">
        <v>35</v>
      </c>
      <c r="E107" t="s">
        <v>35</v>
      </c>
      <c r="F107" t="s">
        <v>39</v>
      </c>
      <c r="G107" t="s">
        <v>5</v>
      </c>
    </row>
    <row r="108" spans="1:7" x14ac:dyDescent="0.35">
      <c r="A108" t="s">
        <v>12</v>
      </c>
      <c r="B108" t="s">
        <v>35</v>
      </c>
      <c r="C108" t="s">
        <v>35</v>
      </c>
      <c r="D108" t="s">
        <v>35</v>
      </c>
      <c r="E108" t="s">
        <v>35</v>
      </c>
      <c r="F108" t="s">
        <v>39</v>
      </c>
      <c r="G108" t="s">
        <v>5</v>
      </c>
    </row>
    <row r="109" spans="1:7" x14ac:dyDescent="0.35">
      <c r="A109" t="s">
        <v>11</v>
      </c>
      <c r="B109" t="s">
        <v>35</v>
      </c>
      <c r="C109" t="s">
        <v>35</v>
      </c>
      <c r="D109" t="s">
        <v>39</v>
      </c>
      <c r="E109" t="s">
        <v>35</v>
      </c>
      <c r="F109" t="s">
        <v>35</v>
      </c>
      <c r="G109" t="s">
        <v>7</v>
      </c>
    </row>
    <row r="110" spans="1:7" x14ac:dyDescent="0.35">
      <c r="A110" t="s">
        <v>11</v>
      </c>
      <c r="B110" t="s">
        <v>31</v>
      </c>
      <c r="C110" t="s">
        <v>31</v>
      </c>
      <c r="D110" t="s">
        <v>31</v>
      </c>
      <c r="E110" t="s">
        <v>35</v>
      </c>
      <c r="F110" t="s">
        <v>31</v>
      </c>
      <c r="G110" t="s">
        <v>7</v>
      </c>
    </row>
    <row r="111" spans="1:7" x14ac:dyDescent="0.35">
      <c r="A111" t="s">
        <v>12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7</v>
      </c>
    </row>
    <row r="112" spans="1:7" x14ac:dyDescent="0.35">
      <c r="A112" t="s">
        <v>11</v>
      </c>
      <c r="B112" t="s">
        <v>31</v>
      </c>
      <c r="C112" t="s">
        <v>35</v>
      </c>
      <c r="D112" t="s">
        <v>31</v>
      </c>
      <c r="E112" t="s">
        <v>35</v>
      </c>
      <c r="F112" t="s">
        <v>31</v>
      </c>
      <c r="G112" t="s">
        <v>7</v>
      </c>
    </row>
    <row r="113" spans="1:7" x14ac:dyDescent="0.35">
      <c r="A113" t="s">
        <v>12</v>
      </c>
      <c r="B113" t="s">
        <v>31</v>
      </c>
      <c r="C113" t="s">
        <v>35</v>
      </c>
      <c r="D113" t="s">
        <v>31</v>
      </c>
      <c r="E113" t="s">
        <v>35</v>
      </c>
      <c r="F113" t="s">
        <v>31</v>
      </c>
      <c r="G113" t="s">
        <v>7</v>
      </c>
    </row>
    <row r="114" spans="1:7" x14ac:dyDescent="0.35">
      <c r="A114" t="s">
        <v>11</v>
      </c>
      <c r="B114" t="s">
        <v>31</v>
      </c>
      <c r="C114" t="s">
        <v>31</v>
      </c>
      <c r="D114" t="s">
        <v>31</v>
      </c>
      <c r="E114" t="s">
        <v>31</v>
      </c>
      <c r="F114" t="s">
        <v>39</v>
      </c>
      <c r="G114" t="s">
        <v>5</v>
      </c>
    </row>
    <row r="115" spans="1:7" x14ac:dyDescent="0.35">
      <c r="A115" t="s">
        <v>12</v>
      </c>
      <c r="B115" t="s">
        <v>35</v>
      </c>
      <c r="C115" t="s">
        <v>35</v>
      </c>
      <c r="D115" t="s">
        <v>35</v>
      </c>
      <c r="E115" t="s">
        <v>35</v>
      </c>
      <c r="F115" t="s">
        <v>39</v>
      </c>
      <c r="G115" t="s">
        <v>5</v>
      </c>
    </row>
    <row r="116" spans="1:7" x14ac:dyDescent="0.35">
      <c r="A116" t="s">
        <v>11</v>
      </c>
      <c r="B116" t="s">
        <v>35</v>
      </c>
      <c r="C116" t="s">
        <v>35</v>
      </c>
      <c r="D116" t="s">
        <v>35</v>
      </c>
      <c r="E116" t="s">
        <v>35</v>
      </c>
      <c r="F116" t="s">
        <v>39</v>
      </c>
      <c r="G116" t="s">
        <v>7</v>
      </c>
    </row>
    <row r="117" spans="1:7" x14ac:dyDescent="0.35">
      <c r="A117" t="s">
        <v>12</v>
      </c>
      <c r="B117" t="s">
        <v>35</v>
      </c>
      <c r="C117" t="s">
        <v>35</v>
      </c>
      <c r="D117" t="s">
        <v>35</v>
      </c>
      <c r="E117" t="s">
        <v>35</v>
      </c>
      <c r="F117" t="s">
        <v>31</v>
      </c>
      <c r="G117" t="s">
        <v>7</v>
      </c>
    </row>
    <row r="118" spans="1:7" x14ac:dyDescent="0.35">
      <c r="A118" t="s">
        <v>12</v>
      </c>
      <c r="B118" t="s">
        <v>35</v>
      </c>
      <c r="C118" t="s">
        <v>35</v>
      </c>
      <c r="D118" t="s">
        <v>35</v>
      </c>
      <c r="E118" t="s">
        <v>31</v>
      </c>
      <c r="F118" t="s">
        <v>39</v>
      </c>
      <c r="G118" t="s">
        <v>5</v>
      </c>
    </row>
    <row r="119" spans="1:7" x14ac:dyDescent="0.35">
      <c r="A119" t="s">
        <v>12</v>
      </c>
      <c r="B119" t="s">
        <v>35</v>
      </c>
      <c r="C119" t="s">
        <v>39</v>
      </c>
      <c r="D119" t="s">
        <v>35</v>
      </c>
      <c r="E119" t="s">
        <v>35</v>
      </c>
      <c r="F119" t="s">
        <v>35</v>
      </c>
      <c r="G119" t="s">
        <v>7</v>
      </c>
    </row>
    <row r="120" spans="1:7" x14ac:dyDescent="0.35">
      <c r="A120" t="s">
        <v>12</v>
      </c>
      <c r="B120" t="s">
        <v>39</v>
      </c>
      <c r="C120" t="s">
        <v>39</v>
      </c>
      <c r="D120" t="s">
        <v>39</v>
      </c>
      <c r="E120" t="s">
        <v>39</v>
      </c>
      <c r="F120" t="s">
        <v>35</v>
      </c>
      <c r="G120" t="s">
        <v>7</v>
      </c>
    </row>
    <row r="121" spans="1:7" x14ac:dyDescent="0.35">
      <c r="A121" t="s">
        <v>12</v>
      </c>
      <c r="B121" t="s">
        <v>35</v>
      </c>
      <c r="C121" t="s">
        <v>39</v>
      </c>
      <c r="D121" t="s">
        <v>35</v>
      </c>
      <c r="E121" t="s">
        <v>39</v>
      </c>
      <c r="F121" t="s">
        <v>31</v>
      </c>
      <c r="G121" t="s">
        <v>7</v>
      </c>
    </row>
    <row r="122" spans="1:7" x14ac:dyDescent="0.35">
      <c r="A122" t="s">
        <v>12</v>
      </c>
      <c r="B122" t="s">
        <v>39</v>
      </c>
      <c r="C122" t="s">
        <v>35</v>
      </c>
      <c r="D122" t="s">
        <v>31</v>
      </c>
      <c r="E122" t="s">
        <v>39</v>
      </c>
      <c r="F122" t="s">
        <v>31</v>
      </c>
      <c r="G122" t="s">
        <v>7</v>
      </c>
    </row>
    <row r="123" spans="1:7" x14ac:dyDescent="0.35">
      <c r="A123" t="s">
        <v>12</v>
      </c>
      <c r="B123" t="s">
        <v>31</v>
      </c>
      <c r="C123" t="s">
        <v>31</v>
      </c>
      <c r="D123" t="s">
        <v>31</v>
      </c>
      <c r="E123" t="s">
        <v>31</v>
      </c>
      <c r="F123" t="s">
        <v>35</v>
      </c>
      <c r="G123" t="s">
        <v>5</v>
      </c>
    </row>
    <row r="124" spans="1:7" x14ac:dyDescent="0.35">
      <c r="A124" t="s">
        <v>12</v>
      </c>
      <c r="B124" t="s">
        <v>39</v>
      </c>
      <c r="C124" t="s">
        <v>35</v>
      </c>
      <c r="D124" t="s">
        <v>35</v>
      </c>
      <c r="E124" t="s">
        <v>35</v>
      </c>
      <c r="F124" t="s">
        <v>35</v>
      </c>
      <c r="G124" t="s">
        <v>7</v>
      </c>
    </row>
    <row r="125" spans="1:7" x14ac:dyDescent="0.35">
      <c r="A125" t="s">
        <v>11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5</v>
      </c>
    </row>
    <row r="126" spans="1:7" x14ac:dyDescent="0.35">
      <c r="A126" t="s">
        <v>12</v>
      </c>
      <c r="B126" t="s">
        <v>31</v>
      </c>
      <c r="C126" t="s">
        <v>35</v>
      </c>
      <c r="D126" t="s">
        <v>39</v>
      </c>
      <c r="E126" t="s">
        <v>31</v>
      </c>
      <c r="F126" t="s">
        <v>35</v>
      </c>
      <c r="G126" t="s">
        <v>5</v>
      </c>
    </row>
    <row r="127" spans="1:7" x14ac:dyDescent="0.35">
      <c r="A127" t="s">
        <v>11</v>
      </c>
      <c r="B127" t="s">
        <v>31</v>
      </c>
      <c r="C127" t="s">
        <v>35</v>
      </c>
      <c r="D127" t="s">
        <v>35</v>
      </c>
      <c r="E127" t="s">
        <v>31</v>
      </c>
      <c r="F127" t="s">
        <v>39</v>
      </c>
      <c r="G127" t="s">
        <v>5</v>
      </c>
    </row>
    <row r="128" spans="1:7" x14ac:dyDescent="0.35">
      <c r="A128" t="s">
        <v>11</v>
      </c>
      <c r="B128" t="s">
        <v>31</v>
      </c>
      <c r="C128" t="s">
        <v>31</v>
      </c>
      <c r="D128" t="s">
        <v>35</v>
      </c>
      <c r="E128" t="s">
        <v>31</v>
      </c>
      <c r="F128" t="s">
        <v>39</v>
      </c>
      <c r="G128" t="s">
        <v>5</v>
      </c>
    </row>
    <row r="129" spans="1:7" x14ac:dyDescent="0.35">
      <c r="A129" t="s">
        <v>12</v>
      </c>
      <c r="B129" t="s">
        <v>35</v>
      </c>
      <c r="C129" t="s">
        <v>35</v>
      </c>
      <c r="D129" t="s">
        <v>31</v>
      </c>
      <c r="E129" t="s">
        <v>35</v>
      </c>
      <c r="F129" t="s">
        <v>39</v>
      </c>
      <c r="G129" t="s">
        <v>7</v>
      </c>
    </row>
    <row r="130" spans="1:7" x14ac:dyDescent="0.35">
      <c r="A130" t="s">
        <v>11</v>
      </c>
      <c r="B130" t="s">
        <v>31</v>
      </c>
      <c r="C130" t="s">
        <v>31</v>
      </c>
      <c r="D130" t="s">
        <v>31</v>
      </c>
      <c r="E130" t="s">
        <v>39</v>
      </c>
      <c r="F130" t="s">
        <v>35</v>
      </c>
      <c r="G130" t="s">
        <v>7</v>
      </c>
    </row>
    <row r="131" spans="1:7" x14ac:dyDescent="0.35">
      <c r="A131" t="s">
        <v>12</v>
      </c>
      <c r="B131" t="s">
        <v>35</v>
      </c>
      <c r="C131" t="s">
        <v>39</v>
      </c>
      <c r="D131" t="s">
        <v>39</v>
      </c>
      <c r="E131" t="s">
        <v>35</v>
      </c>
      <c r="F131" t="s">
        <v>35</v>
      </c>
      <c r="G131" t="s">
        <v>7</v>
      </c>
    </row>
    <row r="132" spans="1:7" x14ac:dyDescent="0.35">
      <c r="A132" t="s">
        <v>11</v>
      </c>
      <c r="B132" t="s">
        <v>39</v>
      </c>
      <c r="C132" t="s">
        <v>39</v>
      </c>
      <c r="D132" t="s">
        <v>35</v>
      </c>
      <c r="E132" t="s">
        <v>39</v>
      </c>
      <c r="F132" t="s">
        <v>31</v>
      </c>
      <c r="G132" t="s">
        <v>7</v>
      </c>
    </row>
    <row r="133" spans="1:7" x14ac:dyDescent="0.35">
      <c r="A133" t="s">
        <v>12</v>
      </c>
      <c r="B133" t="s">
        <v>31</v>
      </c>
      <c r="C133" t="s">
        <v>35</v>
      </c>
      <c r="D133" t="s">
        <v>35</v>
      </c>
      <c r="E133" t="s">
        <v>31</v>
      </c>
      <c r="F133" t="s">
        <v>39</v>
      </c>
      <c r="G133" t="s">
        <v>7</v>
      </c>
    </row>
    <row r="134" spans="1:7" x14ac:dyDescent="0.35">
      <c r="A134" t="s">
        <v>11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7</v>
      </c>
    </row>
    <row r="135" spans="1:7" x14ac:dyDescent="0.35">
      <c r="A135" t="s">
        <v>12</v>
      </c>
      <c r="B135" t="s">
        <v>39</v>
      </c>
      <c r="C135" t="s">
        <v>39</v>
      </c>
      <c r="D135" t="s">
        <v>39</v>
      </c>
      <c r="E135" t="s">
        <v>39</v>
      </c>
      <c r="F135" t="s">
        <v>35</v>
      </c>
      <c r="G135" t="s">
        <v>7</v>
      </c>
    </row>
    <row r="136" spans="1:7" x14ac:dyDescent="0.35">
      <c r="A136" t="s">
        <v>12</v>
      </c>
      <c r="B136" t="s">
        <v>35</v>
      </c>
      <c r="C136" t="s">
        <v>35</v>
      </c>
      <c r="D136" t="s">
        <v>35</v>
      </c>
      <c r="E136" t="s">
        <v>35</v>
      </c>
      <c r="F136" t="s">
        <v>31</v>
      </c>
      <c r="G136" t="s">
        <v>7</v>
      </c>
    </row>
    <row r="137" spans="1:7" x14ac:dyDescent="0.35">
      <c r="A137" t="s">
        <v>11</v>
      </c>
      <c r="B137" t="s">
        <v>31</v>
      </c>
      <c r="C137" t="s">
        <v>31</v>
      </c>
      <c r="D137" t="s">
        <v>31</v>
      </c>
      <c r="E137" t="s">
        <v>31</v>
      </c>
      <c r="F137" t="s">
        <v>39</v>
      </c>
      <c r="G137" t="s">
        <v>5</v>
      </c>
    </row>
    <row r="138" spans="1:7" x14ac:dyDescent="0.35">
      <c r="A138" t="s">
        <v>11</v>
      </c>
      <c r="B138" t="s">
        <v>31</v>
      </c>
      <c r="C138" t="s">
        <v>35</v>
      </c>
      <c r="D138" t="s">
        <v>31</v>
      </c>
      <c r="E138" t="s">
        <v>39</v>
      </c>
      <c r="F138" t="s">
        <v>31</v>
      </c>
      <c r="G138" t="s">
        <v>7</v>
      </c>
    </row>
    <row r="139" spans="1:7" x14ac:dyDescent="0.35">
      <c r="A139" t="s">
        <v>12</v>
      </c>
      <c r="B139" t="s">
        <v>31</v>
      </c>
      <c r="C139" t="s">
        <v>31</v>
      </c>
      <c r="D139" t="s">
        <v>31</v>
      </c>
      <c r="E139" t="s">
        <v>39</v>
      </c>
      <c r="F139" t="s">
        <v>35</v>
      </c>
      <c r="G139" t="s">
        <v>7</v>
      </c>
    </row>
    <row r="140" spans="1:7" x14ac:dyDescent="0.35">
      <c r="A140" t="s">
        <v>11</v>
      </c>
      <c r="B140" t="s">
        <v>31</v>
      </c>
      <c r="C140" t="s">
        <v>35</v>
      </c>
      <c r="D140" t="s">
        <v>35</v>
      </c>
      <c r="E140" t="s">
        <v>35</v>
      </c>
      <c r="F140" t="s">
        <v>35</v>
      </c>
      <c r="G140" t="s">
        <v>5</v>
      </c>
    </row>
    <row r="141" spans="1:7" x14ac:dyDescent="0.35">
      <c r="A141" t="s">
        <v>11</v>
      </c>
      <c r="B141" t="s">
        <v>39</v>
      </c>
      <c r="C141" t="s">
        <v>35</v>
      </c>
      <c r="D141" t="s">
        <v>35</v>
      </c>
      <c r="E141" t="s">
        <v>39</v>
      </c>
      <c r="F141" t="s">
        <v>39</v>
      </c>
      <c r="G141" t="s">
        <v>5</v>
      </c>
    </row>
    <row r="142" spans="1:7" x14ac:dyDescent="0.35">
      <c r="A142" t="s">
        <v>11</v>
      </c>
      <c r="B142" t="s">
        <v>39</v>
      </c>
      <c r="C142" t="s">
        <v>39</v>
      </c>
      <c r="D142" t="s">
        <v>39</v>
      </c>
      <c r="E142" t="s">
        <v>35</v>
      </c>
      <c r="F142" t="s">
        <v>39</v>
      </c>
      <c r="G142" t="s">
        <v>7</v>
      </c>
    </row>
    <row r="143" spans="1:7" x14ac:dyDescent="0.35">
      <c r="A143" t="s">
        <v>12</v>
      </c>
      <c r="B143" t="s">
        <v>35</v>
      </c>
      <c r="C143" t="s">
        <v>39</v>
      </c>
      <c r="D143" t="s">
        <v>39</v>
      </c>
      <c r="E143" t="s">
        <v>31</v>
      </c>
      <c r="F143" t="s">
        <v>39</v>
      </c>
      <c r="G143" t="s">
        <v>7</v>
      </c>
    </row>
    <row r="144" spans="1:7" x14ac:dyDescent="0.35">
      <c r="A144" t="s">
        <v>11</v>
      </c>
      <c r="B144" t="s">
        <v>35</v>
      </c>
      <c r="C144" t="s">
        <v>35</v>
      </c>
      <c r="D144" t="s">
        <v>35</v>
      </c>
      <c r="E144" t="s">
        <v>31</v>
      </c>
      <c r="F144" t="s">
        <v>39</v>
      </c>
      <c r="G144" t="s">
        <v>5</v>
      </c>
    </row>
    <row r="145" spans="1:7" x14ac:dyDescent="0.35">
      <c r="A145" t="s">
        <v>12</v>
      </c>
      <c r="B145" t="s">
        <v>31</v>
      </c>
      <c r="C145" t="s">
        <v>31</v>
      </c>
      <c r="D145" t="s">
        <v>31</v>
      </c>
      <c r="E145" t="s">
        <v>31</v>
      </c>
      <c r="F145" t="s">
        <v>39</v>
      </c>
      <c r="G145" t="s">
        <v>5</v>
      </c>
    </row>
    <row r="146" spans="1:7" x14ac:dyDescent="0.35">
      <c r="A146" t="s">
        <v>12</v>
      </c>
      <c r="B146" t="s">
        <v>31</v>
      </c>
      <c r="C146" t="s">
        <v>31</v>
      </c>
      <c r="D146" t="s">
        <v>31</v>
      </c>
      <c r="E146" t="s">
        <v>35</v>
      </c>
      <c r="F146" t="s">
        <v>35</v>
      </c>
      <c r="G146" t="s">
        <v>7</v>
      </c>
    </row>
    <row r="147" spans="1:7" x14ac:dyDescent="0.35">
      <c r="A147" t="s">
        <v>11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5</v>
      </c>
    </row>
    <row r="148" spans="1:7" x14ac:dyDescent="0.35">
      <c r="A148" t="s">
        <v>12</v>
      </c>
      <c r="B148" t="s">
        <v>35</v>
      </c>
      <c r="C148" t="s">
        <v>31</v>
      </c>
      <c r="D148" t="s">
        <v>35</v>
      </c>
      <c r="E148" t="s">
        <v>31</v>
      </c>
      <c r="F148" t="s">
        <v>35</v>
      </c>
      <c r="G148" t="s">
        <v>5</v>
      </c>
    </row>
    <row r="149" spans="1:7" x14ac:dyDescent="0.35">
      <c r="A149" t="s">
        <v>11</v>
      </c>
      <c r="B149" t="s">
        <v>35</v>
      </c>
      <c r="C149" t="s">
        <v>31</v>
      </c>
      <c r="D149" t="s">
        <v>31</v>
      </c>
      <c r="E149" t="s">
        <v>35</v>
      </c>
      <c r="F149" t="s">
        <v>31</v>
      </c>
      <c r="G149" t="s">
        <v>7</v>
      </c>
    </row>
    <row r="150" spans="1:7" x14ac:dyDescent="0.35">
      <c r="A150" t="s">
        <v>11</v>
      </c>
      <c r="B150" t="s">
        <v>31</v>
      </c>
      <c r="C150" t="s">
        <v>31</v>
      </c>
      <c r="D150" t="s">
        <v>31</v>
      </c>
      <c r="E150" t="s">
        <v>31</v>
      </c>
      <c r="F150" t="s">
        <v>39</v>
      </c>
      <c r="G150" t="s">
        <v>5</v>
      </c>
    </row>
    <row r="151" spans="1:7" x14ac:dyDescent="0.35">
      <c r="A151" t="s">
        <v>11</v>
      </c>
      <c r="B151" t="s">
        <v>35</v>
      </c>
      <c r="C151" t="s">
        <v>35</v>
      </c>
      <c r="D151" t="s">
        <v>35</v>
      </c>
      <c r="E151" t="s">
        <v>35</v>
      </c>
      <c r="F151" t="s">
        <v>35</v>
      </c>
      <c r="G151" t="s">
        <v>5</v>
      </c>
    </row>
    <row r="152" spans="1:7" x14ac:dyDescent="0.35">
      <c r="A152" t="s">
        <v>11</v>
      </c>
      <c r="B152" t="s">
        <v>35</v>
      </c>
      <c r="C152" t="s">
        <v>35</v>
      </c>
      <c r="D152" t="s">
        <v>31</v>
      </c>
      <c r="E152" t="s">
        <v>39</v>
      </c>
      <c r="F152" t="s">
        <v>39</v>
      </c>
      <c r="G152" t="s">
        <v>5</v>
      </c>
    </row>
    <row r="153" spans="1:7" x14ac:dyDescent="0.35">
      <c r="A153" t="s">
        <v>12</v>
      </c>
      <c r="B153" t="s">
        <v>35</v>
      </c>
      <c r="C153" t="s">
        <v>35</v>
      </c>
      <c r="D153" t="s">
        <v>35</v>
      </c>
      <c r="E153" t="s">
        <v>35</v>
      </c>
      <c r="F153" t="s">
        <v>39</v>
      </c>
      <c r="G153" t="s">
        <v>5</v>
      </c>
    </row>
    <row r="154" spans="1:7" x14ac:dyDescent="0.35">
      <c r="A154" t="s">
        <v>11</v>
      </c>
      <c r="B154" t="s">
        <v>31</v>
      </c>
      <c r="C154" t="s">
        <v>31</v>
      </c>
      <c r="D154" t="s">
        <v>31</v>
      </c>
      <c r="E154" t="s">
        <v>35</v>
      </c>
      <c r="F154" t="s">
        <v>35</v>
      </c>
      <c r="G154" t="s">
        <v>5</v>
      </c>
    </row>
    <row r="155" spans="1:7" x14ac:dyDescent="0.35">
      <c r="A155" t="s">
        <v>12</v>
      </c>
      <c r="B155" t="s">
        <v>31</v>
      </c>
      <c r="C155" t="s">
        <v>35</v>
      </c>
      <c r="D155" t="s">
        <v>31</v>
      </c>
      <c r="E155" t="s">
        <v>39</v>
      </c>
      <c r="F155" t="s">
        <v>31</v>
      </c>
      <c r="G155" t="s">
        <v>7</v>
      </c>
    </row>
    <row r="156" spans="1:7" x14ac:dyDescent="0.35">
      <c r="A156" t="s">
        <v>12</v>
      </c>
      <c r="B156" t="s">
        <v>35</v>
      </c>
      <c r="C156" t="s">
        <v>35</v>
      </c>
      <c r="D156" t="s">
        <v>31</v>
      </c>
      <c r="E156" t="s">
        <v>35</v>
      </c>
      <c r="F156" t="s">
        <v>35</v>
      </c>
      <c r="G156" t="s">
        <v>5</v>
      </c>
    </row>
    <row r="157" spans="1:7" x14ac:dyDescent="0.35">
      <c r="A157" t="s">
        <v>11</v>
      </c>
      <c r="B157" t="s">
        <v>31</v>
      </c>
      <c r="C157" t="s">
        <v>31</v>
      </c>
      <c r="D157" t="s">
        <v>31</v>
      </c>
      <c r="E157" t="s">
        <v>35</v>
      </c>
      <c r="F157" t="s">
        <v>39</v>
      </c>
      <c r="G157" t="s">
        <v>5</v>
      </c>
    </row>
    <row r="158" spans="1:7" x14ac:dyDescent="0.35">
      <c r="A158" t="s">
        <v>12</v>
      </c>
      <c r="B158" t="s">
        <v>35</v>
      </c>
      <c r="C158" t="s">
        <v>35</v>
      </c>
      <c r="D158" t="s">
        <v>39</v>
      </c>
      <c r="E158" t="s">
        <v>31</v>
      </c>
      <c r="F158" t="s">
        <v>39</v>
      </c>
      <c r="G158" t="s">
        <v>5</v>
      </c>
    </row>
    <row r="159" spans="1:7" x14ac:dyDescent="0.35">
      <c r="A159" t="s">
        <v>12</v>
      </c>
      <c r="B159" t="s">
        <v>31</v>
      </c>
      <c r="C159" t="s">
        <v>35</v>
      </c>
      <c r="D159" t="s">
        <v>31</v>
      </c>
      <c r="E159" t="s">
        <v>39</v>
      </c>
      <c r="F159" t="s">
        <v>31</v>
      </c>
      <c r="G159" t="s">
        <v>7</v>
      </c>
    </row>
    <row r="160" spans="1:7" x14ac:dyDescent="0.35">
      <c r="A160" t="s">
        <v>11</v>
      </c>
      <c r="B160" t="s">
        <v>35</v>
      </c>
      <c r="C160" t="s">
        <v>35</v>
      </c>
      <c r="D160" t="s">
        <v>35</v>
      </c>
      <c r="E160" t="s">
        <v>35</v>
      </c>
      <c r="F160" t="s">
        <v>35</v>
      </c>
      <c r="G160" t="s">
        <v>7</v>
      </c>
    </row>
    <row r="161" spans="1:7" x14ac:dyDescent="0.35">
      <c r="A161" t="s">
        <v>11</v>
      </c>
      <c r="B161" t="s">
        <v>35</v>
      </c>
      <c r="C161" t="s">
        <v>35</v>
      </c>
      <c r="D161" t="s">
        <v>35</v>
      </c>
      <c r="E161" t="s">
        <v>35</v>
      </c>
      <c r="F161" t="s">
        <v>39</v>
      </c>
      <c r="G161" t="s">
        <v>5</v>
      </c>
    </row>
    <row r="162" spans="1:7" x14ac:dyDescent="0.35">
      <c r="A162" t="s">
        <v>12</v>
      </c>
      <c r="B162" t="s">
        <v>39</v>
      </c>
      <c r="C162" t="s">
        <v>39</v>
      </c>
      <c r="D162" t="s">
        <v>39</v>
      </c>
      <c r="E162" t="s">
        <v>35</v>
      </c>
      <c r="F162" t="s">
        <v>39</v>
      </c>
      <c r="G162" t="s">
        <v>5</v>
      </c>
    </row>
    <row r="163" spans="1:7" x14ac:dyDescent="0.35">
      <c r="A163" t="s">
        <v>12</v>
      </c>
      <c r="B163" t="s">
        <v>39</v>
      </c>
      <c r="C163" t="s">
        <v>39</v>
      </c>
      <c r="D163" t="s">
        <v>39</v>
      </c>
      <c r="E163" t="s">
        <v>31</v>
      </c>
      <c r="F163" t="s">
        <v>39</v>
      </c>
      <c r="G163" t="s">
        <v>5</v>
      </c>
    </row>
    <row r="164" spans="1:7" x14ac:dyDescent="0.35">
      <c r="A164" t="s">
        <v>12</v>
      </c>
      <c r="B164" t="s">
        <v>35</v>
      </c>
      <c r="C164" t="s">
        <v>35</v>
      </c>
      <c r="D164" t="s">
        <v>35</v>
      </c>
      <c r="E164" t="s">
        <v>35</v>
      </c>
      <c r="F164" t="s">
        <v>39</v>
      </c>
      <c r="G164" t="s">
        <v>5</v>
      </c>
    </row>
    <row r="165" spans="1:7" x14ac:dyDescent="0.35">
      <c r="A165" t="s">
        <v>12</v>
      </c>
      <c r="B165" t="s">
        <v>35</v>
      </c>
      <c r="C165" t="s">
        <v>31</v>
      </c>
      <c r="D165" t="s">
        <v>31</v>
      </c>
      <c r="E165" t="s">
        <v>35</v>
      </c>
      <c r="F165" t="s">
        <v>39</v>
      </c>
      <c r="G165" t="s">
        <v>5</v>
      </c>
    </row>
    <row r="166" spans="1:7" x14ac:dyDescent="0.35">
      <c r="A166" t="s">
        <v>11</v>
      </c>
      <c r="B166" t="s">
        <v>39</v>
      </c>
      <c r="C166" t="s">
        <v>39</v>
      </c>
      <c r="D166" t="s">
        <v>35</v>
      </c>
      <c r="E166" t="s">
        <v>39</v>
      </c>
      <c r="F166" t="s">
        <v>39</v>
      </c>
      <c r="G166" t="s">
        <v>5</v>
      </c>
    </row>
    <row r="167" spans="1:7" x14ac:dyDescent="0.35">
      <c r="A167" t="s">
        <v>11</v>
      </c>
      <c r="B167" t="s">
        <v>31</v>
      </c>
      <c r="C167" t="s">
        <v>31</v>
      </c>
      <c r="D167" t="s">
        <v>31</v>
      </c>
      <c r="E167" t="s">
        <v>31</v>
      </c>
      <c r="F167" t="s">
        <v>35</v>
      </c>
      <c r="G167" t="s">
        <v>5</v>
      </c>
    </row>
    <row r="168" spans="1:7" x14ac:dyDescent="0.35">
      <c r="A168" t="s">
        <v>12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7</v>
      </c>
    </row>
    <row r="169" spans="1:7" x14ac:dyDescent="0.35">
      <c r="A169" t="s">
        <v>11</v>
      </c>
      <c r="B169" t="s">
        <v>31</v>
      </c>
      <c r="C169" t="s">
        <v>35</v>
      </c>
      <c r="D169" t="s">
        <v>35</v>
      </c>
      <c r="E169" t="s">
        <v>35</v>
      </c>
      <c r="F169" t="s">
        <v>39</v>
      </c>
      <c r="G169" t="s">
        <v>5</v>
      </c>
    </row>
    <row r="170" spans="1:7" x14ac:dyDescent="0.35">
      <c r="A170" t="s">
        <v>11</v>
      </c>
      <c r="B170" t="s">
        <v>35</v>
      </c>
      <c r="C170" t="s">
        <v>35</v>
      </c>
      <c r="D170" t="s">
        <v>39</v>
      </c>
      <c r="E170" t="s">
        <v>35</v>
      </c>
      <c r="F170" t="s">
        <v>31</v>
      </c>
      <c r="G170" t="s">
        <v>7</v>
      </c>
    </row>
    <row r="171" spans="1:7" x14ac:dyDescent="0.35">
      <c r="A171" t="s">
        <v>12</v>
      </c>
      <c r="B171" t="s">
        <v>35</v>
      </c>
      <c r="C171" t="s">
        <v>35</v>
      </c>
      <c r="D171" t="s">
        <v>35</v>
      </c>
      <c r="E171" t="s">
        <v>35</v>
      </c>
      <c r="F171" t="s">
        <v>39</v>
      </c>
      <c r="G171" t="s">
        <v>5</v>
      </c>
    </row>
    <row r="172" spans="1:7" x14ac:dyDescent="0.35">
      <c r="A172" t="s">
        <v>12</v>
      </c>
      <c r="B172" t="s">
        <v>35</v>
      </c>
      <c r="C172" t="s">
        <v>35</v>
      </c>
      <c r="D172" t="s">
        <v>35</v>
      </c>
      <c r="E172" t="s">
        <v>35</v>
      </c>
      <c r="F172" t="s">
        <v>31</v>
      </c>
      <c r="G172" t="s">
        <v>7</v>
      </c>
    </row>
    <row r="173" spans="1:7" x14ac:dyDescent="0.35">
      <c r="A173" t="s">
        <v>12</v>
      </c>
      <c r="B173" t="s">
        <v>35</v>
      </c>
      <c r="C173" t="s">
        <v>35</v>
      </c>
      <c r="D173" t="s">
        <v>35</v>
      </c>
      <c r="E173" t="s">
        <v>35</v>
      </c>
      <c r="F173" t="s">
        <v>39</v>
      </c>
      <c r="G173" t="s">
        <v>5</v>
      </c>
    </row>
    <row r="174" spans="1:7" x14ac:dyDescent="0.35">
      <c r="A174" t="s">
        <v>11</v>
      </c>
      <c r="B174" t="s">
        <v>35</v>
      </c>
      <c r="C174" t="s">
        <v>35</v>
      </c>
      <c r="D174" t="s">
        <v>31</v>
      </c>
      <c r="E174" t="s">
        <v>39</v>
      </c>
      <c r="F174" t="s">
        <v>31</v>
      </c>
      <c r="G174" t="s">
        <v>7</v>
      </c>
    </row>
    <row r="175" spans="1:7" x14ac:dyDescent="0.35">
      <c r="A175" t="s">
        <v>12</v>
      </c>
      <c r="B175" t="s">
        <v>39</v>
      </c>
      <c r="C175" t="s">
        <v>39</v>
      </c>
      <c r="D175" t="s">
        <v>39</v>
      </c>
      <c r="E175" t="s">
        <v>35</v>
      </c>
      <c r="F175" t="s">
        <v>39</v>
      </c>
      <c r="G175" t="s">
        <v>7</v>
      </c>
    </row>
    <row r="176" spans="1:7" x14ac:dyDescent="0.35">
      <c r="A176" t="s">
        <v>12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7</v>
      </c>
    </row>
    <row r="177" spans="1:7" x14ac:dyDescent="0.35">
      <c r="A177" t="s">
        <v>12</v>
      </c>
      <c r="B177" t="s">
        <v>35</v>
      </c>
      <c r="C177" t="s">
        <v>35</v>
      </c>
      <c r="D177" t="s">
        <v>35</v>
      </c>
      <c r="E177" t="s">
        <v>35</v>
      </c>
      <c r="F177" t="s">
        <v>39</v>
      </c>
      <c r="G177" t="s">
        <v>5</v>
      </c>
    </row>
    <row r="178" spans="1:7" x14ac:dyDescent="0.35">
      <c r="A178" t="s">
        <v>11</v>
      </c>
      <c r="B178" t="s">
        <v>31</v>
      </c>
      <c r="C178" t="s">
        <v>31</v>
      </c>
      <c r="D178" t="s">
        <v>35</v>
      </c>
      <c r="E178" t="s">
        <v>31</v>
      </c>
      <c r="F178" t="s">
        <v>35</v>
      </c>
      <c r="G178" t="s">
        <v>7</v>
      </c>
    </row>
    <row r="179" spans="1:7" x14ac:dyDescent="0.35">
      <c r="A179" t="s">
        <v>12</v>
      </c>
      <c r="B179" t="s">
        <v>35</v>
      </c>
      <c r="C179" t="s">
        <v>35</v>
      </c>
      <c r="D179" t="s">
        <v>35</v>
      </c>
      <c r="E179" t="s">
        <v>35</v>
      </c>
      <c r="F179" t="s">
        <v>39</v>
      </c>
      <c r="G179" t="s">
        <v>7</v>
      </c>
    </row>
    <row r="180" spans="1:7" x14ac:dyDescent="0.35">
      <c r="A180" t="s">
        <v>12</v>
      </c>
      <c r="B180" t="s">
        <v>39</v>
      </c>
      <c r="C180" t="s">
        <v>39</v>
      </c>
      <c r="D180" t="s">
        <v>35</v>
      </c>
      <c r="E180" t="s">
        <v>39</v>
      </c>
      <c r="F180" t="s">
        <v>31</v>
      </c>
      <c r="G180" t="s">
        <v>7</v>
      </c>
    </row>
    <row r="181" spans="1:7" x14ac:dyDescent="0.35">
      <c r="A181" t="s">
        <v>11</v>
      </c>
      <c r="B181" t="s">
        <v>35</v>
      </c>
      <c r="C181" t="s">
        <v>39</v>
      </c>
      <c r="D181" t="s">
        <v>35</v>
      </c>
      <c r="E181" t="s">
        <v>39</v>
      </c>
      <c r="F181" t="s">
        <v>35</v>
      </c>
      <c r="G181" t="s">
        <v>7</v>
      </c>
    </row>
    <row r="182" spans="1:7" x14ac:dyDescent="0.35">
      <c r="A182" t="s">
        <v>12</v>
      </c>
      <c r="B182" t="s">
        <v>39</v>
      </c>
      <c r="C182" t="s">
        <v>39</v>
      </c>
      <c r="D182" t="s">
        <v>39</v>
      </c>
      <c r="E182" t="s">
        <v>35</v>
      </c>
      <c r="F182" t="s">
        <v>35</v>
      </c>
      <c r="G182" t="s">
        <v>7</v>
      </c>
    </row>
    <row r="183" spans="1:7" x14ac:dyDescent="0.35">
      <c r="A183" t="s">
        <v>11</v>
      </c>
      <c r="B183" t="s">
        <v>35</v>
      </c>
      <c r="C183" t="s">
        <v>39</v>
      </c>
      <c r="D183" t="s">
        <v>35</v>
      </c>
      <c r="E183" t="s">
        <v>39</v>
      </c>
      <c r="F183" t="s">
        <v>39</v>
      </c>
      <c r="G183" t="s">
        <v>5</v>
      </c>
    </row>
    <row r="184" spans="1:7" x14ac:dyDescent="0.35">
      <c r="A184" t="s">
        <v>12</v>
      </c>
      <c r="B184" t="s">
        <v>35</v>
      </c>
      <c r="C184" t="s">
        <v>35</v>
      </c>
      <c r="D184" t="s">
        <v>31</v>
      </c>
      <c r="E184" t="s">
        <v>35</v>
      </c>
      <c r="F184" t="s">
        <v>31</v>
      </c>
      <c r="G184" t="s">
        <v>7</v>
      </c>
    </row>
    <row r="185" spans="1:7" x14ac:dyDescent="0.35">
      <c r="A185" t="s">
        <v>11</v>
      </c>
      <c r="B185" t="s">
        <v>39</v>
      </c>
      <c r="C185" t="s">
        <v>39</v>
      </c>
      <c r="D185" t="s">
        <v>39</v>
      </c>
      <c r="E185" t="s">
        <v>35</v>
      </c>
      <c r="F185" t="s">
        <v>35</v>
      </c>
      <c r="G185" t="s">
        <v>7</v>
      </c>
    </row>
    <row r="186" spans="1:7" x14ac:dyDescent="0.35">
      <c r="A186" t="s">
        <v>12</v>
      </c>
      <c r="B186" t="s">
        <v>39</v>
      </c>
      <c r="C186" t="s">
        <v>39</v>
      </c>
      <c r="D186" t="s">
        <v>39</v>
      </c>
      <c r="E186" t="s">
        <v>35</v>
      </c>
      <c r="F186" t="s">
        <v>39</v>
      </c>
      <c r="G186" t="s">
        <v>5</v>
      </c>
    </row>
    <row r="187" spans="1:7" x14ac:dyDescent="0.35">
      <c r="A187" t="s">
        <v>11</v>
      </c>
      <c r="B187" t="s">
        <v>35</v>
      </c>
      <c r="C187" t="s">
        <v>35</v>
      </c>
      <c r="D187" t="s">
        <v>39</v>
      </c>
      <c r="E187" t="s">
        <v>35</v>
      </c>
      <c r="F187" t="s">
        <v>39</v>
      </c>
      <c r="G187" t="s">
        <v>7</v>
      </c>
    </row>
    <row r="188" spans="1:7" x14ac:dyDescent="0.35">
      <c r="A188" t="s">
        <v>12</v>
      </c>
      <c r="B188" t="s">
        <v>39</v>
      </c>
      <c r="C188" t="s">
        <v>39</v>
      </c>
      <c r="D188" t="s">
        <v>39</v>
      </c>
      <c r="E188" t="s">
        <v>35</v>
      </c>
      <c r="F188" t="s">
        <v>39</v>
      </c>
      <c r="G188" t="s">
        <v>7</v>
      </c>
    </row>
    <row r="189" spans="1:7" x14ac:dyDescent="0.35">
      <c r="A189" t="s">
        <v>12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7</v>
      </c>
    </row>
    <row r="190" spans="1:7" x14ac:dyDescent="0.35">
      <c r="A190" t="s">
        <v>11</v>
      </c>
      <c r="B190" t="s">
        <v>35</v>
      </c>
      <c r="C190" t="s">
        <v>35</v>
      </c>
      <c r="D190" t="s">
        <v>35</v>
      </c>
      <c r="E190" t="s">
        <v>35</v>
      </c>
      <c r="F190" t="s">
        <v>39</v>
      </c>
      <c r="G190" t="s">
        <v>5</v>
      </c>
    </row>
    <row r="191" spans="1:7" x14ac:dyDescent="0.35">
      <c r="A191" t="s">
        <v>11</v>
      </c>
      <c r="B191" t="s">
        <v>31</v>
      </c>
      <c r="C191" t="s">
        <v>31</v>
      </c>
      <c r="D191" t="s">
        <v>31</v>
      </c>
      <c r="E191" t="s">
        <v>31</v>
      </c>
      <c r="F191" t="s">
        <v>35</v>
      </c>
      <c r="G191" t="s">
        <v>5</v>
      </c>
    </row>
    <row r="192" spans="1:7" x14ac:dyDescent="0.35">
      <c r="A192" t="s">
        <v>12</v>
      </c>
      <c r="B192" t="s">
        <v>31</v>
      </c>
      <c r="C192" t="s">
        <v>31</v>
      </c>
      <c r="D192" t="s">
        <v>31</v>
      </c>
      <c r="E192" t="s">
        <v>35</v>
      </c>
      <c r="F192" t="s">
        <v>31</v>
      </c>
      <c r="G192" t="s">
        <v>7</v>
      </c>
    </row>
    <row r="193" spans="1:7" x14ac:dyDescent="0.35">
      <c r="A193" t="s">
        <v>11</v>
      </c>
      <c r="B193" t="s">
        <v>35</v>
      </c>
      <c r="C193" t="s">
        <v>35</v>
      </c>
      <c r="D193" t="s">
        <v>35</v>
      </c>
      <c r="E193" t="s">
        <v>35</v>
      </c>
      <c r="F193" t="s">
        <v>35</v>
      </c>
      <c r="G193" t="s">
        <v>5</v>
      </c>
    </row>
    <row r="194" spans="1:7" x14ac:dyDescent="0.35">
      <c r="A194" t="s">
        <v>12</v>
      </c>
      <c r="B194" t="s">
        <v>35</v>
      </c>
      <c r="C194" t="s">
        <v>39</v>
      </c>
      <c r="D194" t="s">
        <v>35</v>
      </c>
      <c r="E194" t="s">
        <v>39</v>
      </c>
      <c r="F194" t="s">
        <v>35</v>
      </c>
      <c r="G194" t="s">
        <v>7</v>
      </c>
    </row>
    <row r="195" spans="1:7" x14ac:dyDescent="0.35">
      <c r="A195" t="s">
        <v>11</v>
      </c>
      <c r="B195" t="s">
        <v>39</v>
      </c>
      <c r="C195" t="s">
        <v>35</v>
      </c>
      <c r="D195" t="s">
        <v>39</v>
      </c>
      <c r="E195" t="s">
        <v>35</v>
      </c>
      <c r="F195" t="s">
        <v>35</v>
      </c>
      <c r="G195" t="s">
        <v>5</v>
      </c>
    </row>
    <row r="196" spans="1:7" x14ac:dyDescent="0.35">
      <c r="A196" t="s">
        <v>11</v>
      </c>
      <c r="B196" t="s">
        <v>39</v>
      </c>
      <c r="C196" t="s">
        <v>35</v>
      </c>
      <c r="D196" t="s">
        <v>31</v>
      </c>
      <c r="E196" t="s">
        <v>39</v>
      </c>
      <c r="F196" t="s">
        <v>39</v>
      </c>
      <c r="G196" t="s">
        <v>7</v>
      </c>
    </row>
    <row r="197" spans="1:7" x14ac:dyDescent="0.35">
      <c r="A197" t="s">
        <v>12</v>
      </c>
      <c r="B197" t="s">
        <v>39</v>
      </c>
      <c r="C197" t="s">
        <v>39</v>
      </c>
      <c r="D197" t="s">
        <v>39</v>
      </c>
      <c r="E197" t="s">
        <v>35</v>
      </c>
      <c r="F197" t="s">
        <v>39</v>
      </c>
      <c r="G197" t="s">
        <v>7</v>
      </c>
    </row>
    <row r="198" spans="1:7" x14ac:dyDescent="0.35">
      <c r="A198" t="s">
        <v>12</v>
      </c>
      <c r="B198" t="s">
        <v>39</v>
      </c>
      <c r="C198" t="s">
        <v>35</v>
      </c>
      <c r="D198" t="s">
        <v>35</v>
      </c>
      <c r="E198" t="s">
        <v>39</v>
      </c>
      <c r="F198" t="s">
        <v>31</v>
      </c>
      <c r="G198" t="s">
        <v>7</v>
      </c>
    </row>
    <row r="199" spans="1:7" x14ac:dyDescent="0.35">
      <c r="A199" t="s">
        <v>11</v>
      </c>
      <c r="B199" t="s">
        <v>39</v>
      </c>
      <c r="C199" t="s">
        <v>39</v>
      </c>
      <c r="D199" t="s">
        <v>39</v>
      </c>
      <c r="E199" t="s">
        <v>35</v>
      </c>
      <c r="F199" t="s">
        <v>35</v>
      </c>
      <c r="G199" t="s">
        <v>7</v>
      </c>
    </row>
    <row r="200" spans="1:7" x14ac:dyDescent="0.35">
      <c r="A200" t="s">
        <v>11</v>
      </c>
      <c r="B200" t="s">
        <v>35</v>
      </c>
      <c r="C200" t="s">
        <v>39</v>
      </c>
      <c r="D200" t="s">
        <v>31</v>
      </c>
      <c r="E200" t="s">
        <v>39</v>
      </c>
      <c r="F200" t="s">
        <v>31</v>
      </c>
      <c r="G200" t="s">
        <v>7</v>
      </c>
    </row>
    <row r="201" spans="1:7" x14ac:dyDescent="0.35">
      <c r="A201" t="s">
        <v>12</v>
      </c>
      <c r="B201" t="s">
        <v>35</v>
      </c>
      <c r="C201" t="s">
        <v>35</v>
      </c>
      <c r="D201" t="s">
        <v>35</v>
      </c>
      <c r="E201" t="s">
        <v>31</v>
      </c>
      <c r="F201" t="s">
        <v>35</v>
      </c>
      <c r="G201" t="s">
        <v>5</v>
      </c>
    </row>
    <row r="202" spans="1:7" x14ac:dyDescent="0.35">
      <c r="A202" t="s">
        <v>11</v>
      </c>
      <c r="B202" t="s">
        <v>39</v>
      </c>
      <c r="C202" t="s">
        <v>39</v>
      </c>
      <c r="D202" t="s">
        <v>39</v>
      </c>
      <c r="E202" t="s">
        <v>39</v>
      </c>
      <c r="F202" t="s">
        <v>35</v>
      </c>
      <c r="G202" t="s">
        <v>7</v>
      </c>
    </row>
    <row r="203" spans="1:7" x14ac:dyDescent="0.35">
      <c r="A203" t="s">
        <v>12</v>
      </c>
      <c r="B203" t="s">
        <v>35</v>
      </c>
      <c r="C203" t="s">
        <v>35</v>
      </c>
      <c r="D203" t="s">
        <v>39</v>
      </c>
      <c r="E203" t="s">
        <v>35</v>
      </c>
      <c r="F203" t="s">
        <v>39</v>
      </c>
      <c r="G203" t="s">
        <v>5</v>
      </c>
    </row>
    <row r="204" spans="1:7" x14ac:dyDescent="0.35">
      <c r="A204" t="s">
        <v>12</v>
      </c>
      <c r="B204" t="s">
        <v>35</v>
      </c>
      <c r="C204" t="s">
        <v>35</v>
      </c>
      <c r="D204" t="s">
        <v>35</v>
      </c>
      <c r="E204" t="s">
        <v>35</v>
      </c>
      <c r="F204" t="s">
        <v>39</v>
      </c>
      <c r="G204" t="s">
        <v>5</v>
      </c>
    </row>
    <row r="205" spans="1:7" x14ac:dyDescent="0.35">
      <c r="A205" t="s">
        <v>12</v>
      </c>
      <c r="B205" t="s">
        <v>35</v>
      </c>
      <c r="C205" t="s">
        <v>35</v>
      </c>
      <c r="D205" t="s">
        <v>35</v>
      </c>
      <c r="E205" t="s">
        <v>35</v>
      </c>
      <c r="F205" t="s">
        <v>39</v>
      </c>
      <c r="G205" t="s">
        <v>5</v>
      </c>
    </row>
    <row r="206" spans="1:7" x14ac:dyDescent="0.35">
      <c r="A206" t="s">
        <v>11</v>
      </c>
      <c r="B206" t="s">
        <v>39</v>
      </c>
      <c r="C206" t="s">
        <v>35</v>
      </c>
      <c r="D206" t="s">
        <v>39</v>
      </c>
      <c r="E206" t="s">
        <v>35</v>
      </c>
      <c r="F206" t="s">
        <v>39</v>
      </c>
      <c r="G206" t="s">
        <v>5</v>
      </c>
    </row>
    <row r="207" spans="1:7" x14ac:dyDescent="0.35">
      <c r="A207" t="s">
        <v>12</v>
      </c>
      <c r="B207" t="s">
        <v>35</v>
      </c>
      <c r="C207" t="s">
        <v>31</v>
      </c>
      <c r="D207" t="s">
        <v>31</v>
      </c>
      <c r="E207" t="s">
        <v>31</v>
      </c>
      <c r="F207" t="s">
        <v>39</v>
      </c>
      <c r="G207" t="s">
        <v>5</v>
      </c>
    </row>
    <row r="208" spans="1:7" x14ac:dyDescent="0.35">
      <c r="A208" t="s">
        <v>12</v>
      </c>
      <c r="B208" t="s">
        <v>35</v>
      </c>
      <c r="C208" t="s">
        <v>35</v>
      </c>
      <c r="D208" t="s">
        <v>35</v>
      </c>
      <c r="E208" t="s">
        <v>35</v>
      </c>
      <c r="F208" t="s">
        <v>39</v>
      </c>
      <c r="G208" t="s">
        <v>5</v>
      </c>
    </row>
    <row r="209" spans="1:7" x14ac:dyDescent="0.35">
      <c r="A209" t="s">
        <v>11</v>
      </c>
      <c r="B209" t="s">
        <v>35</v>
      </c>
      <c r="C209" t="s">
        <v>35</v>
      </c>
      <c r="D209" t="s">
        <v>35</v>
      </c>
      <c r="E209" t="s">
        <v>35</v>
      </c>
      <c r="F209" t="s">
        <v>39</v>
      </c>
      <c r="G209" t="s">
        <v>7</v>
      </c>
    </row>
    <row r="210" spans="1:7" x14ac:dyDescent="0.35">
      <c r="A210" t="s">
        <v>12</v>
      </c>
      <c r="B210" t="s">
        <v>31</v>
      </c>
      <c r="C210" t="s">
        <v>31</v>
      </c>
      <c r="D210" t="s">
        <v>31</v>
      </c>
      <c r="E210" t="s">
        <v>35</v>
      </c>
      <c r="F210" t="s">
        <v>35</v>
      </c>
      <c r="G210" t="s">
        <v>5</v>
      </c>
    </row>
    <row r="211" spans="1:7" x14ac:dyDescent="0.35">
      <c r="A211" t="s">
        <v>12</v>
      </c>
      <c r="B211" t="s">
        <v>35</v>
      </c>
      <c r="C211" t="s">
        <v>35</v>
      </c>
      <c r="D211" t="s">
        <v>39</v>
      </c>
      <c r="E211" t="s">
        <v>35</v>
      </c>
      <c r="F211" t="s">
        <v>35</v>
      </c>
      <c r="G211" t="s">
        <v>7</v>
      </c>
    </row>
    <row r="212" spans="1:7" x14ac:dyDescent="0.35">
      <c r="A212" t="s">
        <v>11</v>
      </c>
      <c r="B212" t="s">
        <v>35</v>
      </c>
      <c r="C212" t="s">
        <v>35</v>
      </c>
      <c r="D212" t="s">
        <v>35</v>
      </c>
      <c r="E212" t="s">
        <v>35</v>
      </c>
      <c r="F212" t="s">
        <v>31</v>
      </c>
      <c r="G212" t="s">
        <v>7</v>
      </c>
    </row>
    <row r="213" spans="1:7" x14ac:dyDescent="0.35">
      <c r="A213" t="s">
        <v>12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7</v>
      </c>
    </row>
    <row r="214" spans="1:7" x14ac:dyDescent="0.35">
      <c r="A214" t="s">
        <v>12</v>
      </c>
      <c r="B214" t="s">
        <v>35</v>
      </c>
      <c r="C214" t="s">
        <v>35</v>
      </c>
      <c r="D214" t="s">
        <v>31</v>
      </c>
      <c r="E214" t="s">
        <v>35</v>
      </c>
      <c r="F214" t="s">
        <v>35</v>
      </c>
      <c r="G214" t="s">
        <v>5</v>
      </c>
    </row>
    <row r="215" spans="1:7" x14ac:dyDescent="0.35">
      <c r="A215" t="s">
        <v>11</v>
      </c>
      <c r="B215" t="s">
        <v>31</v>
      </c>
      <c r="C215" t="s">
        <v>31</v>
      </c>
      <c r="D215" t="s">
        <v>35</v>
      </c>
      <c r="E215" t="s">
        <v>35</v>
      </c>
      <c r="F215" t="s">
        <v>31</v>
      </c>
      <c r="G215" t="s">
        <v>7</v>
      </c>
    </row>
    <row r="216" spans="1:7" x14ac:dyDescent="0.35">
      <c r="A216" t="s">
        <v>11</v>
      </c>
      <c r="B216" t="s">
        <v>39</v>
      </c>
      <c r="C216" t="s">
        <v>35</v>
      </c>
      <c r="D216" t="s">
        <v>39</v>
      </c>
      <c r="E216" t="s">
        <v>31</v>
      </c>
      <c r="F216" t="s">
        <v>39</v>
      </c>
      <c r="G216" t="s">
        <v>5</v>
      </c>
    </row>
    <row r="217" spans="1:7" x14ac:dyDescent="0.35">
      <c r="A217" t="s">
        <v>12</v>
      </c>
      <c r="B217" t="s">
        <v>39</v>
      </c>
      <c r="C217" t="s">
        <v>39</v>
      </c>
      <c r="D217" t="s">
        <v>39</v>
      </c>
      <c r="E217" t="s">
        <v>35</v>
      </c>
      <c r="F217" t="s">
        <v>39</v>
      </c>
      <c r="G217" t="s">
        <v>7</v>
      </c>
    </row>
    <row r="218" spans="1:7" x14ac:dyDescent="0.35">
      <c r="A218" t="s">
        <v>11</v>
      </c>
      <c r="B218" t="s">
        <v>35</v>
      </c>
      <c r="C218" t="s">
        <v>31</v>
      </c>
      <c r="D218" t="s">
        <v>31</v>
      </c>
      <c r="E218" t="s">
        <v>35</v>
      </c>
      <c r="F218" t="s">
        <v>39</v>
      </c>
      <c r="G218" t="s">
        <v>5</v>
      </c>
    </row>
    <row r="219" spans="1:7" x14ac:dyDescent="0.35">
      <c r="A219" t="s">
        <v>11</v>
      </c>
      <c r="B219" t="s">
        <v>35</v>
      </c>
      <c r="C219" t="s">
        <v>35</v>
      </c>
      <c r="D219" t="s">
        <v>35</v>
      </c>
      <c r="E219" t="s">
        <v>35</v>
      </c>
      <c r="F219" t="s">
        <v>39</v>
      </c>
      <c r="G219" t="s">
        <v>5</v>
      </c>
    </row>
    <row r="220" spans="1:7" x14ac:dyDescent="0.35">
      <c r="A220" t="s">
        <v>12</v>
      </c>
      <c r="B220" t="s">
        <v>35</v>
      </c>
      <c r="C220" t="s">
        <v>31</v>
      </c>
      <c r="D220" t="s">
        <v>35</v>
      </c>
      <c r="E220" t="s">
        <v>31</v>
      </c>
      <c r="F220" t="s">
        <v>39</v>
      </c>
      <c r="G220" t="s">
        <v>5</v>
      </c>
    </row>
    <row r="221" spans="1:7" x14ac:dyDescent="0.35">
      <c r="A221" t="s">
        <v>11</v>
      </c>
      <c r="B221" t="s">
        <v>35</v>
      </c>
      <c r="C221" t="s">
        <v>35</v>
      </c>
      <c r="D221" t="s">
        <v>35</v>
      </c>
      <c r="E221" t="s">
        <v>39</v>
      </c>
      <c r="F221" t="s">
        <v>39</v>
      </c>
      <c r="G221" t="s">
        <v>7</v>
      </c>
    </row>
    <row r="222" spans="1:7" x14ac:dyDescent="0.35">
      <c r="A222" t="s">
        <v>11</v>
      </c>
      <c r="B222" t="s">
        <v>39</v>
      </c>
      <c r="C222" t="s">
        <v>39</v>
      </c>
      <c r="D222" t="s">
        <v>39</v>
      </c>
      <c r="E222" t="s">
        <v>35</v>
      </c>
      <c r="F222" t="s">
        <v>39</v>
      </c>
      <c r="G222" t="s">
        <v>7</v>
      </c>
    </row>
    <row r="223" spans="1:7" x14ac:dyDescent="0.35">
      <c r="A223" t="s">
        <v>11</v>
      </c>
      <c r="B223" t="s">
        <v>35</v>
      </c>
      <c r="C223" t="s">
        <v>35</v>
      </c>
      <c r="D223" t="s">
        <v>35</v>
      </c>
      <c r="E223" t="s">
        <v>35</v>
      </c>
      <c r="F223" t="s">
        <v>35</v>
      </c>
      <c r="G223" t="s">
        <v>7</v>
      </c>
    </row>
    <row r="224" spans="1:7" x14ac:dyDescent="0.35">
      <c r="A224" t="s">
        <v>12</v>
      </c>
      <c r="B224" t="s">
        <v>39</v>
      </c>
      <c r="C224" t="s">
        <v>39</v>
      </c>
      <c r="D224" t="s">
        <v>39</v>
      </c>
      <c r="E224" t="s">
        <v>39</v>
      </c>
      <c r="F224" t="s">
        <v>31</v>
      </c>
      <c r="G224" t="s">
        <v>7</v>
      </c>
    </row>
    <row r="225" spans="1:7" x14ac:dyDescent="0.35">
      <c r="A225" t="s">
        <v>12</v>
      </c>
      <c r="B225" t="s">
        <v>39</v>
      </c>
      <c r="C225" t="s">
        <v>35</v>
      </c>
      <c r="D225" t="s">
        <v>39</v>
      </c>
      <c r="E225" t="s">
        <v>31</v>
      </c>
      <c r="F225" t="s">
        <v>35</v>
      </c>
      <c r="G225" t="s">
        <v>7</v>
      </c>
    </row>
    <row r="226" spans="1:7" x14ac:dyDescent="0.35">
      <c r="A226" t="s">
        <v>12</v>
      </c>
      <c r="B226" t="s">
        <v>35</v>
      </c>
      <c r="C226" t="s">
        <v>35</v>
      </c>
      <c r="D226" t="s">
        <v>39</v>
      </c>
      <c r="E226" t="s">
        <v>31</v>
      </c>
      <c r="F226" t="s">
        <v>31</v>
      </c>
      <c r="G226" t="s">
        <v>7</v>
      </c>
    </row>
    <row r="227" spans="1:7" x14ac:dyDescent="0.35">
      <c r="A227" t="s">
        <v>11</v>
      </c>
      <c r="B227" t="s">
        <v>31</v>
      </c>
      <c r="C227" t="s">
        <v>35</v>
      </c>
      <c r="D227" t="s">
        <v>35</v>
      </c>
      <c r="E227" t="s">
        <v>35</v>
      </c>
      <c r="F227" t="s">
        <v>35</v>
      </c>
      <c r="G227" t="s">
        <v>5</v>
      </c>
    </row>
    <row r="228" spans="1:7" x14ac:dyDescent="0.35">
      <c r="A228" t="s">
        <v>11</v>
      </c>
      <c r="B228" t="s">
        <v>35</v>
      </c>
      <c r="C228" t="s">
        <v>31</v>
      </c>
      <c r="D228" t="s">
        <v>35</v>
      </c>
      <c r="E228" t="s">
        <v>35</v>
      </c>
      <c r="F228" t="s">
        <v>35</v>
      </c>
      <c r="G228" t="s">
        <v>5</v>
      </c>
    </row>
    <row r="229" spans="1:7" x14ac:dyDescent="0.35">
      <c r="A229" t="s">
        <v>11</v>
      </c>
      <c r="B229" t="s">
        <v>35</v>
      </c>
      <c r="C229" t="s">
        <v>35</v>
      </c>
      <c r="D229" t="s">
        <v>35</v>
      </c>
      <c r="E229" t="s">
        <v>35</v>
      </c>
      <c r="F229" t="s">
        <v>39</v>
      </c>
      <c r="G229" t="s">
        <v>5</v>
      </c>
    </row>
    <row r="230" spans="1:7" x14ac:dyDescent="0.35">
      <c r="A230" t="s">
        <v>11</v>
      </c>
      <c r="B230" t="s">
        <v>35</v>
      </c>
      <c r="C230" t="s">
        <v>35</v>
      </c>
      <c r="D230" t="s">
        <v>35</v>
      </c>
      <c r="E230" t="s">
        <v>35</v>
      </c>
      <c r="F230" t="s">
        <v>39</v>
      </c>
      <c r="G230" t="s">
        <v>5</v>
      </c>
    </row>
    <row r="231" spans="1:7" x14ac:dyDescent="0.35">
      <c r="A231" t="s">
        <v>11</v>
      </c>
      <c r="B231" t="s">
        <v>31</v>
      </c>
      <c r="C231" t="s">
        <v>31</v>
      </c>
      <c r="D231" t="s">
        <v>35</v>
      </c>
      <c r="E231" t="s">
        <v>31</v>
      </c>
      <c r="F231" t="s">
        <v>39</v>
      </c>
      <c r="G231" t="s">
        <v>5</v>
      </c>
    </row>
    <row r="232" spans="1:7" x14ac:dyDescent="0.35">
      <c r="A232" t="s">
        <v>11</v>
      </c>
      <c r="B232" t="s">
        <v>31</v>
      </c>
      <c r="C232" t="s">
        <v>31</v>
      </c>
      <c r="D232" t="s">
        <v>31</v>
      </c>
      <c r="E232" t="s">
        <v>35</v>
      </c>
      <c r="F232" t="s">
        <v>35</v>
      </c>
      <c r="G232" t="s">
        <v>5</v>
      </c>
    </row>
    <row r="233" spans="1:7" x14ac:dyDescent="0.35">
      <c r="A233" t="s">
        <v>11</v>
      </c>
      <c r="B233" t="s">
        <v>35</v>
      </c>
      <c r="C233" t="s">
        <v>39</v>
      </c>
      <c r="D233" t="s">
        <v>35</v>
      </c>
      <c r="E233" t="s">
        <v>39</v>
      </c>
      <c r="F233" t="s">
        <v>35</v>
      </c>
      <c r="G233" t="s">
        <v>7</v>
      </c>
    </row>
    <row r="234" spans="1:7" x14ac:dyDescent="0.35">
      <c r="A234" t="s">
        <v>12</v>
      </c>
      <c r="B234" t="s">
        <v>39</v>
      </c>
      <c r="C234" t="s">
        <v>39</v>
      </c>
      <c r="D234" t="s">
        <v>39</v>
      </c>
      <c r="E234" t="s">
        <v>35</v>
      </c>
      <c r="F234" t="s">
        <v>31</v>
      </c>
      <c r="G234" t="s">
        <v>7</v>
      </c>
    </row>
    <row r="235" spans="1:7" x14ac:dyDescent="0.35">
      <c r="A235" t="s">
        <v>12</v>
      </c>
      <c r="B235" t="s">
        <v>35</v>
      </c>
      <c r="C235" t="s">
        <v>35</v>
      </c>
      <c r="D235" t="s">
        <v>31</v>
      </c>
      <c r="E235" t="s">
        <v>39</v>
      </c>
      <c r="F235" t="s">
        <v>39</v>
      </c>
      <c r="G235" t="s">
        <v>7</v>
      </c>
    </row>
    <row r="236" spans="1:7" x14ac:dyDescent="0.35">
      <c r="A236" t="s">
        <v>12</v>
      </c>
      <c r="B236" t="s">
        <v>35</v>
      </c>
      <c r="C236" t="s">
        <v>35</v>
      </c>
      <c r="D236" t="s">
        <v>35</v>
      </c>
      <c r="E236" t="s">
        <v>35</v>
      </c>
      <c r="F236" t="s">
        <v>39</v>
      </c>
      <c r="G236" t="s">
        <v>7</v>
      </c>
    </row>
    <row r="237" spans="1:7" x14ac:dyDescent="0.35">
      <c r="A237" t="s">
        <v>12</v>
      </c>
      <c r="B237" t="s">
        <v>31</v>
      </c>
      <c r="C237" t="s">
        <v>31</v>
      </c>
      <c r="D237" t="s">
        <v>31</v>
      </c>
      <c r="E237" t="s">
        <v>35</v>
      </c>
      <c r="F237" t="s">
        <v>39</v>
      </c>
      <c r="G237" t="s">
        <v>5</v>
      </c>
    </row>
    <row r="238" spans="1:7" x14ac:dyDescent="0.35">
      <c r="A238" t="s">
        <v>11</v>
      </c>
      <c r="B238" t="s">
        <v>31</v>
      </c>
      <c r="C238" t="s">
        <v>31</v>
      </c>
      <c r="D238" t="s">
        <v>31</v>
      </c>
      <c r="E238" t="s">
        <v>31</v>
      </c>
      <c r="F238" t="s">
        <v>39</v>
      </c>
      <c r="G238" t="s">
        <v>5</v>
      </c>
    </row>
    <row r="239" spans="1:7" x14ac:dyDescent="0.35">
      <c r="A239" t="s">
        <v>11</v>
      </c>
      <c r="B239" t="s">
        <v>35</v>
      </c>
      <c r="C239" t="s">
        <v>35</v>
      </c>
      <c r="D239" t="s">
        <v>35</v>
      </c>
      <c r="E239" t="s">
        <v>35</v>
      </c>
      <c r="F239" t="s">
        <v>39</v>
      </c>
      <c r="G239" t="s">
        <v>7</v>
      </c>
    </row>
    <row r="240" spans="1:7" x14ac:dyDescent="0.35">
      <c r="A240" t="s">
        <v>12</v>
      </c>
      <c r="B240" t="s">
        <v>35</v>
      </c>
      <c r="C240" t="s">
        <v>39</v>
      </c>
      <c r="D240" t="s">
        <v>39</v>
      </c>
      <c r="E240" t="s">
        <v>35</v>
      </c>
      <c r="F240" t="s">
        <v>35</v>
      </c>
      <c r="G240" t="s">
        <v>7</v>
      </c>
    </row>
    <row r="241" spans="1:7" x14ac:dyDescent="0.35">
      <c r="A241" t="s">
        <v>11</v>
      </c>
      <c r="B241" t="s">
        <v>39</v>
      </c>
      <c r="C241" t="s">
        <v>35</v>
      </c>
      <c r="D241" t="s">
        <v>39</v>
      </c>
      <c r="E241" t="s">
        <v>35</v>
      </c>
      <c r="F241" t="s">
        <v>39</v>
      </c>
      <c r="G241" t="s">
        <v>5</v>
      </c>
    </row>
    <row r="242" spans="1:7" x14ac:dyDescent="0.35">
      <c r="A242" t="s">
        <v>11</v>
      </c>
      <c r="B242" t="s">
        <v>35</v>
      </c>
      <c r="C242" t="s">
        <v>35</v>
      </c>
      <c r="D242" t="s">
        <v>31</v>
      </c>
      <c r="E242" t="s">
        <v>39</v>
      </c>
      <c r="F242" t="s">
        <v>35</v>
      </c>
      <c r="G242" t="s">
        <v>7</v>
      </c>
    </row>
    <row r="243" spans="1:7" x14ac:dyDescent="0.35">
      <c r="A243" t="s">
        <v>11</v>
      </c>
      <c r="B243" t="s">
        <v>35</v>
      </c>
      <c r="C243" t="s">
        <v>35</v>
      </c>
      <c r="D243" t="s">
        <v>31</v>
      </c>
      <c r="E243" t="s">
        <v>39</v>
      </c>
      <c r="F243" t="s">
        <v>35</v>
      </c>
      <c r="G243" t="s">
        <v>5</v>
      </c>
    </row>
    <row r="244" spans="1:7" x14ac:dyDescent="0.35">
      <c r="A244" t="s">
        <v>11</v>
      </c>
      <c r="B244" t="s">
        <v>31</v>
      </c>
      <c r="C244" t="s">
        <v>31</v>
      </c>
      <c r="D244" t="s">
        <v>31</v>
      </c>
      <c r="E244" t="s">
        <v>31</v>
      </c>
      <c r="F244" t="s">
        <v>39</v>
      </c>
      <c r="G244" t="s">
        <v>5</v>
      </c>
    </row>
    <row r="245" spans="1:7" x14ac:dyDescent="0.35">
      <c r="A245" t="s">
        <v>11</v>
      </c>
      <c r="B245" t="s">
        <v>35</v>
      </c>
      <c r="C245" t="s">
        <v>35</v>
      </c>
      <c r="D245" t="s">
        <v>31</v>
      </c>
      <c r="E245" t="s">
        <v>39</v>
      </c>
      <c r="F245" t="s">
        <v>31</v>
      </c>
      <c r="G245" t="s">
        <v>7</v>
      </c>
    </row>
    <row r="246" spans="1:7" x14ac:dyDescent="0.35">
      <c r="A246" t="s">
        <v>12</v>
      </c>
      <c r="B246" t="s">
        <v>39</v>
      </c>
      <c r="C246" t="s">
        <v>39</v>
      </c>
      <c r="D246" t="s">
        <v>39</v>
      </c>
      <c r="E246" t="s">
        <v>39</v>
      </c>
      <c r="F246" t="s">
        <v>39</v>
      </c>
      <c r="G246" t="s">
        <v>7</v>
      </c>
    </row>
    <row r="247" spans="1:7" x14ac:dyDescent="0.35">
      <c r="A247" t="s">
        <v>11</v>
      </c>
      <c r="B247" t="s">
        <v>35</v>
      </c>
      <c r="C247" t="s">
        <v>35</v>
      </c>
      <c r="D247" t="s">
        <v>35</v>
      </c>
      <c r="E247" t="s">
        <v>35</v>
      </c>
      <c r="F247" t="s">
        <v>35</v>
      </c>
      <c r="G247" t="s">
        <v>7</v>
      </c>
    </row>
    <row r="248" spans="1:7" x14ac:dyDescent="0.35">
      <c r="A248" t="s">
        <v>11</v>
      </c>
      <c r="B248" t="s">
        <v>35</v>
      </c>
      <c r="C248" t="s">
        <v>35</v>
      </c>
      <c r="D248" t="s">
        <v>35</v>
      </c>
      <c r="E248" t="s">
        <v>35</v>
      </c>
      <c r="F248" t="s">
        <v>35</v>
      </c>
      <c r="G248" t="s">
        <v>7</v>
      </c>
    </row>
    <row r="249" spans="1:7" x14ac:dyDescent="0.35">
      <c r="A249" t="s">
        <v>12</v>
      </c>
      <c r="B249" t="s">
        <v>35</v>
      </c>
      <c r="C249" t="s">
        <v>35</v>
      </c>
      <c r="D249" t="s">
        <v>39</v>
      </c>
      <c r="E249" t="s">
        <v>31</v>
      </c>
      <c r="F249" t="s">
        <v>39</v>
      </c>
      <c r="G249" t="s">
        <v>5</v>
      </c>
    </row>
    <row r="250" spans="1:7" x14ac:dyDescent="0.35">
      <c r="A250" t="s">
        <v>11</v>
      </c>
      <c r="B250" t="s">
        <v>39</v>
      </c>
      <c r="C250" t="s">
        <v>39</v>
      </c>
      <c r="D250" t="s">
        <v>35</v>
      </c>
      <c r="E250" t="s">
        <v>39</v>
      </c>
      <c r="F250" t="s">
        <v>39</v>
      </c>
      <c r="G250" t="s">
        <v>7</v>
      </c>
    </row>
    <row r="251" spans="1:7" x14ac:dyDescent="0.35">
      <c r="A251" t="s">
        <v>11</v>
      </c>
      <c r="B251" t="s">
        <v>39</v>
      </c>
      <c r="C251" t="s">
        <v>39</v>
      </c>
      <c r="D251" t="s">
        <v>39</v>
      </c>
      <c r="E251" t="s">
        <v>35</v>
      </c>
      <c r="F251" t="s">
        <v>35</v>
      </c>
      <c r="G251" t="s">
        <v>7</v>
      </c>
    </row>
    <row r="252" spans="1:7" x14ac:dyDescent="0.35">
      <c r="A252" t="s">
        <v>11</v>
      </c>
      <c r="B252" t="s">
        <v>35</v>
      </c>
      <c r="C252" t="s">
        <v>35</v>
      </c>
      <c r="D252" t="s">
        <v>31</v>
      </c>
      <c r="E252" t="s">
        <v>35</v>
      </c>
      <c r="F252" t="s">
        <v>35</v>
      </c>
      <c r="G252" t="s">
        <v>5</v>
      </c>
    </row>
    <row r="253" spans="1:7" x14ac:dyDescent="0.35">
      <c r="A253" t="s">
        <v>11</v>
      </c>
      <c r="B253" t="s">
        <v>35</v>
      </c>
      <c r="C253" t="s">
        <v>35</v>
      </c>
      <c r="D253" t="s">
        <v>31</v>
      </c>
      <c r="E253" t="s">
        <v>39</v>
      </c>
      <c r="F253" t="s">
        <v>31</v>
      </c>
      <c r="G253" t="s">
        <v>5</v>
      </c>
    </row>
    <row r="254" spans="1:7" x14ac:dyDescent="0.35">
      <c r="A254" t="s">
        <v>11</v>
      </c>
      <c r="B254" t="s">
        <v>39</v>
      </c>
      <c r="C254" t="s">
        <v>39</v>
      </c>
      <c r="D254" t="s">
        <v>39</v>
      </c>
      <c r="E254" t="s">
        <v>35</v>
      </c>
      <c r="F254" t="s">
        <v>39</v>
      </c>
      <c r="G254" t="s">
        <v>5</v>
      </c>
    </row>
    <row r="255" spans="1:7" x14ac:dyDescent="0.35">
      <c r="A255" t="s">
        <v>12</v>
      </c>
      <c r="B255" t="s">
        <v>35</v>
      </c>
      <c r="C255" t="s">
        <v>31</v>
      </c>
      <c r="D255" t="s">
        <v>39</v>
      </c>
      <c r="E255" t="s">
        <v>31</v>
      </c>
      <c r="F255" t="s">
        <v>39</v>
      </c>
      <c r="G255" t="s">
        <v>5</v>
      </c>
    </row>
    <row r="256" spans="1:7" x14ac:dyDescent="0.35">
      <c r="A256" t="s">
        <v>11</v>
      </c>
      <c r="B256" t="s">
        <v>39</v>
      </c>
      <c r="C256" t="s">
        <v>35</v>
      </c>
      <c r="D256" t="s">
        <v>31</v>
      </c>
      <c r="E256" t="s">
        <v>39</v>
      </c>
      <c r="F256" t="s">
        <v>35</v>
      </c>
      <c r="G256" t="s">
        <v>7</v>
      </c>
    </row>
    <row r="257" spans="1:7" x14ac:dyDescent="0.35">
      <c r="A257" t="s">
        <v>12</v>
      </c>
      <c r="B257" t="s">
        <v>35</v>
      </c>
      <c r="C257" t="s">
        <v>35</v>
      </c>
      <c r="D257" t="s">
        <v>35</v>
      </c>
      <c r="E257" t="s">
        <v>35</v>
      </c>
      <c r="F257" t="s">
        <v>35</v>
      </c>
      <c r="G257" t="s">
        <v>7</v>
      </c>
    </row>
    <row r="258" spans="1:7" x14ac:dyDescent="0.35">
      <c r="A258" t="s">
        <v>11</v>
      </c>
      <c r="B258" t="s">
        <v>35</v>
      </c>
      <c r="C258" t="s">
        <v>35</v>
      </c>
      <c r="D258" t="s">
        <v>35</v>
      </c>
      <c r="E258" t="s">
        <v>35</v>
      </c>
      <c r="F258" t="s">
        <v>35</v>
      </c>
      <c r="G258" t="s">
        <v>5</v>
      </c>
    </row>
    <row r="259" spans="1:7" x14ac:dyDescent="0.35">
      <c r="A259" t="s">
        <v>12</v>
      </c>
      <c r="B259" t="s">
        <v>35</v>
      </c>
      <c r="C259" t="s">
        <v>35</v>
      </c>
      <c r="D259" t="s">
        <v>35</v>
      </c>
      <c r="E259" t="s">
        <v>39</v>
      </c>
      <c r="F259" t="s">
        <v>31</v>
      </c>
      <c r="G259" t="s">
        <v>7</v>
      </c>
    </row>
    <row r="260" spans="1:7" x14ac:dyDescent="0.35">
      <c r="A260" t="s">
        <v>12</v>
      </c>
      <c r="B260" t="s">
        <v>35</v>
      </c>
      <c r="C260" t="s">
        <v>39</v>
      </c>
      <c r="D260" t="s">
        <v>39</v>
      </c>
      <c r="E260" t="s">
        <v>31</v>
      </c>
      <c r="F260" t="s">
        <v>39</v>
      </c>
      <c r="G260" t="s">
        <v>5</v>
      </c>
    </row>
    <row r="261" spans="1:7" x14ac:dyDescent="0.35">
      <c r="A261" t="s">
        <v>11</v>
      </c>
      <c r="B261" t="s">
        <v>35</v>
      </c>
      <c r="C261" t="s">
        <v>39</v>
      </c>
      <c r="D261" t="s">
        <v>35</v>
      </c>
      <c r="E261" t="s">
        <v>39</v>
      </c>
      <c r="F261" t="s">
        <v>35</v>
      </c>
      <c r="G261" t="s">
        <v>7</v>
      </c>
    </row>
    <row r="262" spans="1:7" x14ac:dyDescent="0.35">
      <c r="A262" t="s">
        <v>12</v>
      </c>
      <c r="B262" t="s">
        <v>39</v>
      </c>
      <c r="C262" t="s">
        <v>39</v>
      </c>
      <c r="D262" t="s">
        <v>39</v>
      </c>
      <c r="E262" t="s">
        <v>31</v>
      </c>
      <c r="F262" t="s">
        <v>39</v>
      </c>
      <c r="G262" t="s">
        <v>5</v>
      </c>
    </row>
    <row r="263" spans="1:7" x14ac:dyDescent="0.35">
      <c r="A263" t="s">
        <v>11</v>
      </c>
      <c r="B263" t="s">
        <v>35</v>
      </c>
      <c r="C263" t="s">
        <v>35</v>
      </c>
      <c r="D263" t="s">
        <v>39</v>
      </c>
      <c r="E263" t="s">
        <v>35</v>
      </c>
      <c r="F263" t="s">
        <v>39</v>
      </c>
      <c r="G263" t="s">
        <v>7</v>
      </c>
    </row>
    <row r="264" spans="1:7" x14ac:dyDescent="0.35">
      <c r="A264" t="s">
        <v>12</v>
      </c>
      <c r="B264" t="s">
        <v>39</v>
      </c>
      <c r="C264" t="s">
        <v>39</v>
      </c>
      <c r="D264" t="s">
        <v>39</v>
      </c>
      <c r="E264" t="s">
        <v>39</v>
      </c>
      <c r="F264" t="s">
        <v>35</v>
      </c>
      <c r="G264" t="s">
        <v>7</v>
      </c>
    </row>
    <row r="265" spans="1:7" x14ac:dyDescent="0.35">
      <c r="A265" t="s">
        <v>12</v>
      </c>
      <c r="B265" t="s">
        <v>31</v>
      </c>
      <c r="C265" t="s">
        <v>31</v>
      </c>
      <c r="D265" t="s">
        <v>39</v>
      </c>
      <c r="E265" t="s">
        <v>31</v>
      </c>
      <c r="F265" t="s">
        <v>39</v>
      </c>
      <c r="G265" t="s">
        <v>5</v>
      </c>
    </row>
    <row r="266" spans="1:7" x14ac:dyDescent="0.35">
      <c r="A266" t="s">
        <v>11</v>
      </c>
      <c r="B266" t="s">
        <v>39</v>
      </c>
      <c r="C266" t="s">
        <v>39</v>
      </c>
      <c r="D266" t="s">
        <v>39</v>
      </c>
      <c r="E266" t="s">
        <v>35</v>
      </c>
      <c r="F266" t="s">
        <v>39</v>
      </c>
      <c r="G266" t="s">
        <v>5</v>
      </c>
    </row>
    <row r="267" spans="1:7" x14ac:dyDescent="0.35">
      <c r="A267" t="s">
        <v>12</v>
      </c>
      <c r="B267" t="s">
        <v>39</v>
      </c>
      <c r="C267" t="s">
        <v>39</v>
      </c>
      <c r="D267" t="s">
        <v>39</v>
      </c>
      <c r="E267" t="s">
        <v>31</v>
      </c>
      <c r="F267" t="s">
        <v>39</v>
      </c>
      <c r="G267" t="s">
        <v>5</v>
      </c>
    </row>
    <row r="268" spans="1:7" x14ac:dyDescent="0.35">
      <c r="A268" t="s">
        <v>11</v>
      </c>
      <c r="B268" t="s">
        <v>35</v>
      </c>
      <c r="C268" t="s">
        <v>35</v>
      </c>
      <c r="D268" t="s">
        <v>35</v>
      </c>
      <c r="E268" t="s">
        <v>35</v>
      </c>
      <c r="F268" t="s">
        <v>35</v>
      </c>
      <c r="G268" t="s">
        <v>5</v>
      </c>
    </row>
    <row r="269" spans="1:7" x14ac:dyDescent="0.35">
      <c r="A269" t="s">
        <v>12</v>
      </c>
      <c r="B269" t="s">
        <v>31</v>
      </c>
      <c r="C269" t="s">
        <v>31</v>
      </c>
      <c r="D269" t="s">
        <v>35</v>
      </c>
      <c r="E269" t="s">
        <v>31</v>
      </c>
      <c r="F269" t="s">
        <v>39</v>
      </c>
      <c r="G269" t="s">
        <v>5</v>
      </c>
    </row>
    <row r="270" spans="1:7" x14ac:dyDescent="0.35">
      <c r="A270" t="s">
        <v>11</v>
      </c>
      <c r="B270" t="s">
        <v>31</v>
      </c>
      <c r="C270" t="s">
        <v>31</v>
      </c>
      <c r="D270" t="s">
        <v>31</v>
      </c>
      <c r="E270" t="s">
        <v>35</v>
      </c>
      <c r="F270" t="s">
        <v>35</v>
      </c>
      <c r="G270" t="s">
        <v>5</v>
      </c>
    </row>
    <row r="271" spans="1:7" x14ac:dyDescent="0.35">
      <c r="A271" t="s">
        <v>11</v>
      </c>
      <c r="B271" t="s">
        <v>31</v>
      </c>
      <c r="C271" t="s">
        <v>31</v>
      </c>
      <c r="D271" t="s">
        <v>31</v>
      </c>
      <c r="E271" t="s">
        <v>35</v>
      </c>
      <c r="F271" t="s">
        <v>35</v>
      </c>
      <c r="G271" t="s">
        <v>5</v>
      </c>
    </row>
    <row r="272" spans="1:7" x14ac:dyDescent="0.35">
      <c r="A272" t="s">
        <v>11</v>
      </c>
      <c r="B272" t="s">
        <v>35</v>
      </c>
      <c r="C272" t="s">
        <v>39</v>
      </c>
      <c r="D272" t="s">
        <v>35</v>
      </c>
      <c r="E272" t="s">
        <v>39</v>
      </c>
      <c r="F272" t="s">
        <v>35</v>
      </c>
      <c r="G272" t="s">
        <v>7</v>
      </c>
    </row>
    <row r="273" spans="1:7" x14ac:dyDescent="0.35">
      <c r="A273" t="s">
        <v>11</v>
      </c>
      <c r="B273" t="s">
        <v>39</v>
      </c>
      <c r="C273" t="s">
        <v>35</v>
      </c>
      <c r="D273" t="s">
        <v>35</v>
      </c>
      <c r="E273" t="s">
        <v>35</v>
      </c>
      <c r="F273" t="s">
        <v>35</v>
      </c>
      <c r="G273" t="s">
        <v>5</v>
      </c>
    </row>
    <row r="274" spans="1:7" x14ac:dyDescent="0.35">
      <c r="A274" t="s">
        <v>12</v>
      </c>
      <c r="B274" t="s">
        <v>35</v>
      </c>
      <c r="C274" t="s">
        <v>35</v>
      </c>
      <c r="D274" t="s">
        <v>35</v>
      </c>
      <c r="E274" t="s">
        <v>35</v>
      </c>
      <c r="F274" t="s">
        <v>31</v>
      </c>
      <c r="G274" t="s">
        <v>7</v>
      </c>
    </row>
    <row r="275" spans="1:7" x14ac:dyDescent="0.35">
      <c r="A275" t="s">
        <v>11</v>
      </c>
      <c r="B275" t="s">
        <v>39</v>
      </c>
      <c r="C275" t="s">
        <v>39</v>
      </c>
      <c r="D275" t="s">
        <v>39</v>
      </c>
      <c r="E275" t="s">
        <v>39</v>
      </c>
      <c r="F275" t="s">
        <v>31</v>
      </c>
      <c r="G275" t="s">
        <v>7</v>
      </c>
    </row>
    <row r="276" spans="1:7" x14ac:dyDescent="0.35">
      <c r="A276" t="s">
        <v>12</v>
      </c>
      <c r="B276" t="s">
        <v>35</v>
      </c>
      <c r="C276" t="s">
        <v>35</v>
      </c>
      <c r="D276" t="s">
        <v>35</v>
      </c>
      <c r="E276" t="s">
        <v>35</v>
      </c>
      <c r="F276" t="s">
        <v>35</v>
      </c>
      <c r="G276" t="s">
        <v>7</v>
      </c>
    </row>
    <row r="277" spans="1:7" x14ac:dyDescent="0.35">
      <c r="A277" t="s">
        <v>11</v>
      </c>
      <c r="B277" t="s">
        <v>39</v>
      </c>
      <c r="C277" t="s">
        <v>39</v>
      </c>
      <c r="D277" t="s">
        <v>39</v>
      </c>
      <c r="E277" t="s">
        <v>35</v>
      </c>
      <c r="F277" t="s">
        <v>35</v>
      </c>
      <c r="G277" t="s">
        <v>7</v>
      </c>
    </row>
    <row r="278" spans="1:7" x14ac:dyDescent="0.35">
      <c r="A278" t="s">
        <v>11</v>
      </c>
      <c r="B278" t="s">
        <v>35</v>
      </c>
      <c r="C278" t="s">
        <v>39</v>
      </c>
      <c r="D278" t="s">
        <v>35</v>
      </c>
      <c r="E278" t="s">
        <v>39</v>
      </c>
      <c r="F278" t="s">
        <v>35</v>
      </c>
      <c r="G278" t="s">
        <v>7</v>
      </c>
    </row>
    <row r="279" spans="1:7" x14ac:dyDescent="0.35">
      <c r="A279" t="s">
        <v>11</v>
      </c>
      <c r="B279" t="s">
        <v>31</v>
      </c>
      <c r="C279" t="s">
        <v>31</v>
      </c>
      <c r="D279" t="s">
        <v>31</v>
      </c>
      <c r="E279" t="s">
        <v>31</v>
      </c>
      <c r="F279" t="s">
        <v>39</v>
      </c>
      <c r="G279" t="s">
        <v>5</v>
      </c>
    </row>
    <row r="280" spans="1:7" x14ac:dyDescent="0.35">
      <c r="A280" t="s">
        <v>11</v>
      </c>
      <c r="B280" t="s">
        <v>35</v>
      </c>
      <c r="C280" t="s">
        <v>35</v>
      </c>
      <c r="D280" t="s">
        <v>31</v>
      </c>
      <c r="E280" t="s">
        <v>39</v>
      </c>
      <c r="F280" t="s">
        <v>39</v>
      </c>
      <c r="G280" t="s">
        <v>5</v>
      </c>
    </row>
    <row r="281" spans="1:7" x14ac:dyDescent="0.35">
      <c r="A281" t="s">
        <v>11</v>
      </c>
      <c r="B281" t="s">
        <v>39</v>
      </c>
      <c r="C281" t="s">
        <v>39</v>
      </c>
      <c r="D281" t="s">
        <v>35</v>
      </c>
      <c r="E281" t="s">
        <v>39</v>
      </c>
      <c r="F281" t="s">
        <v>39</v>
      </c>
      <c r="G281" t="s">
        <v>7</v>
      </c>
    </row>
    <row r="282" spans="1:7" x14ac:dyDescent="0.35">
      <c r="A282" t="s">
        <v>11</v>
      </c>
      <c r="B282" t="s">
        <v>35</v>
      </c>
      <c r="C282" t="s">
        <v>35</v>
      </c>
      <c r="D282" t="s">
        <v>35</v>
      </c>
      <c r="E282" t="s">
        <v>35</v>
      </c>
      <c r="F282" t="s">
        <v>35</v>
      </c>
      <c r="G282" t="s">
        <v>7</v>
      </c>
    </row>
    <row r="283" spans="1:7" x14ac:dyDescent="0.35">
      <c r="A283" t="s">
        <v>12</v>
      </c>
      <c r="B283" t="s">
        <v>35</v>
      </c>
      <c r="C283" t="s">
        <v>35</v>
      </c>
      <c r="D283" t="s">
        <v>39</v>
      </c>
      <c r="E283" t="s">
        <v>31</v>
      </c>
      <c r="F283" t="s">
        <v>39</v>
      </c>
      <c r="G283" t="s">
        <v>7</v>
      </c>
    </row>
    <row r="284" spans="1:7" x14ac:dyDescent="0.35">
      <c r="A284" t="s">
        <v>12</v>
      </c>
      <c r="B284" t="s">
        <v>35</v>
      </c>
      <c r="C284" t="s">
        <v>31</v>
      </c>
      <c r="D284" t="s">
        <v>35</v>
      </c>
      <c r="E284" t="s">
        <v>31</v>
      </c>
      <c r="F284" t="s">
        <v>39</v>
      </c>
      <c r="G284" t="s">
        <v>5</v>
      </c>
    </row>
    <row r="285" spans="1:7" x14ac:dyDescent="0.35">
      <c r="A285" t="s">
        <v>11</v>
      </c>
      <c r="B285" t="s">
        <v>39</v>
      </c>
      <c r="C285" t="s">
        <v>39</v>
      </c>
      <c r="D285" t="s">
        <v>35</v>
      </c>
      <c r="E285" t="s">
        <v>39</v>
      </c>
      <c r="F285" t="s">
        <v>35</v>
      </c>
      <c r="G285" t="s">
        <v>7</v>
      </c>
    </row>
    <row r="286" spans="1:7" x14ac:dyDescent="0.35">
      <c r="A286" t="s">
        <v>11</v>
      </c>
      <c r="B286" t="s">
        <v>31</v>
      </c>
      <c r="C286" t="s">
        <v>31</v>
      </c>
      <c r="D286" t="s">
        <v>31</v>
      </c>
      <c r="E286" t="s">
        <v>35</v>
      </c>
      <c r="F286" t="s">
        <v>31</v>
      </c>
      <c r="G286" t="s">
        <v>7</v>
      </c>
    </row>
    <row r="287" spans="1:7" x14ac:dyDescent="0.35">
      <c r="A287" t="s">
        <v>12</v>
      </c>
      <c r="B287" t="s">
        <v>39</v>
      </c>
      <c r="C287" t="s">
        <v>39</v>
      </c>
      <c r="D287" t="s">
        <v>39</v>
      </c>
      <c r="E287" t="s">
        <v>35</v>
      </c>
      <c r="F287" t="s">
        <v>35</v>
      </c>
      <c r="G287" t="s">
        <v>7</v>
      </c>
    </row>
    <row r="288" spans="1:7" x14ac:dyDescent="0.35">
      <c r="A288" t="s">
        <v>12</v>
      </c>
      <c r="B288" t="s">
        <v>31</v>
      </c>
      <c r="C288" t="s">
        <v>35</v>
      </c>
      <c r="D288" t="s">
        <v>35</v>
      </c>
      <c r="E288" t="s">
        <v>35</v>
      </c>
      <c r="F288" t="s">
        <v>39</v>
      </c>
      <c r="G288" t="s">
        <v>7</v>
      </c>
    </row>
    <row r="289" spans="1:7" x14ac:dyDescent="0.35">
      <c r="A289" t="s">
        <v>11</v>
      </c>
      <c r="B289" t="s">
        <v>35</v>
      </c>
      <c r="C289" t="s">
        <v>39</v>
      </c>
      <c r="D289" t="s">
        <v>39</v>
      </c>
      <c r="E289" t="s">
        <v>35</v>
      </c>
      <c r="F289" t="s">
        <v>35</v>
      </c>
      <c r="G289" t="s">
        <v>7</v>
      </c>
    </row>
    <row r="290" spans="1:7" x14ac:dyDescent="0.35">
      <c r="A290" t="s">
        <v>12</v>
      </c>
      <c r="B290" t="s">
        <v>35</v>
      </c>
      <c r="C290" t="s">
        <v>35</v>
      </c>
      <c r="D290" t="s">
        <v>35</v>
      </c>
      <c r="E290" t="s">
        <v>35</v>
      </c>
      <c r="F290" t="s">
        <v>39</v>
      </c>
      <c r="G290" t="s">
        <v>5</v>
      </c>
    </row>
    <row r="291" spans="1:7" x14ac:dyDescent="0.35">
      <c r="A291" t="s">
        <v>12</v>
      </c>
      <c r="B291" t="s">
        <v>35</v>
      </c>
      <c r="C291" t="s">
        <v>39</v>
      </c>
      <c r="D291" t="s">
        <v>39</v>
      </c>
      <c r="E291" t="s">
        <v>31</v>
      </c>
      <c r="F291" t="s">
        <v>39</v>
      </c>
      <c r="G291" t="s">
        <v>5</v>
      </c>
    </row>
    <row r="292" spans="1:7" x14ac:dyDescent="0.35">
      <c r="A292" t="s">
        <v>11</v>
      </c>
      <c r="B292" t="s">
        <v>35</v>
      </c>
      <c r="C292" t="s">
        <v>31</v>
      </c>
      <c r="D292" t="s">
        <v>31</v>
      </c>
      <c r="E292" t="s">
        <v>39</v>
      </c>
      <c r="F292" t="s">
        <v>31</v>
      </c>
      <c r="G292" t="s">
        <v>7</v>
      </c>
    </row>
    <row r="293" spans="1:7" x14ac:dyDescent="0.35">
      <c r="A293" t="s">
        <v>12</v>
      </c>
      <c r="B293" t="s">
        <v>35</v>
      </c>
      <c r="C293" t="s">
        <v>35</v>
      </c>
      <c r="D293" t="s">
        <v>31</v>
      </c>
      <c r="E293" t="s">
        <v>35</v>
      </c>
      <c r="F293" t="s">
        <v>39</v>
      </c>
      <c r="G293" t="s">
        <v>5</v>
      </c>
    </row>
    <row r="294" spans="1:7" x14ac:dyDescent="0.35">
      <c r="A294" t="s">
        <v>12</v>
      </c>
      <c r="B294" t="s">
        <v>35</v>
      </c>
      <c r="C294" t="s">
        <v>35</v>
      </c>
      <c r="D294" t="s">
        <v>35</v>
      </c>
      <c r="E294" t="s">
        <v>35</v>
      </c>
      <c r="F294" t="s">
        <v>39</v>
      </c>
      <c r="G294" t="s">
        <v>5</v>
      </c>
    </row>
    <row r="295" spans="1:7" x14ac:dyDescent="0.35">
      <c r="A295" t="s">
        <v>11</v>
      </c>
      <c r="B295" t="s">
        <v>35</v>
      </c>
      <c r="C295" t="s">
        <v>35</v>
      </c>
      <c r="D295" t="s">
        <v>35</v>
      </c>
      <c r="E295" t="s">
        <v>35</v>
      </c>
      <c r="F295" t="s">
        <v>35</v>
      </c>
      <c r="G295" t="s">
        <v>7</v>
      </c>
    </row>
    <row r="296" spans="1:7" x14ac:dyDescent="0.35">
      <c r="A296" t="s">
        <v>11</v>
      </c>
      <c r="B296" t="s">
        <v>39</v>
      </c>
      <c r="C296" t="s">
        <v>39</v>
      </c>
      <c r="D296" t="s">
        <v>35</v>
      </c>
      <c r="E296" t="s">
        <v>39</v>
      </c>
      <c r="F296" t="s">
        <v>35</v>
      </c>
      <c r="G296" t="s">
        <v>7</v>
      </c>
    </row>
    <row r="297" spans="1:7" x14ac:dyDescent="0.35">
      <c r="A297" t="s">
        <v>12</v>
      </c>
      <c r="B297" t="s">
        <v>35</v>
      </c>
      <c r="C297" t="s">
        <v>35</v>
      </c>
      <c r="D297" t="s">
        <v>35</v>
      </c>
      <c r="E297" t="s">
        <v>35</v>
      </c>
      <c r="F297" t="s">
        <v>35</v>
      </c>
      <c r="G297" t="s">
        <v>7</v>
      </c>
    </row>
    <row r="298" spans="1:7" x14ac:dyDescent="0.35">
      <c r="A298" t="s">
        <v>11</v>
      </c>
      <c r="B298" t="s">
        <v>31</v>
      </c>
      <c r="C298" t="s">
        <v>31</v>
      </c>
      <c r="D298" t="s">
        <v>39</v>
      </c>
      <c r="E298" t="s">
        <v>31</v>
      </c>
      <c r="F298" t="s">
        <v>35</v>
      </c>
      <c r="G298" t="s">
        <v>5</v>
      </c>
    </row>
    <row r="299" spans="1:7" x14ac:dyDescent="0.35">
      <c r="A299" t="s">
        <v>11</v>
      </c>
      <c r="B299" t="s">
        <v>31</v>
      </c>
      <c r="C299" t="s">
        <v>31</v>
      </c>
      <c r="D299" t="s">
        <v>35</v>
      </c>
      <c r="E299" t="s">
        <v>31</v>
      </c>
      <c r="F299" t="s">
        <v>31</v>
      </c>
      <c r="G299" t="s">
        <v>5</v>
      </c>
    </row>
    <row r="300" spans="1:7" x14ac:dyDescent="0.35">
      <c r="A300" t="s">
        <v>11</v>
      </c>
      <c r="B300" t="s">
        <v>31</v>
      </c>
      <c r="C300" t="s">
        <v>31</v>
      </c>
      <c r="D300" t="s">
        <v>35</v>
      </c>
      <c r="E300" t="s">
        <v>31</v>
      </c>
      <c r="F300" t="s">
        <v>35</v>
      </c>
      <c r="G300" t="s">
        <v>5</v>
      </c>
    </row>
    <row r="301" spans="1:7" x14ac:dyDescent="0.35">
      <c r="A301" t="s">
        <v>12</v>
      </c>
      <c r="B301" t="s">
        <v>39</v>
      </c>
      <c r="C301" t="s">
        <v>35</v>
      </c>
      <c r="D301" t="s">
        <v>35</v>
      </c>
      <c r="E301" t="s">
        <v>31</v>
      </c>
      <c r="F301" t="s">
        <v>39</v>
      </c>
      <c r="G301" t="s">
        <v>5</v>
      </c>
    </row>
    <row r="302" spans="1:7" x14ac:dyDescent="0.35">
      <c r="A302" t="s">
        <v>12</v>
      </c>
      <c r="B302" t="s">
        <v>35</v>
      </c>
      <c r="C302" t="s">
        <v>35</v>
      </c>
      <c r="D302" t="s">
        <v>35</v>
      </c>
      <c r="E302" t="s">
        <v>35</v>
      </c>
      <c r="F302" t="s">
        <v>35</v>
      </c>
      <c r="G302" t="s">
        <v>5</v>
      </c>
    </row>
    <row r="303" spans="1:7" x14ac:dyDescent="0.35">
      <c r="A303" t="s">
        <v>11</v>
      </c>
      <c r="B303" t="s">
        <v>39</v>
      </c>
      <c r="C303" t="s">
        <v>39</v>
      </c>
      <c r="D303" t="s">
        <v>39</v>
      </c>
      <c r="E303" t="s">
        <v>35</v>
      </c>
      <c r="F303" t="s">
        <v>39</v>
      </c>
      <c r="G303" t="s">
        <v>5</v>
      </c>
    </row>
    <row r="304" spans="1:7" x14ac:dyDescent="0.35">
      <c r="A304" t="s">
        <v>12</v>
      </c>
      <c r="B304" t="s">
        <v>31</v>
      </c>
      <c r="C304" t="s">
        <v>31</v>
      </c>
      <c r="D304" t="s">
        <v>35</v>
      </c>
      <c r="E304" t="s">
        <v>31</v>
      </c>
      <c r="F304" t="s">
        <v>35</v>
      </c>
      <c r="G304" t="s">
        <v>5</v>
      </c>
    </row>
    <row r="305" spans="1:7" x14ac:dyDescent="0.35">
      <c r="A305" t="s">
        <v>12</v>
      </c>
      <c r="B305" t="s">
        <v>31</v>
      </c>
      <c r="C305" t="s">
        <v>31</v>
      </c>
      <c r="D305" t="s">
        <v>31</v>
      </c>
      <c r="E305" t="s">
        <v>31</v>
      </c>
      <c r="F305" t="s">
        <v>39</v>
      </c>
      <c r="G305" t="s">
        <v>5</v>
      </c>
    </row>
    <row r="306" spans="1:7" x14ac:dyDescent="0.35">
      <c r="A306" t="s">
        <v>12</v>
      </c>
      <c r="B306" t="s">
        <v>31</v>
      </c>
      <c r="C306" t="s">
        <v>31</v>
      </c>
      <c r="D306" t="s">
        <v>31</v>
      </c>
      <c r="E306" t="s">
        <v>35</v>
      </c>
      <c r="F306" t="s">
        <v>39</v>
      </c>
      <c r="G306" t="s">
        <v>5</v>
      </c>
    </row>
    <row r="307" spans="1:7" x14ac:dyDescent="0.35">
      <c r="A307" t="s">
        <v>11</v>
      </c>
      <c r="B307" t="s">
        <v>31</v>
      </c>
      <c r="C307" t="s">
        <v>31</v>
      </c>
      <c r="D307" t="s">
        <v>35</v>
      </c>
      <c r="E307" t="s">
        <v>31</v>
      </c>
      <c r="F307" t="s">
        <v>39</v>
      </c>
      <c r="G307" t="s">
        <v>5</v>
      </c>
    </row>
    <row r="308" spans="1:7" x14ac:dyDescent="0.35">
      <c r="A308" t="s">
        <v>11</v>
      </c>
      <c r="B308" t="s">
        <v>39</v>
      </c>
      <c r="C308" t="s">
        <v>39</v>
      </c>
      <c r="D308" t="s">
        <v>39</v>
      </c>
      <c r="E308" t="s">
        <v>35</v>
      </c>
      <c r="F308" t="s">
        <v>39</v>
      </c>
      <c r="G308" t="s">
        <v>5</v>
      </c>
    </row>
    <row r="309" spans="1:7" x14ac:dyDescent="0.35">
      <c r="A309" t="s">
        <v>12</v>
      </c>
      <c r="B309" t="s">
        <v>35</v>
      </c>
      <c r="C309" t="s">
        <v>35</v>
      </c>
      <c r="D309" t="s">
        <v>35</v>
      </c>
      <c r="E309" t="s">
        <v>35</v>
      </c>
      <c r="F309" t="s">
        <v>35</v>
      </c>
      <c r="G309" t="s">
        <v>7</v>
      </c>
    </row>
    <row r="310" spans="1:7" x14ac:dyDescent="0.35">
      <c r="A310" t="s">
        <v>11</v>
      </c>
      <c r="B310" t="s">
        <v>35</v>
      </c>
      <c r="C310" t="s">
        <v>35</v>
      </c>
      <c r="D310" t="s">
        <v>35</v>
      </c>
      <c r="E310" t="s">
        <v>35</v>
      </c>
      <c r="F310" t="s">
        <v>39</v>
      </c>
      <c r="G310" t="s">
        <v>5</v>
      </c>
    </row>
    <row r="311" spans="1:7" x14ac:dyDescent="0.35">
      <c r="A311" t="s">
        <v>12</v>
      </c>
      <c r="B311" t="s">
        <v>31</v>
      </c>
      <c r="C311" t="s">
        <v>35</v>
      </c>
      <c r="D311" t="s">
        <v>35</v>
      </c>
      <c r="E311" t="s">
        <v>31</v>
      </c>
      <c r="F311" t="s">
        <v>39</v>
      </c>
      <c r="G311" t="s">
        <v>5</v>
      </c>
    </row>
    <row r="312" spans="1:7" x14ac:dyDescent="0.35">
      <c r="A312" t="s">
        <v>11</v>
      </c>
      <c r="B312" t="s">
        <v>35</v>
      </c>
      <c r="C312" t="s">
        <v>35</v>
      </c>
      <c r="D312" t="s">
        <v>31</v>
      </c>
      <c r="E312" t="s">
        <v>39</v>
      </c>
      <c r="F312" t="s">
        <v>39</v>
      </c>
      <c r="G312" t="s">
        <v>5</v>
      </c>
    </row>
    <row r="313" spans="1:7" x14ac:dyDescent="0.35">
      <c r="A313" t="s">
        <v>11</v>
      </c>
      <c r="B313" t="s">
        <v>39</v>
      </c>
      <c r="C313" t="s">
        <v>39</v>
      </c>
      <c r="D313" t="s">
        <v>39</v>
      </c>
      <c r="E313" t="s">
        <v>39</v>
      </c>
      <c r="F313" t="s">
        <v>39</v>
      </c>
      <c r="G313" t="s">
        <v>7</v>
      </c>
    </row>
    <row r="314" spans="1:7" x14ac:dyDescent="0.35">
      <c r="A314" t="s">
        <v>11</v>
      </c>
      <c r="B314" t="s">
        <v>31</v>
      </c>
      <c r="C314" t="s">
        <v>35</v>
      </c>
      <c r="D314" t="s">
        <v>35</v>
      </c>
      <c r="E314" t="s">
        <v>35</v>
      </c>
      <c r="F314" t="s">
        <v>35</v>
      </c>
      <c r="G314" t="s">
        <v>7</v>
      </c>
    </row>
    <row r="315" spans="1:7" x14ac:dyDescent="0.35">
      <c r="A315" t="s">
        <v>11</v>
      </c>
      <c r="B315" t="s">
        <v>35</v>
      </c>
      <c r="C315" t="s">
        <v>35</v>
      </c>
      <c r="D315" t="s">
        <v>35</v>
      </c>
      <c r="E315" t="s">
        <v>35</v>
      </c>
      <c r="F315" t="s">
        <v>35</v>
      </c>
      <c r="G315" t="s">
        <v>5</v>
      </c>
    </row>
    <row r="316" spans="1:7" x14ac:dyDescent="0.35">
      <c r="A316" t="s">
        <v>11</v>
      </c>
      <c r="B316" t="s">
        <v>35</v>
      </c>
      <c r="C316" t="s">
        <v>35</v>
      </c>
      <c r="D316" t="s">
        <v>35</v>
      </c>
      <c r="E316" t="s">
        <v>35</v>
      </c>
      <c r="F316" t="s">
        <v>39</v>
      </c>
      <c r="G316" t="s">
        <v>5</v>
      </c>
    </row>
    <row r="317" spans="1:7" x14ac:dyDescent="0.35">
      <c r="A317" t="s">
        <v>11</v>
      </c>
      <c r="B317" t="s">
        <v>35</v>
      </c>
      <c r="C317" t="s">
        <v>35</v>
      </c>
      <c r="D317" t="s">
        <v>39</v>
      </c>
      <c r="E317" t="s">
        <v>31</v>
      </c>
      <c r="F317" t="s">
        <v>39</v>
      </c>
      <c r="G317" t="s">
        <v>5</v>
      </c>
    </row>
    <row r="318" spans="1:7" x14ac:dyDescent="0.35">
      <c r="A318" t="s">
        <v>12</v>
      </c>
      <c r="B318" t="s">
        <v>39</v>
      </c>
      <c r="C318" t="s">
        <v>39</v>
      </c>
      <c r="D318" t="s">
        <v>35</v>
      </c>
      <c r="E318" t="s">
        <v>35</v>
      </c>
      <c r="F318" t="s">
        <v>39</v>
      </c>
      <c r="G318" t="s">
        <v>5</v>
      </c>
    </row>
    <row r="319" spans="1:7" x14ac:dyDescent="0.35">
      <c r="A319" t="s">
        <v>12</v>
      </c>
      <c r="B319" t="s">
        <v>39</v>
      </c>
      <c r="C319" t="s">
        <v>39</v>
      </c>
      <c r="D319" t="s">
        <v>39</v>
      </c>
      <c r="E319" t="s">
        <v>39</v>
      </c>
      <c r="F319" t="s">
        <v>35</v>
      </c>
      <c r="G319" t="s">
        <v>7</v>
      </c>
    </row>
    <row r="320" spans="1:7" x14ac:dyDescent="0.35">
      <c r="A320" t="s">
        <v>12</v>
      </c>
      <c r="B320" t="s">
        <v>35</v>
      </c>
      <c r="C320" t="s">
        <v>31</v>
      </c>
      <c r="D320" t="s">
        <v>35</v>
      </c>
      <c r="E320" t="s">
        <v>35</v>
      </c>
      <c r="F320" t="s">
        <v>31</v>
      </c>
      <c r="G320" t="s">
        <v>7</v>
      </c>
    </row>
    <row r="321" spans="1:7" x14ac:dyDescent="0.35">
      <c r="A321" t="s">
        <v>12</v>
      </c>
      <c r="B321" t="s">
        <v>31</v>
      </c>
      <c r="C321" t="s">
        <v>35</v>
      </c>
      <c r="D321" t="s">
        <v>39</v>
      </c>
      <c r="E321" t="s">
        <v>31</v>
      </c>
      <c r="F321" t="s">
        <v>35</v>
      </c>
      <c r="G321" t="s">
        <v>5</v>
      </c>
    </row>
    <row r="322" spans="1:7" x14ac:dyDescent="0.35">
      <c r="A322" t="s">
        <v>12</v>
      </c>
      <c r="B322" t="s">
        <v>39</v>
      </c>
      <c r="C322" t="s">
        <v>39</v>
      </c>
      <c r="D322" t="s">
        <v>39</v>
      </c>
      <c r="E322" t="s">
        <v>39</v>
      </c>
      <c r="F322" t="s">
        <v>31</v>
      </c>
      <c r="G322" t="s">
        <v>7</v>
      </c>
    </row>
    <row r="323" spans="1:7" x14ac:dyDescent="0.35">
      <c r="A323" t="s">
        <v>12</v>
      </c>
      <c r="B323" t="s">
        <v>31</v>
      </c>
      <c r="C323" t="s">
        <v>31</v>
      </c>
      <c r="D323" t="s">
        <v>31</v>
      </c>
      <c r="E323" t="s">
        <v>35</v>
      </c>
      <c r="F323" t="s">
        <v>35</v>
      </c>
      <c r="G323" t="s">
        <v>5</v>
      </c>
    </row>
    <row r="324" spans="1:7" x14ac:dyDescent="0.35">
      <c r="A324" t="s">
        <v>11</v>
      </c>
      <c r="B324" t="s">
        <v>39</v>
      </c>
      <c r="C324" t="s">
        <v>35</v>
      </c>
      <c r="D324" t="s">
        <v>39</v>
      </c>
      <c r="E324" t="s">
        <v>35</v>
      </c>
      <c r="F324" t="s">
        <v>31</v>
      </c>
      <c r="G324" t="s">
        <v>7</v>
      </c>
    </row>
    <row r="325" spans="1:7" x14ac:dyDescent="0.35">
      <c r="A325" t="s">
        <v>11</v>
      </c>
      <c r="B325" t="s">
        <v>31</v>
      </c>
      <c r="C325" t="s">
        <v>31</v>
      </c>
      <c r="D325" t="s">
        <v>39</v>
      </c>
      <c r="E325" t="s">
        <v>31</v>
      </c>
      <c r="F325" t="s">
        <v>35</v>
      </c>
      <c r="G325" t="s">
        <v>5</v>
      </c>
    </row>
    <row r="326" spans="1:7" x14ac:dyDescent="0.35">
      <c r="A326" t="s">
        <v>12</v>
      </c>
      <c r="B326" t="s">
        <v>39</v>
      </c>
      <c r="C326" t="s">
        <v>39</v>
      </c>
      <c r="D326" t="s">
        <v>39</v>
      </c>
      <c r="E326" t="s">
        <v>35</v>
      </c>
      <c r="F326" t="s">
        <v>35</v>
      </c>
      <c r="G326" t="s">
        <v>5</v>
      </c>
    </row>
    <row r="327" spans="1:7" x14ac:dyDescent="0.35">
      <c r="A327" t="s">
        <v>11</v>
      </c>
      <c r="B327" t="s">
        <v>31</v>
      </c>
      <c r="C327" t="s">
        <v>31</v>
      </c>
      <c r="D327" t="s">
        <v>31</v>
      </c>
      <c r="E327" t="s">
        <v>39</v>
      </c>
      <c r="F327" t="s">
        <v>35</v>
      </c>
      <c r="G327" t="s">
        <v>7</v>
      </c>
    </row>
    <row r="328" spans="1:7" x14ac:dyDescent="0.35">
      <c r="A328" t="s">
        <v>12</v>
      </c>
      <c r="B328" t="s">
        <v>39</v>
      </c>
      <c r="C328" t="s">
        <v>39</v>
      </c>
      <c r="D328" t="s">
        <v>39</v>
      </c>
      <c r="E328" t="s">
        <v>39</v>
      </c>
      <c r="F328" t="s">
        <v>35</v>
      </c>
      <c r="G328" t="s">
        <v>7</v>
      </c>
    </row>
    <row r="329" spans="1:7" x14ac:dyDescent="0.35">
      <c r="A329" t="s">
        <v>11</v>
      </c>
      <c r="B329" t="s">
        <v>35</v>
      </c>
      <c r="C329" t="s">
        <v>35</v>
      </c>
      <c r="D329" t="s">
        <v>35</v>
      </c>
      <c r="E329" t="s">
        <v>35</v>
      </c>
      <c r="F329" t="s">
        <v>35</v>
      </c>
      <c r="G329" t="s">
        <v>5</v>
      </c>
    </row>
    <row r="330" spans="1:7" x14ac:dyDescent="0.35">
      <c r="A330" t="s">
        <v>12</v>
      </c>
      <c r="B330" t="s">
        <v>35</v>
      </c>
      <c r="C330" t="s">
        <v>35</v>
      </c>
      <c r="D330" t="s">
        <v>35</v>
      </c>
      <c r="E330" t="s">
        <v>35</v>
      </c>
      <c r="F330" t="s">
        <v>39</v>
      </c>
      <c r="G330" t="s">
        <v>5</v>
      </c>
    </row>
    <row r="331" spans="1:7" x14ac:dyDescent="0.35">
      <c r="A331" t="s">
        <v>11</v>
      </c>
      <c r="B331" t="s">
        <v>35</v>
      </c>
      <c r="C331" t="s">
        <v>35</v>
      </c>
      <c r="D331" t="s">
        <v>35</v>
      </c>
      <c r="E331" t="s">
        <v>35</v>
      </c>
      <c r="F331" t="s">
        <v>35</v>
      </c>
      <c r="G331" t="s">
        <v>7</v>
      </c>
    </row>
    <row r="332" spans="1:7" x14ac:dyDescent="0.35">
      <c r="A332" t="s">
        <v>11</v>
      </c>
      <c r="B332" t="s">
        <v>35</v>
      </c>
      <c r="C332" t="s">
        <v>31</v>
      </c>
      <c r="D332" t="s">
        <v>31</v>
      </c>
      <c r="E332" t="s">
        <v>35</v>
      </c>
      <c r="F332" t="s">
        <v>35</v>
      </c>
      <c r="G332" t="s">
        <v>5</v>
      </c>
    </row>
    <row r="333" spans="1:7" x14ac:dyDescent="0.35">
      <c r="A333" t="s">
        <v>12</v>
      </c>
      <c r="B333" t="s">
        <v>35</v>
      </c>
      <c r="C333" t="s">
        <v>39</v>
      </c>
      <c r="D333" t="s">
        <v>39</v>
      </c>
      <c r="E333" t="s">
        <v>31</v>
      </c>
      <c r="F333" t="s">
        <v>35</v>
      </c>
      <c r="G333" t="s">
        <v>7</v>
      </c>
    </row>
    <row r="334" spans="1:7" x14ac:dyDescent="0.35">
      <c r="A334" t="s">
        <v>12</v>
      </c>
      <c r="B334" t="s">
        <v>35</v>
      </c>
      <c r="C334" t="s">
        <v>35</v>
      </c>
      <c r="D334" t="s">
        <v>35</v>
      </c>
      <c r="E334" t="s">
        <v>31</v>
      </c>
      <c r="F334" t="s">
        <v>39</v>
      </c>
      <c r="G334" t="s">
        <v>5</v>
      </c>
    </row>
    <row r="335" spans="1:7" x14ac:dyDescent="0.35">
      <c r="A335" t="s">
        <v>12</v>
      </c>
      <c r="B335" t="s">
        <v>39</v>
      </c>
      <c r="C335" t="s">
        <v>39</v>
      </c>
      <c r="D335" t="s">
        <v>39</v>
      </c>
      <c r="E335" t="s">
        <v>39</v>
      </c>
      <c r="F335" t="s">
        <v>31</v>
      </c>
      <c r="G335" t="s">
        <v>7</v>
      </c>
    </row>
    <row r="336" spans="1:7" x14ac:dyDescent="0.35">
      <c r="A336" t="s">
        <v>11</v>
      </c>
      <c r="B336" t="s">
        <v>35</v>
      </c>
      <c r="C336" t="s">
        <v>35</v>
      </c>
      <c r="D336" t="s">
        <v>35</v>
      </c>
      <c r="E336" t="s">
        <v>31</v>
      </c>
      <c r="F336" t="s">
        <v>39</v>
      </c>
      <c r="G336" t="s">
        <v>5</v>
      </c>
    </row>
    <row r="337" spans="1:7" x14ac:dyDescent="0.35">
      <c r="A337" t="s">
        <v>11</v>
      </c>
      <c r="B337" t="s">
        <v>35</v>
      </c>
      <c r="C337" t="s">
        <v>39</v>
      </c>
      <c r="D337" t="s">
        <v>35</v>
      </c>
      <c r="E337" t="s">
        <v>39</v>
      </c>
      <c r="F337" t="s">
        <v>35</v>
      </c>
      <c r="G337" t="s">
        <v>7</v>
      </c>
    </row>
    <row r="338" spans="1:7" x14ac:dyDescent="0.35">
      <c r="A338" t="s">
        <v>12</v>
      </c>
      <c r="B338" t="s">
        <v>35</v>
      </c>
      <c r="C338" t="s">
        <v>35</v>
      </c>
      <c r="D338" t="s">
        <v>39</v>
      </c>
      <c r="E338" t="s">
        <v>31</v>
      </c>
      <c r="F338" t="s">
        <v>39</v>
      </c>
      <c r="G338" t="s">
        <v>5</v>
      </c>
    </row>
    <row r="339" spans="1:7" x14ac:dyDescent="0.35">
      <c r="A339" t="s">
        <v>11</v>
      </c>
      <c r="B339" t="s">
        <v>35</v>
      </c>
      <c r="C339" t="s">
        <v>35</v>
      </c>
      <c r="D339" t="s">
        <v>35</v>
      </c>
      <c r="E339" t="s">
        <v>39</v>
      </c>
      <c r="F339" t="s">
        <v>39</v>
      </c>
      <c r="G339" t="s">
        <v>7</v>
      </c>
    </row>
    <row r="340" spans="1:7" x14ac:dyDescent="0.35">
      <c r="A340" t="s">
        <v>11</v>
      </c>
      <c r="B340" t="s">
        <v>31</v>
      </c>
      <c r="C340" t="s">
        <v>31</v>
      </c>
      <c r="D340" t="s">
        <v>35</v>
      </c>
      <c r="E340" t="s">
        <v>31</v>
      </c>
      <c r="F340" t="s">
        <v>39</v>
      </c>
      <c r="G340" t="s">
        <v>5</v>
      </c>
    </row>
    <row r="341" spans="1:7" x14ac:dyDescent="0.35">
      <c r="A341" t="s">
        <v>12</v>
      </c>
      <c r="B341" t="s">
        <v>31</v>
      </c>
      <c r="C341" t="s">
        <v>35</v>
      </c>
      <c r="D341" t="s">
        <v>35</v>
      </c>
      <c r="E341" t="s">
        <v>31</v>
      </c>
      <c r="F341" t="s">
        <v>39</v>
      </c>
      <c r="G341" t="s">
        <v>5</v>
      </c>
    </row>
    <row r="342" spans="1:7" x14ac:dyDescent="0.35">
      <c r="A342" t="s">
        <v>12</v>
      </c>
      <c r="B342" t="s">
        <v>35</v>
      </c>
      <c r="C342" t="s">
        <v>39</v>
      </c>
      <c r="D342" t="s">
        <v>39</v>
      </c>
      <c r="E342" t="s">
        <v>35</v>
      </c>
      <c r="F342" t="s">
        <v>31</v>
      </c>
      <c r="G342" t="s">
        <v>7</v>
      </c>
    </row>
    <row r="343" spans="1:7" x14ac:dyDescent="0.35">
      <c r="A343" t="s">
        <v>12</v>
      </c>
      <c r="B343" t="s">
        <v>39</v>
      </c>
      <c r="C343" t="s">
        <v>39</v>
      </c>
      <c r="D343" t="s">
        <v>39</v>
      </c>
      <c r="E343" t="s">
        <v>35</v>
      </c>
      <c r="F343" t="s">
        <v>39</v>
      </c>
      <c r="G343" t="s">
        <v>5</v>
      </c>
    </row>
    <row r="344" spans="1:7" x14ac:dyDescent="0.35">
      <c r="A344" t="s">
        <v>12</v>
      </c>
      <c r="B344" t="s">
        <v>31</v>
      </c>
      <c r="C344" t="s">
        <v>35</v>
      </c>
      <c r="D344" t="s">
        <v>31</v>
      </c>
      <c r="E344" t="s">
        <v>35</v>
      </c>
      <c r="F344" t="s">
        <v>39</v>
      </c>
      <c r="G344" t="s">
        <v>7</v>
      </c>
    </row>
    <row r="345" spans="1:7" x14ac:dyDescent="0.35">
      <c r="A345" t="s">
        <v>11</v>
      </c>
      <c r="B345" t="s">
        <v>31</v>
      </c>
      <c r="C345" t="s">
        <v>31</v>
      </c>
      <c r="D345" t="s">
        <v>31</v>
      </c>
      <c r="E345" t="s">
        <v>31</v>
      </c>
      <c r="F345" t="s">
        <v>35</v>
      </c>
      <c r="G345" t="s">
        <v>5</v>
      </c>
    </row>
    <row r="346" spans="1:7" x14ac:dyDescent="0.35">
      <c r="A346" t="s">
        <v>12</v>
      </c>
      <c r="B346" t="s">
        <v>35</v>
      </c>
      <c r="C346" t="s">
        <v>39</v>
      </c>
      <c r="D346" t="s">
        <v>35</v>
      </c>
      <c r="E346" t="s">
        <v>39</v>
      </c>
      <c r="F346" t="s">
        <v>31</v>
      </c>
      <c r="G346" t="s">
        <v>7</v>
      </c>
    </row>
    <row r="347" spans="1:7" x14ac:dyDescent="0.35">
      <c r="A347" t="s">
        <v>11</v>
      </c>
      <c r="B347" t="s">
        <v>31</v>
      </c>
      <c r="C347" t="s">
        <v>31</v>
      </c>
      <c r="D347" t="s">
        <v>31</v>
      </c>
      <c r="E347" t="s">
        <v>35</v>
      </c>
      <c r="F347" t="s">
        <v>35</v>
      </c>
      <c r="G347" t="s">
        <v>5</v>
      </c>
    </row>
    <row r="348" spans="1:7" x14ac:dyDescent="0.35">
      <c r="A348" t="s">
        <v>12</v>
      </c>
      <c r="B348" t="s">
        <v>35</v>
      </c>
      <c r="C348" t="s">
        <v>31</v>
      </c>
      <c r="D348" t="s">
        <v>31</v>
      </c>
      <c r="E348" t="s">
        <v>31</v>
      </c>
      <c r="F348" t="s">
        <v>35</v>
      </c>
      <c r="G348" t="s">
        <v>5</v>
      </c>
    </row>
    <row r="349" spans="1:7" x14ac:dyDescent="0.35">
      <c r="A349" t="s">
        <v>12</v>
      </c>
      <c r="B349" t="s">
        <v>31</v>
      </c>
      <c r="C349" t="s">
        <v>31</v>
      </c>
      <c r="D349" t="s">
        <v>31</v>
      </c>
      <c r="E349" t="s">
        <v>35</v>
      </c>
      <c r="F349" t="s">
        <v>39</v>
      </c>
      <c r="G349" t="s">
        <v>7</v>
      </c>
    </row>
    <row r="350" spans="1:7" x14ac:dyDescent="0.35">
      <c r="A350" t="s">
        <v>12</v>
      </c>
      <c r="B350" t="s">
        <v>35</v>
      </c>
      <c r="C350" t="s">
        <v>31</v>
      </c>
      <c r="D350" t="s">
        <v>35</v>
      </c>
      <c r="E350" t="s">
        <v>31</v>
      </c>
      <c r="F350" t="s">
        <v>39</v>
      </c>
      <c r="G350" t="s">
        <v>5</v>
      </c>
    </row>
    <row r="351" spans="1:7" x14ac:dyDescent="0.35">
      <c r="A351" t="s">
        <v>12</v>
      </c>
      <c r="B351" t="s">
        <v>31</v>
      </c>
      <c r="C351" t="s">
        <v>35</v>
      </c>
      <c r="D351" t="s">
        <v>31</v>
      </c>
      <c r="E351" t="s">
        <v>39</v>
      </c>
      <c r="F351" t="s">
        <v>35</v>
      </c>
      <c r="G351" t="s">
        <v>7</v>
      </c>
    </row>
    <row r="352" spans="1:7" x14ac:dyDescent="0.35">
      <c r="A352" t="s">
        <v>11</v>
      </c>
      <c r="B352" t="s">
        <v>39</v>
      </c>
      <c r="C352" t="s">
        <v>35</v>
      </c>
      <c r="D352" t="s">
        <v>35</v>
      </c>
      <c r="E352" t="s">
        <v>35</v>
      </c>
      <c r="F352" t="s">
        <v>31</v>
      </c>
      <c r="G352" t="s">
        <v>7</v>
      </c>
    </row>
    <row r="353" spans="1:7" x14ac:dyDescent="0.35">
      <c r="A353" t="s">
        <v>12</v>
      </c>
      <c r="B353" t="s">
        <v>35</v>
      </c>
      <c r="C353" t="s">
        <v>35</v>
      </c>
      <c r="D353" t="s">
        <v>35</v>
      </c>
      <c r="E353" t="s">
        <v>35</v>
      </c>
      <c r="F353" t="s">
        <v>39</v>
      </c>
      <c r="G353" t="s">
        <v>7</v>
      </c>
    </row>
    <row r="354" spans="1:7" x14ac:dyDescent="0.35">
      <c r="A354" t="s">
        <v>11</v>
      </c>
      <c r="B354" t="s">
        <v>35</v>
      </c>
      <c r="C354" t="s">
        <v>35</v>
      </c>
      <c r="D354" t="s">
        <v>35</v>
      </c>
      <c r="E354" t="s">
        <v>39</v>
      </c>
      <c r="F354" t="s">
        <v>31</v>
      </c>
      <c r="G354" t="s">
        <v>7</v>
      </c>
    </row>
    <row r="355" spans="1:7" x14ac:dyDescent="0.35">
      <c r="A355" t="s">
        <v>11</v>
      </c>
      <c r="B355" t="s">
        <v>35</v>
      </c>
      <c r="C355" t="s">
        <v>35</v>
      </c>
      <c r="D355" t="s">
        <v>35</v>
      </c>
      <c r="E355" t="s">
        <v>35</v>
      </c>
      <c r="F355" t="s">
        <v>35</v>
      </c>
      <c r="G355" t="s">
        <v>7</v>
      </c>
    </row>
    <row r="356" spans="1:7" x14ac:dyDescent="0.35">
      <c r="A356" t="s">
        <v>11</v>
      </c>
      <c r="B356" t="s">
        <v>31</v>
      </c>
      <c r="C356" t="s">
        <v>31</v>
      </c>
      <c r="D356" t="s">
        <v>35</v>
      </c>
      <c r="E356" t="s">
        <v>31</v>
      </c>
      <c r="F356" t="s">
        <v>35</v>
      </c>
      <c r="G356" t="s">
        <v>5</v>
      </c>
    </row>
    <row r="357" spans="1:7" x14ac:dyDescent="0.35">
      <c r="A357" t="s">
        <v>11</v>
      </c>
      <c r="B357" t="s">
        <v>35</v>
      </c>
      <c r="C357" t="s">
        <v>35</v>
      </c>
      <c r="D357" t="s">
        <v>35</v>
      </c>
      <c r="E357" t="s">
        <v>35</v>
      </c>
      <c r="F357" t="s">
        <v>31</v>
      </c>
      <c r="G357" t="s">
        <v>7</v>
      </c>
    </row>
    <row r="358" spans="1:7" x14ac:dyDescent="0.35">
      <c r="A358" t="s">
        <v>12</v>
      </c>
      <c r="B358" t="s">
        <v>31</v>
      </c>
      <c r="C358" t="s">
        <v>31</v>
      </c>
      <c r="D358" t="s">
        <v>31</v>
      </c>
      <c r="E358" t="s">
        <v>35</v>
      </c>
      <c r="F358" t="s">
        <v>39</v>
      </c>
      <c r="G358" t="s">
        <v>5</v>
      </c>
    </row>
    <row r="359" spans="1:7" x14ac:dyDescent="0.35">
      <c r="A359" t="s">
        <v>12</v>
      </c>
      <c r="B359" t="s">
        <v>35</v>
      </c>
      <c r="C359" t="s">
        <v>35</v>
      </c>
      <c r="D359" t="s">
        <v>31</v>
      </c>
      <c r="E359" t="s">
        <v>35</v>
      </c>
      <c r="F359" t="s">
        <v>35</v>
      </c>
      <c r="G359" t="s">
        <v>5</v>
      </c>
    </row>
    <row r="360" spans="1:7" x14ac:dyDescent="0.35">
      <c r="A360" t="s">
        <v>12</v>
      </c>
      <c r="B360" t="s">
        <v>31</v>
      </c>
      <c r="C360" t="s">
        <v>31</v>
      </c>
      <c r="D360" t="s">
        <v>31</v>
      </c>
      <c r="E360" t="s">
        <v>35</v>
      </c>
      <c r="F360" t="s">
        <v>31</v>
      </c>
      <c r="G360" t="s">
        <v>7</v>
      </c>
    </row>
    <row r="361" spans="1:7" x14ac:dyDescent="0.35">
      <c r="A361" t="s">
        <v>11</v>
      </c>
      <c r="B361" t="s">
        <v>35</v>
      </c>
      <c r="C361" t="s">
        <v>35</v>
      </c>
      <c r="D361" t="s">
        <v>35</v>
      </c>
      <c r="E361" t="s">
        <v>31</v>
      </c>
      <c r="F361" t="s">
        <v>39</v>
      </c>
      <c r="G361" t="s">
        <v>7</v>
      </c>
    </row>
    <row r="362" spans="1:7" x14ac:dyDescent="0.35">
      <c r="A362" t="s">
        <v>12</v>
      </c>
      <c r="B362" t="s">
        <v>39</v>
      </c>
      <c r="C362" t="s">
        <v>39</v>
      </c>
      <c r="D362" t="s">
        <v>39</v>
      </c>
      <c r="E362" t="s">
        <v>35</v>
      </c>
      <c r="F362" t="s">
        <v>39</v>
      </c>
      <c r="G362" t="s">
        <v>7</v>
      </c>
    </row>
    <row r="363" spans="1:7" x14ac:dyDescent="0.35">
      <c r="A363" t="s">
        <v>11</v>
      </c>
      <c r="B363" t="s">
        <v>35</v>
      </c>
      <c r="C363" t="s">
        <v>35</v>
      </c>
      <c r="D363" t="s">
        <v>39</v>
      </c>
      <c r="E363" t="s">
        <v>35</v>
      </c>
      <c r="F363" t="s">
        <v>35</v>
      </c>
      <c r="G363" t="s">
        <v>7</v>
      </c>
    </row>
    <row r="364" spans="1:7" x14ac:dyDescent="0.35">
      <c r="A364" t="s">
        <v>11</v>
      </c>
      <c r="B364" t="s">
        <v>35</v>
      </c>
      <c r="C364" t="s">
        <v>35</v>
      </c>
      <c r="D364" t="s">
        <v>35</v>
      </c>
      <c r="E364" t="s">
        <v>35</v>
      </c>
      <c r="F364" t="s">
        <v>39</v>
      </c>
      <c r="G364" t="s">
        <v>5</v>
      </c>
    </row>
    <row r="365" spans="1:7" x14ac:dyDescent="0.35">
      <c r="A365" t="s">
        <v>12</v>
      </c>
      <c r="B365" t="s">
        <v>31</v>
      </c>
      <c r="C365" t="s">
        <v>31</v>
      </c>
      <c r="D365" t="s">
        <v>35</v>
      </c>
      <c r="E365" t="s">
        <v>35</v>
      </c>
      <c r="F365" t="s">
        <v>39</v>
      </c>
      <c r="G365" t="s">
        <v>5</v>
      </c>
    </row>
    <row r="366" spans="1:7" x14ac:dyDescent="0.35">
      <c r="A366" t="s">
        <v>12</v>
      </c>
      <c r="B366" t="s">
        <v>35</v>
      </c>
      <c r="C366" t="s">
        <v>35</v>
      </c>
      <c r="D366" t="s">
        <v>35</v>
      </c>
      <c r="E366" t="s">
        <v>35</v>
      </c>
      <c r="F366" t="s">
        <v>39</v>
      </c>
      <c r="G366" t="s">
        <v>5</v>
      </c>
    </row>
    <row r="367" spans="1:7" x14ac:dyDescent="0.35">
      <c r="A367" t="s">
        <v>12</v>
      </c>
      <c r="B367" t="s">
        <v>39</v>
      </c>
      <c r="C367" t="s">
        <v>39</v>
      </c>
      <c r="D367" t="s">
        <v>39</v>
      </c>
      <c r="E367" t="s">
        <v>39</v>
      </c>
      <c r="F367" t="s">
        <v>35</v>
      </c>
      <c r="G367" t="s">
        <v>7</v>
      </c>
    </row>
    <row r="368" spans="1:7" x14ac:dyDescent="0.35">
      <c r="A368" t="s">
        <v>11</v>
      </c>
      <c r="B368" t="s">
        <v>31</v>
      </c>
      <c r="C368" t="s">
        <v>31</v>
      </c>
      <c r="D368" t="s">
        <v>31</v>
      </c>
      <c r="E368" t="s">
        <v>35</v>
      </c>
      <c r="F368" t="s">
        <v>35</v>
      </c>
      <c r="G368" t="s">
        <v>5</v>
      </c>
    </row>
    <row r="369" spans="1:7" x14ac:dyDescent="0.35">
      <c r="A369" t="s">
        <v>11</v>
      </c>
      <c r="B369" t="s">
        <v>31</v>
      </c>
      <c r="C369" t="s">
        <v>31</v>
      </c>
      <c r="D369" t="s">
        <v>31</v>
      </c>
      <c r="E369" t="s">
        <v>35</v>
      </c>
      <c r="F369" t="s">
        <v>35</v>
      </c>
      <c r="G369" t="s">
        <v>5</v>
      </c>
    </row>
    <row r="370" spans="1:7" x14ac:dyDescent="0.35">
      <c r="A370" t="s">
        <v>12</v>
      </c>
      <c r="B370" t="s">
        <v>35</v>
      </c>
      <c r="C370" t="s">
        <v>35</v>
      </c>
      <c r="D370" t="s">
        <v>35</v>
      </c>
      <c r="E370" t="s">
        <v>35</v>
      </c>
      <c r="F370" t="s">
        <v>35</v>
      </c>
      <c r="G370" t="s">
        <v>5</v>
      </c>
    </row>
    <row r="371" spans="1:7" x14ac:dyDescent="0.35">
      <c r="A371" t="s">
        <v>11</v>
      </c>
      <c r="B371" t="s">
        <v>35</v>
      </c>
      <c r="C371" t="s">
        <v>35</v>
      </c>
      <c r="D371" t="s">
        <v>35</v>
      </c>
      <c r="E371" t="s">
        <v>35</v>
      </c>
      <c r="F371" t="s">
        <v>39</v>
      </c>
      <c r="G371" t="s">
        <v>5</v>
      </c>
    </row>
    <row r="372" spans="1:7" x14ac:dyDescent="0.35">
      <c r="A372" t="s">
        <v>11</v>
      </c>
      <c r="B372" t="s">
        <v>35</v>
      </c>
      <c r="C372" t="s">
        <v>39</v>
      </c>
      <c r="D372" t="s">
        <v>35</v>
      </c>
      <c r="E372" t="s">
        <v>35</v>
      </c>
      <c r="F372" t="s">
        <v>35</v>
      </c>
      <c r="G372" t="s">
        <v>5</v>
      </c>
    </row>
    <row r="373" spans="1:7" x14ac:dyDescent="0.35">
      <c r="A373" t="s">
        <v>11</v>
      </c>
      <c r="B373" t="s">
        <v>31</v>
      </c>
      <c r="C373" t="s">
        <v>31</v>
      </c>
      <c r="D373" t="s">
        <v>31</v>
      </c>
      <c r="E373" t="s">
        <v>39</v>
      </c>
      <c r="F373" t="s">
        <v>31</v>
      </c>
      <c r="G373" t="s">
        <v>7</v>
      </c>
    </row>
    <row r="374" spans="1:7" x14ac:dyDescent="0.35">
      <c r="A374" t="s">
        <v>12</v>
      </c>
      <c r="B374" t="s">
        <v>35</v>
      </c>
      <c r="C374" t="s">
        <v>35</v>
      </c>
      <c r="D374" t="s">
        <v>31</v>
      </c>
      <c r="E374" t="s">
        <v>39</v>
      </c>
      <c r="F374" t="s">
        <v>31</v>
      </c>
      <c r="G374" t="s">
        <v>7</v>
      </c>
    </row>
    <row r="375" spans="1:7" x14ac:dyDescent="0.35">
      <c r="A375" t="s">
        <v>12</v>
      </c>
      <c r="B375" t="s">
        <v>35</v>
      </c>
      <c r="C375" t="s">
        <v>35</v>
      </c>
      <c r="D375" t="s">
        <v>35</v>
      </c>
      <c r="E375" t="s">
        <v>31</v>
      </c>
      <c r="F375" t="s">
        <v>39</v>
      </c>
      <c r="G375" t="s">
        <v>7</v>
      </c>
    </row>
    <row r="376" spans="1:7" x14ac:dyDescent="0.35">
      <c r="A376" t="s">
        <v>12</v>
      </c>
      <c r="B376" t="s">
        <v>35</v>
      </c>
      <c r="C376" t="s">
        <v>31</v>
      </c>
      <c r="D376" t="s">
        <v>31</v>
      </c>
      <c r="E376" t="s">
        <v>35</v>
      </c>
      <c r="F376" t="s">
        <v>35</v>
      </c>
      <c r="G376" t="s">
        <v>7</v>
      </c>
    </row>
    <row r="377" spans="1:7" x14ac:dyDescent="0.35">
      <c r="A377" t="s">
        <v>12</v>
      </c>
      <c r="B377" t="s">
        <v>39</v>
      </c>
      <c r="C377" t="s">
        <v>39</v>
      </c>
      <c r="D377" t="s">
        <v>39</v>
      </c>
      <c r="E377" t="s">
        <v>39</v>
      </c>
      <c r="F377" t="s">
        <v>39</v>
      </c>
      <c r="G377" t="s">
        <v>5</v>
      </c>
    </row>
    <row r="378" spans="1:7" x14ac:dyDescent="0.35">
      <c r="A378" t="s">
        <v>12</v>
      </c>
      <c r="B378" t="s">
        <v>39</v>
      </c>
      <c r="C378" t="s">
        <v>39</v>
      </c>
      <c r="D378" t="s">
        <v>39</v>
      </c>
      <c r="E378" t="s">
        <v>39</v>
      </c>
      <c r="F378" t="s">
        <v>35</v>
      </c>
      <c r="G378" t="s">
        <v>7</v>
      </c>
    </row>
    <row r="379" spans="1:7" x14ac:dyDescent="0.35">
      <c r="A379" t="s">
        <v>12</v>
      </c>
      <c r="B379" t="s">
        <v>35</v>
      </c>
      <c r="C379" t="s">
        <v>35</v>
      </c>
      <c r="D379" t="s">
        <v>35</v>
      </c>
      <c r="E379" t="s">
        <v>35</v>
      </c>
      <c r="F379" t="s">
        <v>35</v>
      </c>
      <c r="G379" t="s">
        <v>7</v>
      </c>
    </row>
    <row r="380" spans="1:7" x14ac:dyDescent="0.35">
      <c r="A380" t="s">
        <v>11</v>
      </c>
      <c r="B380" t="s">
        <v>31</v>
      </c>
      <c r="C380" t="s">
        <v>31</v>
      </c>
      <c r="D380" t="s">
        <v>31</v>
      </c>
      <c r="E380" t="s">
        <v>31</v>
      </c>
      <c r="F380" t="s">
        <v>35</v>
      </c>
      <c r="G380" t="s">
        <v>5</v>
      </c>
    </row>
    <row r="381" spans="1:7" x14ac:dyDescent="0.35">
      <c r="A381" t="s">
        <v>12</v>
      </c>
      <c r="B381" t="s">
        <v>39</v>
      </c>
      <c r="C381" t="s">
        <v>35</v>
      </c>
      <c r="D381" t="s">
        <v>39</v>
      </c>
      <c r="E381" t="s">
        <v>31</v>
      </c>
      <c r="F381" t="s">
        <v>39</v>
      </c>
      <c r="G381" t="s">
        <v>5</v>
      </c>
    </row>
    <row r="382" spans="1:7" x14ac:dyDescent="0.35">
      <c r="A382" t="s">
        <v>12</v>
      </c>
      <c r="B382" t="s">
        <v>31</v>
      </c>
      <c r="C382" t="s">
        <v>31</v>
      </c>
      <c r="D382" t="s">
        <v>35</v>
      </c>
      <c r="E382" t="s">
        <v>31</v>
      </c>
      <c r="F382" t="s">
        <v>39</v>
      </c>
      <c r="G382" t="s">
        <v>5</v>
      </c>
    </row>
    <row r="383" spans="1:7" x14ac:dyDescent="0.35">
      <c r="A383" t="s">
        <v>11</v>
      </c>
      <c r="B383" t="s">
        <v>31</v>
      </c>
      <c r="C383" t="s">
        <v>31</v>
      </c>
      <c r="D383" t="s">
        <v>35</v>
      </c>
      <c r="E383" t="s">
        <v>31</v>
      </c>
      <c r="F383" t="s">
        <v>35</v>
      </c>
      <c r="G383" t="s">
        <v>5</v>
      </c>
    </row>
    <row r="384" spans="1:7" x14ac:dyDescent="0.35">
      <c r="A384" t="s">
        <v>11</v>
      </c>
      <c r="B384" t="s">
        <v>35</v>
      </c>
      <c r="C384" t="s">
        <v>39</v>
      </c>
      <c r="D384" t="s">
        <v>39</v>
      </c>
      <c r="E384" t="s">
        <v>31</v>
      </c>
      <c r="F384" t="s">
        <v>35</v>
      </c>
      <c r="G384" t="s">
        <v>7</v>
      </c>
    </row>
    <row r="385" spans="1:7" x14ac:dyDescent="0.35">
      <c r="A385" t="s">
        <v>12</v>
      </c>
      <c r="B385" t="s">
        <v>31</v>
      </c>
      <c r="C385" t="s">
        <v>31</v>
      </c>
      <c r="D385" t="s">
        <v>35</v>
      </c>
      <c r="E385" t="s">
        <v>31</v>
      </c>
      <c r="F385" t="s">
        <v>35</v>
      </c>
      <c r="G385" t="s">
        <v>5</v>
      </c>
    </row>
    <row r="386" spans="1:7" x14ac:dyDescent="0.35">
      <c r="A386" t="s">
        <v>12</v>
      </c>
      <c r="B386" t="s">
        <v>35</v>
      </c>
      <c r="C386" t="s">
        <v>35</v>
      </c>
      <c r="D386" t="s">
        <v>31</v>
      </c>
      <c r="E386" t="s">
        <v>35</v>
      </c>
      <c r="F386" t="s">
        <v>35</v>
      </c>
      <c r="G386" t="s">
        <v>5</v>
      </c>
    </row>
    <row r="387" spans="1:7" x14ac:dyDescent="0.35">
      <c r="A387" t="s">
        <v>11</v>
      </c>
      <c r="B387" t="s">
        <v>35</v>
      </c>
      <c r="C387" t="s">
        <v>31</v>
      </c>
      <c r="D387" t="s">
        <v>31</v>
      </c>
      <c r="E387" t="s">
        <v>35</v>
      </c>
      <c r="F387" t="s">
        <v>35</v>
      </c>
      <c r="G387" t="s">
        <v>5</v>
      </c>
    </row>
    <row r="388" spans="1:7" x14ac:dyDescent="0.35">
      <c r="A388" t="s">
        <v>11</v>
      </c>
      <c r="B388" t="s">
        <v>31</v>
      </c>
      <c r="C388" t="s">
        <v>31</v>
      </c>
      <c r="D388" t="s">
        <v>31</v>
      </c>
      <c r="E388" t="s">
        <v>31</v>
      </c>
      <c r="F388" t="s">
        <v>39</v>
      </c>
      <c r="G388" t="s">
        <v>5</v>
      </c>
    </row>
    <row r="389" spans="1:7" x14ac:dyDescent="0.35">
      <c r="A389" t="s">
        <v>11</v>
      </c>
      <c r="B389" t="s">
        <v>35</v>
      </c>
      <c r="C389" t="s">
        <v>35</v>
      </c>
      <c r="D389" t="s">
        <v>35</v>
      </c>
      <c r="E389" t="s">
        <v>35</v>
      </c>
      <c r="F389" t="s">
        <v>35</v>
      </c>
      <c r="G389" t="s">
        <v>5</v>
      </c>
    </row>
    <row r="390" spans="1:7" x14ac:dyDescent="0.35">
      <c r="A390" t="s">
        <v>11</v>
      </c>
      <c r="B390" t="s">
        <v>39</v>
      </c>
      <c r="C390" t="s">
        <v>39</v>
      </c>
      <c r="D390" t="s">
        <v>39</v>
      </c>
      <c r="E390" t="s">
        <v>35</v>
      </c>
      <c r="F390" t="s">
        <v>35</v>
      </c>
      <c r="G390" t="s">
        <v>5</v>
      </c>
    </row>
    <row r="391" spans="1:7" x14ac:dyDescent="0.35">
      <c r="A391" t="s">
        <v>12</v>
      </c>
      <c r="B391" t="s">
        <v>39</v>
      </c>
      <c r="C391" t="s">
        <v>39</v>
      </c>
      <c r="D391" t="s">
        <v>35</v>
      </c>
      <c r="E391" t="s">
        <v>39</v>
      </c>
      <c r="F391" t="s">
        <v>31</v>
      </c>
      <c r="G391" t="s">
        <v>7</v>
      </c>
    </row>
    <row r="392" spans="1:7" x14ac:dyDescent="0.35">
      <c r="A392" t="s">
        <v>12</v>
      </c>
      <c r="B392" t="s">
        <v>39</v>
      </c>
      <c r="C392" t="s">
        <v>35</v>
      </c>
      <c r="D392" t="s">
        <v>35</v>
      </c>
      <c r="E392" t="s">
        <v>35</v>
      </c>
      <c r="F392" t="s">
        <v>39</v>
      </c>
      <c r="G392" t="s">
        <v>7</v>
      </c>
    </row>
    <row r="393" spans="1:7" x14ac:dyDescent="0.35">
      <c r="A393" t="s">
        <v>11</v>
      </c>
      <c r="B393" t="s">
        <v>35</v>
      </c>
      <c r="C393" t="s">
        <v>31</v>
      </c>
      <c r="D393" t="s">
        <v>31</v>
      </c>
      <c r="E393" t="s">
        <v>39</v>
      </c>
      <c r="F393" t="s">
        <v>35</v>
      </c>
      <c r="G393" t="s">
        <v>5</v>
      </c>
    </row>
    <row r="394" spans="1:7" x14ac:dyDescent="0.35">
      <c r="A394" t="s">
        <v>12</v>
      </c>
      <c r="B394" t="s">
        <v>35</v>
      </c>
      <c r="C394" t="s">
        <v>35</v>
      </c>
      <c r="D394" t="s">
        <v>31</v>
      </c>
      <c r="E394" t="s">
        <v>39</v>
      </c>
      <c r="F394" t="s">
        <v>35</v>
      </c>
      <c r="G394" t="s">
        <v>7</v>
      </c>
    </row>
    <row r="395" spans="1:7" x14ac:dyDescent="0.35">
      <c r="A395" t="s">
        <v>11</v>
      </c>
      <c r="B395" t="s">
        <v>39</v>
      </c>
      <c r="C395" t="s">
        <v>39</v>
      </c>
      <c r="D395" t="s">
        <v>31</v>
      </c>
      <c r="E395" t="s">
        <v>39</v>
      </c>
      <c r="F395" t="s">
        <v>35</v>
      </c>
      <c r="G395" t="s">
        <v>7</v>
      </c>
    </row>
    <row r="396" spans="1:7" x14ac:dyDescent="0.35">
      <c r="A396" t="s">
        <v>12</v>
      </c>
      <c r="B396" t="s">
        <v>31</v>
      </c>
      <c r="C396" t="s">
        <v>35</v>
      </c>
      <c r="D396" t="s">
        <v>35</v>
      </c>
      <c r="E396" t="s">
        <v>35</v>
      </c>
      <c r="F396" t="s">
        <v>39</v>
      </c>
      <c r="G396" t="s">
        <v>5</v>
      </c>
    </row>
    <row r="397" spans="1:7" x14ac:dyDescent="0.35">
      <c r="A397" t="s">
        <v>11</v>
      </c>
      <c r="B397" t="s">
        <v>35</v>
      </c>
      <c r="C397" t="s">
        <v>35</v>
      </c>
      <c r="D397" t="s">
        <v>35</v>
      </c>
      <c r="E397" t="s">
        <v>35</v>
      </c>
      <c r="F397" t="s">
        <v>39</v>
      </c>
      <c r="G397" t="s">
        <v>5</v>
      </c>
    </row>
    <row r="398" spans="1:7" x14ac:dyDescent="0.35">
      <c r="A398" t="s">
        <v>12</v>
      </c>
      <c r="B398" t="s">
        <v>39</v>
      </c>
      <c r="C398" t="s">
        <v>35</v>
      </c>
      <c r="D398" t="s">
        <v>39</v>
      </c>
      <c r="E398" t="s">
        <v>31</v>
      </c>
      <c r="F398" t="s">
        <v>39</v>
      </c>
      <c r="G398" t="s">
        <v>5</v>
      </c>
    </row>
    <row r="399" spans="1:7" x14ac:dyDescent="0.35">
      <c r="A399" t="s">
        <v>12</v>
      </c>
      <c r="B399" t="s">
        <v>39</v>
      </c>
      <c r="C399" t="s">
        <v>35</v>
      </c>
      <c r="D399" t="s">
        <v>35</v>
      </c>
      <c r="E399" t="s">
        <v>35</v>
      </c>
      <c r="F399" t="s">
        <v>35</v>
      </c>
      <c r="G399" t="s">
        <v>7</v>
      </c>
    </row>
    <row r="400" spans="1:7" x14ac:dyDescent="0.35">
      <c r="A400" t="s">
        <v>11</v>
      </c>
      <c r="B400" t="s">
        <v>39</v>
      </c>
      <c r="C400" t="s">
        <v>39</v>
      </c>
      <c r="D400" t="s">
        <v>39</v>
      </c>
      <c r="E400" t="s">
        <v>35</v>
      </c>
      <c r="F400" t="s">
        <v>31</v>
      </c>
      <c r="G400" t="s">
        <v>7</v>
      </c>
    </row>
    <row r="401" spans="1:7" x14ac:dyDescent="0.35">
      <c r="A401" t="s">
        <v>12</v>
      </c>
      <c r="B401" t="s">
        <v>31</v>
      </c>
      <c r="C401" t="s">
        <v>35</v>
      </c>
      <c r="D401" t="s">
        <v>35</v>
      </c>
      <c r="E401" t="s">
        <v>35</v>
      </c>
      <c r="F401" t="s">
        <v>39</v>
      </c>
      <c r="G401" t="s">
        <v>5</v>
      </c>
    </row>
    <row r="402" spans="1:7" x14ac:dyDescent="0.35">
      <c r="A402" t="s">
        <v>12</v>
      </c>
      <c r="B402" t="s">
        <v>35</v>
      </c>
      <c r="C402" t="s">
        <v>35</v>
      </c>
      <c r="D402" t="s">
        <v>39</v>
      </c>
      <c r="E402" t="s">
        <v>31</v>
      </c>
      <c r="F402" t="s">
        <v>31</v>
      </c>
      <c r="G402" t="s">
        <v>7</v>
      </c>
    </row>
    <row r="403" spans="1:7" x14ac:dyDescent="0.35">
      <c r="A403" t="s">
        <v>11</v>
      </c>
      <c r="B403" t="s">
        <v>39</v>
      </c>
      <c r="C403" t="s">
        <v>39</v>
      </c>
      <c r="D403" t="s">
        <v>39</v>
      </c>
      <c r="E403" t="s">
        <v>35</v>
      </c>
      <c r="F403" t="s">
        <v>35</v>
      </c>
      <c r="G403" t="s">
        <v>7</v>
      </c>
    </row>
    <row r="404" spans="1:7" x14ac:dyDescent="0.35">
      <c r="A404" t="s">
        <v>11</v>
      </c>
      <c r="B404" t="s">
        <v>39</v>
      </c>
      <c r="C404" t="s">
        <v>35</v>
      </c>
      <c r="D404" t="s">
        <v>35</v>
      </c>
      <c r="E404" t="s">
        <v>39</v>
      </c>
      <c r="F404" t="s">
        <v>35</v>
      </c>
      <c r="G404" t="s">
        <v>7</v>
      </c>
    </row>
    <row r="405" spans="1:7" x14ac:dyDescent="0.35">
      <c r="A405" t="s">
        <v>12</v>
      </c>
      <c r="B405" t="s">
        <v>35</v>
      </c>
      <c r="C405" t="s">
        <v>35</v>
      </c>
      <c r="D405" t="s">
        <v>39</v>
      </c>
      <c r="E405" t="s">
        <v>31</v>
      </c>
      <c r="F405" t="s">
        <v>39</v>
      </c>
      <c r="G405" t="s">
        <v>5</v>
      </c>
    </row>
    <row r="406" spans="1:7" x14ac:dyDescent="0.35">
      <c r="A406" t="s">
        <v>12</v>
      </c>
      <c r="B406" t="s">
        <v>39</v>
      </c>
      <c r="C406" t="s">
        <v>39</v>
      </c>
      <c r="D406" t="s">
        <v>39</v>
      </c>
      <c r="E406" t="s">
        <v>35</v>
      </c>
      <c r="F406" t="s">
        <v>35</v>
      </c>
      <c r="G406" t="s">
        <v>7</v>
      </c>
    </row>
    <row r="407" spans="1:7" x14ac:dyDescent="0.35">
      <c r="A407" t="s">
        <v>11</v>
      </c>
      <c r="B407" t="s">
        <v>35</v>
      </c>
      <c r="C407" t="s">
        <v>35</v>
      </c>
      <c r="D407" t="s">
        <v>31</v>
      </c>
      <c r="E407" t="s">
        <v>35</v>
      </c>
      <c r="F407" t="s">
        <v>31</v>
      </c>
      <c r="G407" t="s">
        <v>7</v>
      </c>
    </row>
    <row r="408" spans="1:7" x14ac:dyDescent="0.35">
      <c r="A408" t="s">
        <v>11</v>
      </c>
      <c r="B408" t="s">
        <v>31</v>
      </c>
      <c r="C408" t="s">
        <v>35</v>
      </c>
      <c r="D408" t="s">
        <v>31</v>
      </c>
      <c r="E408" t="s">
        <v>39</v>
      </c>
      <c r="F408" t="s">
        <v>39</v>
      </c>
      <c r="G408" t="s">
        <v>5</v>
      </c>
    </row>
    <row r="409" spans="1:7" x14ac:dyDescent="0.35">
      <c r="A409" t="s">
        <v>11</v>
      </c>
      <c r="B409" t="s">
        <v>35</v>
      </c>
      <c r="C409" t="s">
        <v>35</v>
      </c>
      <c r="D409" t="s">
        <v>35</v>
      </c>
      <c r="E409" t="s">
        <v>35</v>
      </c>
      <c r="F409" t="s">
        <v>31</v>
      </c>
      <c r="G409" t="s">
        <v>7</v>
      </c>
    </row>
    <row r="410" spans="1:7" x14ac:dyDescent="0.35">
      <c r="A410" t="s">
        <v>11</v>
      </c>
      <c r="B410" t="s">
        <v>39</v>
      </c>
      <c r="C410" t="s">
        <v>35</v>
      </c>
      <c r="D410" t="s">
        <v>35</v>
      </c>
      <c r="E410" t="s">
        <v>35</v>
      </c>
      <c r="F410" t="s">
        <v>35</v>
      </c>
      <c r="G410" t="s">
        <v>7</v>
      </c>
    </row>
    <row r="411" spans="1:7" x14ac:dyDescent="0.35">
      <c r="A411" t="s">
        <v>12</v>
      </c>
      <c r="B411" t="s">
        <v>39</v>
      </c>
      <c r="C411" t="s">
        <v>35</v>
      </c>
      <c r="D411" t="s">
        <v>39</v>
      </c>
      <c r="E411" t="s">
        <v>35</v>
      </c>
      <c r="F411" t="s">
        <v>39</v>
      </c>
      <c r="G411" t="s">
        <v>5</v>
      </c>
    </row>
    <row r="412" spans="1:7" x14ac:dyDescent="0.35">
      <c r="A412" t="s">
        <v>11</v>
      </c>
      <c r="B412" t="s">
        <v>39</v>
      </c>
      <c r="C412" t="s">
        <v>35</v>
      </c>
      <c r="D412" t="s">
        <v>35</v>
      </c>
      <c r="E412" t="s">
        <v>39</v>
      </c>
      <c r="F412" t="s">
        <v>35</v>
      </c>
      <c r="G412" t="s">
        <v>5</v>
      </c>
    </row>
    <row r="413" spans="1:7" x14ac:dyDescent="0.35">
      <c r="A413" t="s">
        <v>11</v>
      </c>
      <c r="B413" t="s">
        <v>35</v>
      </c>
      <c r="C413" t="s">
        <v>39</v>
      </c>
      <c r="D413" t="s">
        <v>39</v>
      </c>
      <c r="E413" t="s">
        <v>35</v>
      </c>
      <c r="F413" t="s">
        <v>35</v>
      </c>
      <c r="G413" t="s">
        <v>7</v>
      </c>
    </row>
    <row r="414" spans="1:7" x14ac:dyDescent="0.35">
      <c r="A414" t="s">
        <v>11</v>
      </c>
      <c r="B414" t="s">
        <v>31</v>
      </c>
      <c r="C414" t="s">
        <v>35</v>
      </c>
      <c r="D414" t="s">
        <v>35</v>
      </c>
      <c r="E414" t="s">
        <v>35</v>
      </c>
      <c r="F414" t="s">
        <v>31</v>
      </c>
      <c r="G414" t="s">
        <v>7</v>
      </c>
    </row>
    <row r="415" spans="1:7" x14ac:dyDescent="0.35">
      <c r="A415" t="s">
        <v>11</v>
      </c>
      <c r="B415" t="s">
        <v>35</v>
      </c>
      <c r="C415" t="s">
        <v>35</v>
      </c>
      <c r="D415" t="s">
        <v>35</v>
      </c>
      <c r="E415" t="s">
        <v>31</v>
      </c>
      <c r="F415" t="s">
        <v>35</v>
      </c>
      <c r="G415" t="s">
        <v>5</v>
      </c>
    </row>
    <row r="416" spans="1:7" x14ac:dyDescent="0.35">
      <c r="A416" t="s">
        <v>11</v>
      </c>
      <c r="B416" t="s">
        <v>31</v>
      </c>
      <c r="C416" t="s">
        <v>31</v>
      </c>
      <c r="D416" t="s">
        <v>31</v>
      </c>
      <c r="E416" t="s">
        <v>31</v>
      </c>
      <c r="F416" t="s">
        <v>35</v>
      </c>
      <c r="G416" t="s">
        <v>5</v>
      </c>
    </row>
    <row r="417" spans="1:7" x14ac:dyDescent="0.35">
      <c r="A417" t="s">
        <v>12</v>
      </c>
      <c r="B417" t="s">
        <v>35</v>
      </c>
      <c r="C417" t="s">
        <v>35</v>
      </c>
      <c r="D417" t="s">
        <v>39</v>
      </c>
      <c r="E417" t="s">
        <v>31</v>
      </c>
      <c r="F417" t="s">
        <v>31</v>
      </c>
      <c r="G417" t="s">
        <v>7</v>
      </c>
    </row>
    <row r="418" spans="1:7" x14ac:dyDescent="0.35">
      <c r="A418" t="s">
        <v>11</v>
      </c>
      <c r="B418" t="s">
        <v>35</v>
      </c>
      <c r="C418" t="s">
        <v>35</v>
      </c>
      <c r="D418" t="s">
        <v>35</v>
      </c>
      <c r="E418" t="s">
        <v>35</v>
      </c>
      <c r="F418" t="s">
        <v>35</v>
      </c>
      <c r="G418" t="s">
        <v>5</v>
      </c>
    </row>
    <row r="419" spans="1:7" x14ac:dyDescent="0.35">
      <c r="A419" t="s">
        <v>12</v>
      </c>
      <c r="B419" t="s">
        <v>35</v>
      </c>
      <c r="C419" t="s">
        <v>31</v>
      </c>
      <c r="D419" t="s">
        <v>31</v>
      </c>
      <c r="E419" t="s">
        <v>35</v>
      </c>
      <c r="F419" t="s">
        <v>35</v>
      </c>
      <c r="G419" t="s">
        <v>7</v>
      </c>
    </row>
    <row r="420" spans="1:7" x14ac:dyDescent="0.35">
      <c r="A420" t="s">
        <v>11</v>
      </c>
      <c r="B420" t="s">
        <v>35</v>
      </c>
      <c r="C420" t="s">
        <v>35</v>
      </c>
      <c r="D420" t="s">
        <v>35</v>
      </c>
      <c r="E420" t="s">
        <v>35</v>
      </c>
      <c r="F420" t="s">
        <v>31</v>
      </c>
      <c r="G420" t="s">
        <v>7</v>
      </c>
    </row>
    <row r="421" spans="1:7" x14ac:dyDescent="0.35">
      <c r="A421" t="s">
        <v>11</v>
      </c>
      <c r="B421" t="s">
        <v>35</v>
      </c>
      <c r="C421" t="s">
        <v>35</v>
      </c>
      <c r="D421" t="s">
        <v>35</v>
      </c>
      <c r="E421" t="s">
        <v>31</v>
      </c>
      <c r="F421" t="s">
        <v>35</v>
      </c>
      <c r="G421" t="s">
        <v>5</v>
      </c>
    </row>
    <row r="422" spans="1:7" x14ac:dyDescent="0.35">
      <c r="A422" t="s">
        <v>11</v>
      </c>
      <c r="B422" t="s">
        <v>31</v>
      </c>
      <c r="C422" t="s">
        <v>31</v>
      </c>
      <c r="D422" t="s">
        <v>35</v>
      </c>
      <c r="E422" t="s">
        <v>31</v>
      </c>
      <c r="F422" t="s">
        <v>39</v>
      </c>
      <c r="G422" t="s">
        <v>5</v>
      </c>
    </row>
    <row r="423" spans="1:7" x14ac:dyDescent="0.35">
      <c r="A423" t="s">
        <v>11</v>
      </c>
      <c r="B423" t="s">
        <v>31</v>
      </c>
      <c r="C423" t="s">
        <v>35</v>
      </c>
      <c r="D423" t="s">
        <v>31</v>
      </c>
      <c r="E423" t="s">
        <v>39</v>
      </c>
      <c r="F423" t="s">
        <v>31</v>
      </c>
      <c r="G423" t="s">
        <v>7</v>
      </c>
    </row>
    <row r="424" spans="1:7" x14ac:dyDescent="0.35">
      <c r="A424" t="s">
        <v>11</v>
      </c>
      <c r="B424" t="s">
        <v>35</v>
      </c>
      <c r="C424" t="s">
        <v>31</v>
      </c>
      <c r="D424" t="s">
        <v>35</v>
      </c>
      <c r="E424" t="s">
        <v>31</v>
      </c>
      <c r="F424" t="s">
        <v>35</v>
      </c>
      <c r="G424" t="s">
        <v>5</v>
      </c>
    </row>
    <row r="425" spans="1:7" x14ac:dyDescent="0.35">
      <c r="A425" t="s">
        <v>12</v>
      </c>
      <c r="B425" t="s">
        <v>31</v>
      </c>
      <c r="C425" t="s">
        <v>31</v>
      </c>
      <c r="D425" t="s">
        <v>31</v>
      </c>
      <c r="E425" t="s">
        <v>31</v>
      </c>
      <c r="F425" t="s">
        <v>39</v>
      </c>
      <c r="G425" t="s">
        <v>5</v>
      </c>
    </row>
    <row r="426" spans="1:7" x14ac:dyDescent="0.35">
      <c r="A426" t="s">
        <v>12</v>
      </c>
      <c r="B426" t="s">
        <v>35</v>
      </c>
      <c r="C426" t="s">
        <v>31</v>
      </c>
      <c r="D426" t="s">
        <v>35</v>
      </c>
      <c r="E426" t="s">
        <v>31</v>
      </c>
      <c r="F426" t="s">
        <v>35</v>
      </c>
      <c r="G426" t="s">
        <v>5</v>
      </c>
    </row>
    <row r="427" spans="1:7" x14ac:dyDescent="0.35">
      <c r="A427" t="s">
        <v>11</v>
      </c>
      <c r="B427" t="s">
        <v>39</v>
      </c>
      <c r="C427" t="s">
        <v>39</v>
      </c>
      <c r="D427" t="s">
        <v>39</v>
      </c>
      <c r="E427" t="s">
        <v>39</v>
      </c>
      <c r="F427" t="s">
        <v>39</v>
      </c>
      <c r="G427" t="s">
        <v>7</v>
      </c>
    </row>
    <row r="428" spans="1:7" x14ac:dyDescent="0.35">
      <c r="A428" t="s">
        <v>12</v>
      </c>
      <c r="B428" t="s">
        <v>39</v>
      </c>
      <c r="C428" t="s">
        <v>35</v>
      </c>
      <c r="D428" t="s">
        <v>35</v>
      </c>
      <c r="E428" t="s">
        <v>35</v>
      </c>
      <c r="F428" t="s">
        <v>35</v>
      </c>
      <c r="G428" t="s">
        <v>7</v>
      </c>
    </row>
    <row r="429" spans="1:7" x14ac:dyDescent="0.35">
      <c r="A429" t="s">
        <v>12</v>
      </c>
      <c r="B429" t="s">
        <v>31</v>
      </c>
      <c r="C429" t="s">
        <v>31</v>
      </c>
      <c r="D429" t="s">
        <v>35</v>
      </c>
      <c r="E429" t="s">
        <v>31</v>
      </c>
      <c r="F429" t="s">
        <v>31</v>
      </c>
      <c r="G429" t="s">
        <v>7</v>
      </c>
    </row>
    <row r="430" spans="1:7" x14ac:dyDescent="0.35">
      <c r="A430" t="s">
        <v>11</v>
      </c>
      <c r="B430" t="s">
        <v>35</v>
      </c>
      <c r="C430" t="s">
        <v>35</v>
      </c>
      <c r="D430" t="s">
        <v>35</v>
      </c>
      <c r="E430" t="s">
        <v>35</v>
      </c>
      <c r="F430" t="s">
        <v>31</v>
      </c>
      <c r="G430" t="s">
        <v>7</v>
      </c>
    </row>
    <row r="431" spans="1:7" x14ac:dyDescent="0.35">
      <c r="A431" t="s">
        <v>12</v>
      </c>
      <c r="B431" t="s">
        <v>35</v>
      </c>
      <c r="C431" t="s">
        <v>31</v>
      </c>
      <c r="D431" t="s">
        <v>35</v>
      </c>
      <c r="E431" t="s">
        <v>31</v>
      </c>
      <c r="F431" t="s">
        <v>39</v>
      </c>
      <c r="G431" t="s">
        <v>5</v>
      </c>
    </row>
    <row r="432" spans="1:7" x14ac:dyDescent="0.35">
      <c r="A432" t="s">
        <v>12</v>
      </c>
      <c r="B432" t="s">
        <v>35</v>
      </c>
      <c r="C432" t="s">
        <v>35</v>
      </c>
      <c r="D432" t="s">
        <v>31</v>
      </c>
      <c r="E432" t="s">
        <v>39</v>
      </c>
      <c r="F432" t="s">
        <v>31</v>
      </c>
      <c r="G432" t="s">
        <v>7</v>
      </c>
    </row>
    <row r="433" spans="1:7" x14ac:dyDescent="0.35">
      <c r="A433" t="s">
        <v>11</v>
      </c>
      <c r="B433" t="s">
        <v>39</v>
      </c>
      <c r="C433" t="s">
        <v>39</v>
      </c>
      <c r="D433" t="s">
        <v>39</v>
      </c>
      <c r="E433" t="s">
        <v>35</v>
      </c>
      <c r="F433" t="s">
        <v>35</v>
      </c>
      <c r="G433" t="s">
        <v>7</v>
      </c>
    </row>
    <row r="434" spans="1:7" x14ac:dyDescent="0.35">
      <c r="A434" t="s">
        <v>11</v>
      </c>
      <c r="B434" t="s">
        <v>31</v>
      </c>
      <c r="C434" t="s">
        <v>31</v>
      </c>
      <c r="D434" t="s">
        <v>35</v>
      </c>
      <c r="E434" t="s">
        <v>31</v>
      </c>
      <c r="F434" t="s">
        <v>39</v>
      </c>
      <c r="G434" t="s">
        <v>5</v>
      </c>
    </row>
    <row r="435" spans="1:7" x14ac:dyDescent="0.35">
      <c r="A435" t="s">
        <v>12</v>
      </c>
      <c r="B435" t="s">
        <v>31</v>
      </c>
      <c r="C435" t="s">
        <v>35</v>
      </c>
      <c r="D435" t="s">
        <v>35</v>
      </c>
      <c r="E435" t="s">
        <v>35</v>
      </c>
      <c r="F435" t="s">
        <v>39</v>
      </c>
      <c r="G435" t="s">
        <v>5</v>
      </c>
    </row>
    <row r="436" spans="1:7" x14ac:dyDescent="0.35">
      <c r="A436" t="s">
        <v>11</v>
      </c>
      <c r="B436" t="s">
        <v>35</v>
      </c>
      <c r="C436" t="s">
        <v>35</v>
      </c>
      <c r="D436" t="s">
        <v>35</v>
      </c>
      <c r="E436" t="s">
        <v>35</v>
      </c>
      <c r="F436" t="s">
        <v>31</v>
      </c>
      <c r="G436" t="s">
        <v>7</v>
      </c>
    </row>
    <row r="437" spans="1:7" x14ac:dyDescent="0.35">
      <c r="A437" t="s">
        <v>12</v>
      </c>
      <c r="B437" t="s">
        <v>39</v>
      </c>
      <c r="C437" t="s">
        <v>39</v>
      </c>
      <c r="D437" t="s">
        <v>35</v>
      </c>
      <c r="E437" t="s">
        <v>39</v>
      </c>
      <c r="F437" t="s">
        <v>35</v>
      </c>
      <c r="G437" t="s">
        <v>5</v>
      </c>
    </row>
    <row r="438" spans="1:7" x14ac:dyDescent="0.35">
      <c r="A438" t="s">
        <v>12</v>
      </c>
      <c r="B438" t="s">
        <v>39</v>
      </c>
      <c r="C438" t="s">
        <v>39</v>
      </c>
      <c r="D438" t="s">
        <v>35</v>
      </c>
      <c r="E438" t="s">
        <v>39</v>
      </c>
      <c r="F438" t="s">
        <v>39</v>
      </c>
      <c r="G438" t="s">
        <v>7</v>
      </c>
    </row>
    <row r="439" spans="1:7" x14ac:dyDescent="0.35">
      <c r="A439" t="s">
        <v>11</v>
      </c>
      <c r="B439" t="s">
        <v>35</v>
      </c>
      <c r="C439" t="s">
        <v>35</v>
      </c>
      <c r="D439" t="s">
        <v>35</v>
      </c>
      <c r="E439" t="s">
        <v>35</v>
      </c>
      <c r="F439" t="s">
        <v>31</v>
      </c>
      <c r="G439" t="s">
        <v>7</v>
      </c>
    </row>
    <row r="440" spans="1:7" x14ac:dyDescent="0.35">
      <c r="A440" t="s">
        <v>11</v>
      </c>
      <c r="B440" t="s">
        <v>35</v>
      </c>
      <c r="C440" t="s">
        <v>35</v>
      </c>
      <c r="D440" t="s">
        <v>35</v>
      </c>
      <c r="E440" t="s">
        <v>35</v>
      </c>
      <c r="F440" t="s">
        <v>31</v>
      </c>
      <c r="G440" t="s">
        <v>7</v>
      </c>
    </row>
    <row r="441" spans="1:7" x14ac:dyDescent="0.35">
      <c r="A441" t="s">
        <v>12</v>
      </c>
      <c r="B441" t="s">
        <v>39</v>
      </c>
      <c r="C441" t="s">
        <v>35</v>
      </c>
      <c r="D441" t="s">
        <v>35</v>
      </c>
      <c r="E441" t="s">
        <v>35</v>
      </c>
      <c r="F441" t="s">
        <v>35</v>
      </c>
      <c r="G441" t="s">
        <v>7</v>
      </c>
    </row>
    <row r="442" spans="1:7" x14ac:dyDescent="0.35">
      <c r="A442" t="s">
        <v>12</v>
      </c>
      <c r="B442" t="s">
        <v>35</v>
      </c>
      <c r="C442" t="s">
        <v>35</v>
      </c>
      <c r="D442" t="s">
        <v>35</v>
      </c>
      <c r="E442" t="s">
        <v>35</v>
      </c>
      <c r="F442" t="s">
        <v>35</v>
      </c>
      <c r="G442" t="s">
        <v>5</v>
      </c>
    </row>
    <row r="443" spans="1:7" x14ac:dyDescent="0.35">
      <c r="A443" t="s">
        <v>11</v>
      </c>
      <c r="B443" t="s">
        <v>35</v>
      </c>
      <c r="C443" t="s">
        <v>35</v>
      </c>
      <c r="D443" t="s">
        <v>35</v>
      </c>
      <c r="E443" t="s">
        <v>35</v>
      </c>
      <c r="F443" t="s">
        <v>39</v>
      </c>
      <c r="G443" t="s">
        <v>5</v>
      </c>
    </row>
    <row r="444" spans="1:7" x14ac:dyDescent="0.35">
      <c r="A444" t="s">
        <v>12</v>
      </c>
      <c r="B444" t="s">
        <v>35</v>
      </c>
      <c r="C444" t="s">
        <v>35</v>
      </c>
      <c r="D444" t="s">
        <v>35</v>
      </c>
      <c r="E444" t="s">
        <v>35</v>
      </c>
      <c r="F444" t="s">
        <v>31</v>
      </c>
      <c r="G444" t="s">
        <v>7</v>
      </c>
    </row>
    <row r="445" spans="1:7" x14ac:dyDescent="0.35">
      <c r="A445" t="s">
        <v>11</v>
      </c>
      <c r="B445" t="s">
        <v>35</v>
      </c>
      <c r="C445" t="s">
        <v>39</v>
      </c>
      <c r="D445" t="s">
        <v>35</v>
      </c>
      <c r="E445" t="s">
        <v>39</v>
      </c>
      <c r="F445" t="s">
        <v>35</v>
      </c>
      <c r="G445" t="s">
        <v>7</v>
      </c>
    </row>
    <row r="446" spans="1:7" x14ac:dyDescent="0.35">
      <c r="A446" t="s">
        <v>11</v>
      </c>
      <c r="B446" t="s">
        <v>39</v>
      </c>
      <c r="C446" t="s">
        <v>39</v>
      </c>
      <c r="D446" t="s">
        <v>39</v>
      </c>
      <c r="E446" t="s">
        <v>39</v>
      </c>
      <c r="F446" t="s">
        <v>39</v>
      </c>
      <c r="G446" t="s">
        <v>7</v>
      </c>
    </row>
    <row r="447" spans="1:7" x14ac:dyDescent="0.35">
      <c r="A447" t="s">
        <v>12</v>
      </c>
      <c r="B447" t="s">
        <v>31</v>
      </c>
      <c r="C447" t="s">
        <v>35</v>
      </c>
      <c r="D447" t="s">
        <v>35</v>
      </c>
      <c r="E447" t="s">
        <v>31</v>
      </c>
      <c r="F447" t="s">
        <v>31</v>
      </c>
      <c r="G447" t="s">
        <v>7</v>
      </c>
    </row>
    <row r="448" spans="1:7" x14ac:dyDescent="0.35">
      <c r="A448" t="s">
        <v>12</v>
      </c>
      <c r="B448" t="s">
        <v>31</v>
      </c>
      <c r="C448" t="s">
        <v>35</v>
      </c>
      <c r="D448" t="s">
        <v>35</v>
      </c>
      <c r="E448" t="s">
        <v>35</v>
      </c>
      <c r="F448" t="s">
        <v>39</v>
      </c>
      <c r="G448" t="s">
        <v>5</v>
      </c>
    </row>
    <row r="449" spans="1:7" x14ac:dyDescent="0.35">
      <c r="A449" t="s">
        <v>11</v>
      </c>
      <c r="B449" t="s">
        <v>35</v>
      </c>
      <c r="C449" t="s">
        <v>35</v>
      </c>
      <c r="D449" t="s">
        <v>39</v>
      </c>
      <c r="E449" t="s">
        <v>35</v>
      </c>
      <c r="F449" t="s">
        <v>39</v>
      </c>
      <c r="G449" t="s">
        <v>5</v>
      </c>
    </row>
    <row r="450" spans="1:7" x14ac:dyDescent="0.35">
      <c r="A450" t="s">
        <v>11</v>
      </c>
      <c r="B450" t="s">
        <v>39</v>
      </c>
      <c r="C450" t="s">
        <v>39</v>
      </c>
      <c r="D450" t="s">
        <v>35</v>
      </c>
      <c r="E450" t="s">
        <v>39</v>
      </c>
      <c r="F450" t="s">
        <v>31</v>
      </c>
      <c r="G450" t="s">
        <v>7</v>
      </c>
    </row>
    <row r="451" spans="1:7" x14ac:dyDescent="0.35">
      <c r="A451" t="s">
        <v>12</v>
      </c>
      <c r="B451" t="s">
        <v>35</v>
      </c>
      <c r="C451" t="s">
        <v>31</v>
      </c>
      <c r="D451" t="s">
        <v>35</v>
      </c>
      <c r="E451" t="s">
        <v>31</v>
      </c>
      <c r="F451" t="s">
        <v>35</v>
      </c>
      <c r="G451" t="s">
        <v>5</v>
      </c>
    </row>
    <row r="452" spans="1:7" x14ac:dyDescent="0.35">
      <c r="A452" t="s">
        <v>11</v>
      </c>
      <c r="B452" t="s">
        <v>35</v>
      </c>
      <c r="C452" t="s">
        <v>31</v>
      </c>
      <c r="D452" t="s">
        <v>31</v>
      </c>
      <c r="E452" t="s">
        <v>35</v>
      </c>
      <c r="F452" t="s">
        <v>31</v>
      </c>
      <c r="G452" t="s">
        <v>7</v>
      </c>
    </row>
    <row r="453" spans="1:7" x14ac:dyDescent="0.35">
      <c r="A453" t="s">
        <v>11</v>
      </c>
      <c r="B453" t="s">
        <v>39</v>
      </c>
      <c r="C453" t="s">
        <v>35</v>
      </c>
      <c r="D453" t="s">
        <v>39</v>
      </c>
      <c r="E453" t="s">
        <v>31</v>
      </c>
      <c r="F453" t="s">
        <v>39</v>
      </c>
      <c r="G453" t="s">
        <v>5</v>
      </c>
    </row>
    <row r="454" spans="1:7" x14ac:dyDescent="0.35">
      <c r="A454" t="s">
        <v>11</v>
      </c>
      <c r="B454" t="s">
        <v>31</v>
      </c>
      <c r="C454" t="s">
        <v>31</v>
      </c>
      <c r="D454" t="s">
        <v>31</v>
      </c>
      <c r="E454" t="s">
        <v>31</v>
      </c>
      <c r="F454" t="s">
        <v>35</v>
      </c>
      <c r="G454" t="s">
        <v>5</v>
      </c>
    </row>
    <row r="455" spans="1:7" x14ac:dyDescent="0.35">
      <c r="A455" t="s">
        <v>12</v>
      </c>
      <c r="B455" t="s">
        <v>35</v>
      </c>
      <c r="C455" t="s">
        <v>35</v>
      </c>
      <c r="D455" t="s">
        <v>35</v>
      </c>
      <c r="E455" t="s">
        <v>35</v>
      </c>
      <c r="F455" t="s">
        <v>39</v>
      </c>
      <c r="G455" t="s">
        <v>5</v>
      </c>
    </row>
    <row r="456" spans="1:7" x14ac:dyDescent="0.35">
      <c r="A456" t="s">
        <v>12</v>
      </c>
      <c r="B456" t="s">
        <v>35</v>
      </c>
      <c r="C456" t="s">
        <v>35</v>
      </c>
      <c r="D456" t="s">
        <v>35</v>
      </c>
      <c r="E456" t="s">
        <v>31</v>
      </c>
      <c r="F456" t="s">
        <v>35</v>
      </c>
      <c r="G456" t="s">
        <v>5</v>
      </c>
    </row>
    <row r="457" spans="1:7" x14ac:dyDescent="0.35">
      <c r="A457" t="s">
        <v>11</v>
      </c>
      <c r="B457" t="s">
        <v>39</v>
      </c>
      <c r="C457" t="s">
        <v>35</v>
      </c>
      <c r="D457" t="s">
        <v>35</v>
      </c>
      <c r="E457" t="s">
        <v>35</v>
      </c>
      <c r="F457" t="s">
        <v>39</v>
      </c>
      <c r="G457" t="s">
        <v>5</v>
      </c>
    </row>
    <row r="458" spans="1:7" x14ac:dyDescent="0.35">
      <c r="A458" t="s">
        <v>12</v>
      </c>
      <c r="B458" t="s">
        <v>35</v>
      </c>
      <c r="C458" t="s">
        <v>31</v>
      </c>
      <c r="D458" t="s">
        <v>31</v>
      </c>
      <c r="E458" t="s">
        <v>39</v>
      </c>
      <c r="F458" t="s">
        <v>39</v>
      </c>
      <c r="G458" t="s">
        <v>5</v>
      </c>
    </row>
    <row r="459" spans="1:7" x14ac:dyDescent="0.35">
      <c r="A459" t="s">
        <v>12</v>
      </c>
      <c r="B459" t="s">
        <v>35</v>
      </c>
      <c r="C459" t="s">
        <v>31</v>
      </c>
      <c r="D459" t="s">
        <v>31</v>
      </c>
      <c r="E459" t="s">
        <v>35</v>
      </c>
      <c r="F459" t="s">
        <v>39</v>
      </c>
      <c r="G459" t="s">
        <v>5</v>
      </c>
    </row>
    <row r="460" spans="1:7" x14ac:dyDescent="0.35">
      <c r="A460" t="s">
        <v>12</v>
      </c>
      <c r="B460" t="s">
        <v>39</v>
      </c>
      <c r="C460" t="s">
        <v>39</v>
      </c>
      <c r="D460" t="s">
        <v>35</v>
      </c>
      <c r="E460" t="s">
        <v>39</v>
      </c>
      <c r="F460" t="s">
        <v>35</v>
      </c>
      <c r="G460" t="s">
        <v>7</v>
      </c>
    </row>
    <row r="461" spans="1:7" x14ac:dyDescent="0.35">
      <c r="A461" t="s">
        <v>12</v>
      </c>
      <c r="B461" t="s">
        <v>39</v>
      </c>
      <c r="C461" t="s">
        <v>39</v>
      </c>
      <c r="D461" t="s">
        <v>39</v>
      </c>
      <c r="E461" t="s">
        <v>39</v>
      </c>
      <c r="F461" t="s">
        <v>35</v>
      </c>
      <c r="G461" t="s">
        <v>7</v>
      </c>
    </row>
    <row r="462" spans="1:7" x14ac:dyDescent="0.35">
      <c r="A462" t="s">
        <v>11</v>
      </c>
      <c r="B462" t="s">
        <v>35</v>
      </c>
      <c r="C462" t="s">
        <v>35</v>
      </c>
      <c r="D462" t="s">
        <v>39</v>
      </c>
      <c r="E462" t="s">
        <v>35</v>
      </c>
      <c r="F462" t="s">
        <v>35</v>
      </c>
      <c r="G462" t="s">
        <v>5</v>
      </c>
    </row>
    <row r="463" spans="1:7" x14ac:dyDescent="0.35">
      <c r="A463" t="s">
        <v>11</v>
      </c>
      <c r="B463" t="s">
        <v>35</v>
      </c>
      <c r="C463" t="s">
        <v>35</v>
      </c>
      <c r="D463" t="s">
        <v>31</v>
      </c>
      <c r="E463" t="s">
        <v>39</v>
      </c>
      <c r="F463" t="s">
        <v>35</v>
      </c>
      <c r="G463" t="s">
        <v>7</v>
      </c>
    </row>
    <row r="464" spans="1:7" x14ac:dyDescent="0.35">
      <c r="A464" t="s">
        <v>11</v>
      </c>
      <c r="B464" t="s">
        <v>35</v>
      </c>
      <c r="C464" t="s">
        <v>35</v>
      </c>
      <c r="D464" t="s">
        <v>31</v>
      </c>
      <c r="E464" t="s">
        <v>39</v>
      </c>
      <c r="F464" t="s">
        <v>35</v>
      </c>
      <c r="G464" t="s">
        <v>7</v>
      </c>
    </row>
    <row r="465" spans="1:7" x14ac:dyDescent="0.35">
      <c r="A465" t="s">
        <v>12</v>
      </c>
      <c r="B465" t="s">
        <v>35</v>
      </c>
      <c r="C465" t="s">
        <v>35</v>
      </c>
      <c r="D465" t="s">
        <v>35</v>
      </c>
      <c r="E465" t="s">
        <v>39</v>
      </c>
      <c r="F465" t="s">
        <v>35</v>
      </c>
      <c r="G465" t="s">
        <v>7</v>
      </c>
    </row>
    <row r="466" spans="1:7" x14ac:dyDescent="0.35">
      <c r="A466" t="s">
        <v>12</v>
      </c>
      <c r="B466" t="s">
        <v>35</v>
      </c>
      <c r="C466" t="s">
        <v>31</v>
      </c>
      <c r="D466" t="s">
        <v>31</v>
      </c>
      <c r="E466" t="s">
        <v>31</v>
      </c>
      <c r="F466" t="s">
        <v>35</v>
      </c>
      <c r="G466" t="s">
        <v>5</v>
      </c>
    </row>
    <row r="467" spans="1:7" x14ac:dyDescent="0.35">
      <c r="A467" t="s">
        <v>12</v>
      </c>
      <c r="B467" t="s">
        <v>39</v>
      </c>
      <c r="C467" t="s">
        <v>35</v>
      </c>
      <c r="D467" t="s">
        <v>35</v>
      </c>
      <c r="E467" t="s">
        <v>35</v>
      </c>
      <c r="F467" t="s">
        <v>39</v>
      </c>
      <c r="G467" t="s">
        <v>5</v>
      </c>
    </row>
    <row r="468" spans="1:7" x14ac:dyDescent="0.35">
      <c r="A468" t="s">
        <v>12</v>
      </c>
      <c r="B468" t="s">
        <v>35</v>
      </c>
      <c r="C468" t="s">
        <v>39</v>
      </c>
      <c r="D468" t="s">
        <v>39</v>
      </c>
      <c r="E468" t="s">
        <v>31</v>
      </c>
      <c r="F468" t="s">
        <v>35</v>
      </c>
      <c r="G468" t="s">
        <v>7</v>
      </c>
    </row>
    <row r="469" spans="1:7" x14ac:dyDescent="0.35">
      <c r="A469" t="s">
        <v>11</v>
      </c>
      <c r="B469" t="s">
        <v>31</v>
      </c>
      <c r="C469" t="s">
        <v>31</v>
      </c>
      <c r="D469" t="s">
        <v>35</v>
      </c>
      <c r="E469" t="s">
        <v>35</v>
      </c>
      <c r="F469" t="s">
        <v>35</v>
      </c>
      <c r="G469" t="s">
        <v>7</v>
      </c>
    </row>
    <row r="470" spans="1:7" x14ac:dyDescent="0.35">
      <c r="A470" t="s">
        <v>11</v>
      </c>
      <c r="B470" t="s">
        <v>39</v>
      </c>
      <c r="C470" t="s">
        <v>35</v>
      </c>
      <c r="D470" t="s">
        <v>35</v>
      </c>
      <c r="E470" t="s">
        <v>39</v>
      </c>
      <c r="F470" t="s">
        <v>35</v>
      </c>
      <c r="G470" t="s">
        <v>7</v>
      </c>
    </row>
    <row r="471" spans="1:7" x14ac:dyDescent="0.35">
      <c r="A471" t="s">
        <v>11</v>
      </c>
      <c r="B471" t="s">
        <v>31</v>
      </c>
      <c r="C471" t="s">
        <v>31</v>
      </c>
      <c r="D471" t="s">
        <v>31</v>
      </c>
      <c r="E471" t="s">
        <v>31</v>
      </c>
      <c r="F471" t="s">
        <v>31</v>
      </c>
      <c r="G471" t="s">
        <v>5</v>
      </c>
    </row>
    <row r="472" spans="1:7" x14ac:dyDescent="0.35">
      <c r="A472" t="s">
        <v>11</v>
      </c>
      <c r="B472" t="s">
        <v>39</v>
      </c>
      <c r="C472" t="s">
        <v>35</v>
      </c>
      <c r="D472" t="s">
        <v>35</v>
      </c>
      <c r="E472" t="s">
        <v>35</v>
      </c>
      <c r="F472" t="s">
        <v>31</v>
      </c>
      <c r="G472" t="s">
        <v>7</v>
      </c>
    </row>
    <row r="473" spans="1:7" x14ac:dyDescent="0.35">
      <c r="A473" t="s">
        <v>12</v>
      </c>
      <c r="B473" t="s">
        <v>31</v>
      </c>
      <c r="C473" t="s">
        <v>31</v>
      </c>
      <c r="D473" t="s">
        <v>31</v>
      </c>
      <c r="E473" t="s">
        <v>31</v>
      </c>
      <c r="F473" t="s">
        <v>35</v>
      </c>
      <c r="G473" t="s">
        <v>5</v>
      </c>
    </row>
    <row r="474" spans="1:7" x14ac:dyDescent="0.35">
      <c r="A474" t="s">
        <v>11</v>
      </c>
      <c r="B474" t="s">
        <v>31</v>
      </c>
      <c r="C474" t="s">
        <v>31</v>
      </c>
      <c r="D474" t="s">
        <v>35</v>
      </c>
      <c r="E474" t="s">
        <v>31</v>
      </c>
      <c r="F474" t="s">
        <v>35</v>
      </c>
      <c r="G474" t="s">
        <v>5</v>
      </c>
    </row>
    <row r="475" spans="1:7" x14ac:dyDescent="0.35">
      <c r="A475" t="s">
        <v>12</v>
      </c>
      <c r="B475" t="s">
        <v>39</v>
      </c>
      <c r="C475" t="s">
        <v>39</v>
      </c>
      <c r="D475" t="s">
        <v>39</v>
      </c>
      <c r="E475" t="s">
        <v>31</v>
      </c>
      <c r="F475" t="s">
        <v>39</v>
      </c>
      <c r="G475" t="s">
        <v>5</v>
      </c>
    </row>
    <row r="476" spans="1:7" x14ac:dyDescent="0.35">
      <c r="A476" t="s">
        <v>11</v>
      </c>
      <c r="B476" t="s">
        <v>35</v>
      </c>
      <c r="C476" t="s">
        <v>31</v>
      </c>
      <c r="D476" t="s">
        <v>35</v>
      </c>
      <c r="E476" t="s">
        <v>31</v>
      </c>
      <c r="F476" t="s">
        <v>39</v>
      </c>
      <c r="G476" t="s">
        <v>5</v>
      </c>
    </row>
    <row r="477" spans="1:7" x14ac:dyDescent="0.35">
      <c r="A477" t="s">
        <v>11</v>
      </c>
      <c r="B477" t="s">
        <v>31</v>
      </c>
      <c r="C477" t="s">
        <v>31</v>
      </c>
      <c r="D477" t="s">
        <v>31</v>
      </c>
      <c r="E477" t="s">
        <v>35</v>
      </c>
      <c r="F477" t="s">
        <v>35</v>
      </c>
      <c r="G477" t="s">
        <v>7</v>
      </c>
    </row>
    <row r="478" spans="1:7" x14ac:dyDescent="0.35">
      <c r="A478" t="s">
        <v>12</v>
      </c>
      <c r="B478" t="s">
        <v>35</v>
      </c>
      <c r="C478" t="s">
        <v>35</v>
      </c>
      <c r="D478" t="s">
        <v>35</v>
      </c>
      <c r="E478" t="s">
        <v>35</v>
      </c>
      <c r="F478" t="s">
        <v>39</v>
      </c>
      <c r="G478" t="s">
        <v>7</v>
      </c>
    </row>
    <row r="479" spans="1:7" x14ac:dyDescent="0.35">
      <c r="A479" t="s">
        <v>12</v>
      </c>
      <c r="B479" t="s">
        <v>35</v>
      </c>
      <c r="C479" t="s">
        <v>39</v>
      </c>
      <c r="D479" t="s">
        <v>39</v>
      </c>
      <c r="E479" t="s">
        <v>35</v>
      </c>
      <c r="F479" t="s">
        <v>39</v>
      </c>
      <c r="G479" t="s">
        <v>5</v>
      </c>
    </row>
    <row r="480" spans="1:7" x14ac:dyDescent="0.35">
      <c r="A480" t="s">
        <v>12</v>
      </c>
      <c r="B480" t="s">
        <v>39</v>
      </c>
      <c r="C480" t="s">
        <v>39</v>
      </c>
      <c r="D480" t="s">
        <v>39</v>
      </c>
      <c r="E480" t="s">
        <v>39</v>
      </c>
      <c r="F480" t="s">
        <v>35</v>
      </c>
      <c r="G480" t="s">
        <v>7</v>
      </c>
    </row>
    <row r="481" spans="1:7" x14ac:dyDescent="0.35">
      <c r="A481" t="s">
        <v>11</v>
      </c>
      <c r="B481" t="s">
        <v>39</v>
      </c>
      <c r="C481" t="s">
        <v>35</v>
      </c>
      <c r="D481" t="s">
        <v>39</v>
      </c>
      <c r="E481" t="s">
        <v>31</v>
      </c>
      <c r="F481" t="s">
        <v>31</v>
      </c>
      <c r="G481" t="s">
        <v>7</v>
      </c>
    </row>
    <row r="482" spans="1:7" x14ac:dyDescent="0.35">
      <c r="A482" t="s">
        <v>12</v>
      </c>
      <c r="B482" t="s">
        <v>35</v>
      </c>
      <c r="C482" t="s">
        <v>35</v>
      </c>
      <c r="D482" t="s">
        <v>35</v>
      </c>
      <c r="E482" t="s">
        <v>35</v>
      </c>
      <c r="F482" t="s">
        <v>35</v>
      </c>
      <c r="G482" t="s">
        <v>7</v>
      </c>
    </row>
    <row r="483" spans="1:7" x14ac:dyDescent="0.35">
      <c r="A483" t="s">
        <v>11</v>
      </c>
      <c r="B483" t="s">
        <v>39</v>
      </c>
      <c r="C483" t="s">
        <v>39</v>
      </c>
      <c r="D483" t="s">
        <v>39</v>
      </c>
      <c r="E483" t="s">
        <v>31</v>
      </c>
      <c r="F483" t="s">
        <v>35</v>
      </c>
      <c r="G483" t="s">
        <v>5</v>
      </c>
    </row>
    <row r="484" spans="1:7" x14ac:dyDescent="0.35">
      <c r="A484" t="s">
        <v>11</v>
      </c>
      <c r="B484" t="s">
        <v>39</v>
      </c>
      <c r="C484" t="s">
        <v>39</v>
      </c>
      <c r="D484" t="s">
        <v>39</v>
      </c>
      <c r="E484" t="s">
        <v>39</v>
      </c>
      <c r="F484" t="s">
        <v>31</v>
      </c>
      <c r="G484" t="s">
        <v>7</v>
      </c>
    </row>
    <row r="485" spans="1:7" x14ac:dyDescent="0.35">
      <c r="A485" t="s">
        <v>12</v>
      </c>
      <c r="B485" t="s">
        <v>31</v>
      </c>
      <c r="C485" t="s">
        <v>35</v>
      </c>
      <c r="D485" t="s">
        <v>31</v>
      </c>
      <c r="E485" t="s">
        <v>39</v>
      </c>
      <c r="F485" t="s">
        <v>39</v>
      </c>
      <c r="G485" t="s">
        <v>5</v>
      </c>
    </row>
    <row r="486" spans="1:7" x14ac:dyDescent="0.35">
      <c r="A486" t="s">
        <v>12</v>
      </c>
      <c r="B486" t="s">
        <v>35</v>
      </c>
      <c r="C486" t="s">
        <v>39</v>
      </c>
      <c r="D486" t="s">
        <v>39</v>
      </c>
      <c r="E486" t="s">
        <v>35</v>
      </c>
      <c r="F486" t="s">
        <v>35</v>
      </c>
      <c r="G486" t="s">
        <v>7</v>
      </c>
    </row>
    <row r="487" spans="1:7" x14ac:dyDescent="0.35">
      <c r="A487" t="s">
        <v>12</v>
      </c>
      <c r="B487" t="s">
        <v>35</v>
      </c>
      <c r="C487" t="s">
        <v>31</v>
      </c>
      <c r="D487" t="s">
        <v>35</v>
      </c>
      <c r="E487" t="s">
        <v>31</v>
      </c>
      <c r="F487" t="s">
        <v>35</v>
      </c>
      <c r="G487" t="s">
        <v>5</v>
      </c>
    </row>
    <row r="488" spans="1:7" x14ac:dyDescent="0.35">
      <c r="A488" t="s">
        <v>12</v>
      </c>
      <c r="B488" t="s">
        <v>39</v>
      </c>
      <c r="C488" t="s">
        <v>39</v>
      </c>
      <c r="D488" t="s">
        <v>39</v>
      </c>
      <c r="E488" t="s">
        <v>39</v>
      </c>
      <c r="F488" t="s">
        <v>39</v>
      </c>
      <c r="G488" t="s">
        <v>7</v>
      </c>
    </row>
    <row r="489" spans="1:7" x14ac:dyDescent="0.35">
      <c r="A489" t="s">
        <v>12</v>
      </c>
      <c r="B489" t="s">
        <v>39</v>
      </c>
      <c r="C489" t="s">
        <v>35</v>
      </c>
      <c r="D489" t="s">
        <v>35</v>
      </c>
      <c r="E489" t="s">
        <v>31</v>
      </c>
      <c r="F489" t="s">
        <v>39</v>
      </c>
      <c r="G489" t="s">
        <v>5</v>
      </c>
    </row>
    <row r="490" spans="1:7" x14ac:dyDescent="0.35">
      <c r="A490" t="s">
        <v>11</v>
      </c>
      <c r="B490" t="s">
        <v>31</v>
      </c>
      <c r="C490" t="s">
        <v>35</v>
      </c>
      <c r="D490" t="s">
        <v>35</v>
      </c>
      <c r="E490" t="s">
        <v>35</v>
      </c>
      <c r="F490" t="s">
        <v>35</v>
      </c>
      <c r="G490" t="s">
        <v>5</v>
      </c>
    </row>
    <row r="491" spans="1:7" x14ac:dyDescent="0.35">
      <c r="A491" t="s">
        <v>11</v>
      </c>
      <c r="B491" t="s">
        <v>35</v>
      </c>
      <c r="C491" t="s">
        <v>35</v>
      </c>
      <c r="D491" t="s">
        <v>39</v>
      </c>
      <c r="E491" t="s">
        <v>31</v>
      </c>
      <c r="F491" t="s">
        <v>39</v>
      </c>
      <c r="G491" t="s">
        <v>5</v>
      </c>
    </row>
    <row r="492" spans="1:7" x14ac:dyDescent="0.35">
      <c r="A492" t="s">
        <v>11</v>
      </c>
      <c r="B492" t="s">
        <v>35</v>
      </c>
      <c r="C492" t="s">
        <v>35</v>
      </c>
      <c r="D492" t="s">
        <v>39</v>
      </c>
      <c r="E492" t="s">
        <v>31</v>
      </c>
      <c r="F492" t="s">
        <v>31</v>
      </c>
      <c r="G492" t="s">
        <v>5</v>
      </c>
    </row>
    <row r="493" spans="1:7" x14ac:dyDescent="0.35">
      <c r="A493" t="s">
        <v>11</v>
      </c>
      <c r="B493" t="s">
        <v>31</v>
      </c>
      <c r="C493" t="s">
        <v>31</v>
      </c>
      <c r="D493" t="s">
        <v>31</v>
      </c>
      <c r="E493" t="s">
        <v>35</v>
      </c>
      <c r="F493" t="s">
        <v>39</v>
      </c>
      <c r="G493" t="s">
        <v>5</v>
      </c>
    </row>
    <row r="494" spans="1:7" x14ac:dyDescent="0.35">
      <c r="A494" t="s">
        <v>11</v>
      </c>
      <c r="B494" t="s">
        <v>31</v>
      </c>
      <c r="C494" t="s">
        <v>35</v>
      </c>
      <c r="D494" t="s">
        <v>35</v>
      </c>
      <c r="E494" t="s">
        <v>39</v>
      </c>
      <c r="F494" t="s">
        <v>31</v>
      </c>
      <c r="G494" t="s">
        <v>7</v>
      </c>
    </row>
    <row r="495" spans="1:7" x14ac:dyDescent="0.35">
      <c r="A495" t="s">
        <v>12</v>
      </c>
      <c r="B495" t="s">
        <v>39</v>
      </c>
      <c r="C495" t="s">
        <v>39</v>
      </c>
      <c r="D495" t="s">
        <v>35</v>
      </c>
      <c r="E495" t="s">
        <v>35</v>
      </c>
      <c r="F495" t="s">
        <v>35</v>
      </c>
      <c r="G495" t="s">
        <v>5</v>
      </c>
    </row>
    <row r="496" spans="1:7" x14ac:dyDescent="0.35">
      <c r="A496" t="s">
        <v>11</v>
      </c>
      <c r="B496" t="s">
        <v>35</v>
      </c>
      <c r="C496" t="s">
        <v>35</v>
      </c>
      <c r="D496" t="s">
        <v>35</v>
      </c>
      <c r="E496" t="s">
        <v>35</v>
      </c>
      <c r="F496" t="s">
        <v>31</v>
      </c>
      <c r="G496" t="s">
        <v>7</v>
      </c>
    </row>
    <row r="497" spans="1:7" x14ac:dyDescent="0.35">
      <c r="A497" t="s">
        <v>12</v>
      </c>
      <c r="B497" t="s">
        <v>35</v>
      </c>
      <c r="C497" t="s">
        <v>35</v>
      </c>
      <c r="D497" t="s">
        <v>31</v>
      </c>
      <c r="E497" t="s">
        <v>35</v>
      </c>
      <c r="F497" t="s">
        <v>31</v>
      </c>
      <c r="G497" t="s">
        <v>5</v>
      </c>
    </row>
    <row r="498" spans="1:7" x14ac:dyDescent="0.35">
      <c r="A498" t="s">
        <v>12</v>
      </c>
      <c r="B498" t="s">
        <v>39</v>
      </c>
      <c r="C498" t="s">
        <v>39</v>
      </c>
      <c r="D498" t="s">
        <v>39</v>
      </c>
      <c r="E498" t="s">
        <v>39</v>
      </c>
      <c r="F498" t="s">
        <v>35</v>
      </c>
      <c r="G498" t="s">
        <v>7</v>
      </c>
    </row>
    <row r="499" spans="1:7" x14ac:dyDescent="0.35">
      <c r="A499" t="s">
        <v>11</v>
      </c>
      <c r="B499" t="s">
        <v>35</v>
      </c>
      <c r="C499" t="s">
        <v>35</v>
      </c>
      <c r="D499" t="s">
        <v>35</v>
      </c>
      <c r="E499" t="s">
        <v>35</v>
      </c>
      <c r="F499" t="s">
        <v>39</v>
      </c>
      <c r="G499" t="s">
        <v>5</v>
      </c>
    </row>
    <row r="500" spans="1:7" x14ac:dyDescent="0.35">
      <c r="A500" t="s">
        <v>12</v>
      </c>
      <c r="B500" t="s">
        <v>31</v>
      </c>
      <c r="C500" t="s">
        <v>35</v>
      </c>
      <c r="D500" t="s">
        <v>35</v>
      </c>
      <c r="E500" t="s">
        <v>35</v>
      </c>
      <c r="F500" t="s">
        <v>35</v>
      </c>
      <c r="G500" t="s">
        <v>7</v>
      </c>
    </row>
    <row r="501" spans="1:7" x14ac:dyDescent="0.35">
      <c r="A501" t="s">
        <v>12</v>
      </c>
      <c r="B501" t="s">
        <v>31</v>
      </c>
      <c r="C501" t="s">
        <v>31</v>
      </c>
      <c r="D501" t="s">
        <v>31</v>
      </c>
      <c r="E501" t="s">
        <v>35</v>
      </c>
      <c r="F501" t="s">
        <v>35</v>
      </c>
      <c r="G501" t="s">
        <v>5</v>
      </c>
    </row>
    <row r="502" spans="1:7" x14ac:dyDescent="0.35">
      <c r="A502" t="s">
        <v>12</v>
      </c>
      <c r="B502" t="s">
        <v>39</v>
      </c>
      <c r="C502" t="s">
        <v>39</v>
      </c>
      <c r="D502" t="s">
        <v>35</v>
      </c>
      <c r="E502" t="s">
        <v>39</v>
      </c>
      <c r="F502" t="s">
        <v>35</v>
      </c>
      <c r="G502" t="s">
        <v>7</v>
      </c>
    </row>
    <row r="503" spans="1:7" x14ac:dyDescent="0.35">
      <c r="A503" t="s">
        <v>12</v>
      </c>
      <c r="B503" t="s">
        <v>35</v>
      </c>
      <c r="C503" t="s">
        <v>35</v>
      </c>
      <c r="D503" t="s">
        <v>35</v>
      </c>
      <c r="E503" t="s">
        <v>39</v>
      </c>
      <c r="F503" t="s">
        <v>35</v>
      </c>
      <c r="G503" t="s">
        <v>7</v>
      </c>
    </row>
    <row r="504" spans="1:7" x14ac:dyDescent="0.35">
      <c r="A504" t="s">
        <v>12</v>
      </c>
      <c r="B504" t="s">
        <v>35</v>
      </c>
      <c r="C504" t="s">
        <v>35</v>
      </c>
      <c r="D504" t="s">
        <v>35</v>
      </c>
      <c r="E504" t="s">
        <v>39</v>
      </c>
      <c r="F504" t="s">
        <v>31</v>
      </c>
      <c r="G504" t="s">
        <v>7</v>
      </c>
    </row>
    <row r="505" spans="1:7" x14ac:dyDescent="0.35">
      <c r="A505" t="s">
        <v>12</v>
      </c>
      <c r="B505" t="s">
        <v>39</v>
      </c>
      <c r="C505" t="s">
        <v>35</v>
      </c>
      <c r="D505" t="s">
        <v>35</v>
      </c>
      <c r="E505" t="s">
        <v>39</v>
      </c>
      <c r="F505" t="s">
        <v>35</v>
      </c>
      <c r="G505" t="s">
        <v>7</v>
      </c>
    </row>
    <row r="506" spans="1:7" x14ac:dyDescent="0.35">
      <c r="A506" t="s">
        <v>11</v>
      </c>
      <c r="B506" t="s">
        <v>35</v>
      </c>
      <c r="C506" t="s">
        <v>31</v>
      </c>
      <c r="D506" t="s">
        <v>31</v>
      </c>
      <c r="E506" t="s">
        <v>39</v>
      </c>
      <c r="F506" t="s">
        <v>35</v>
      </c>
      <c r="G506" t="s">
        <v>5</v>
      </c>
    </row>
    <row r="507" spans="1:7" x14ac:dyDescent="0.35">
      <c r="A507" t="s">
        <v>12</v>
      </c>
      <c r="B507" t="s">
        <v>31</v>
      </c>
      <c r="C507" t="s">
        <v>31</v>
      </c>
      <c r="D507" t="s">
        <v>31</v>
      </c>
      <c r="E507" t="s">
        <v>31</v>
      </c>
      <c r="F507" t="s">
        <v>31</v>
      </c>
      <c r="G507" t="s">
        <v>5</v>
      </c>
    </row>
    <row r="508" spans="1:7" x14ac:dyDescent="0.35">
      <c r="A508" t="s">
        <v>11</v>
      </c>
      <c r="B508" t="s">
        <v>35</v>
      </c>
      <c r="C508" t="s">
        <v>39</v>
      </c>
      <c r="D508" t="s">
        <v>39</v>
      </c>
      <c r="E508" t="s">
        <v>35</v>
      </c>
      <c r="F508" t="s">
        <v>31</v>
      </c>
      <c r="G508" t="s">
        <v>7</v>
      </c>
    </row>
    <row r="509" spans="1:7" x14ac:dyDescent="0.35">
      <c r="A509" t="s">
        <v>11</v>
      </c>
      <c r="B509" t="s">
        <v>31</v>
      </c>
      <c r="C509" t="s">
        <v>31</v>
      </c>
      <c r="D509" t="s">
        <v>31</v>
      </c>
      <c r="E509" t="s">
        <v>31</v>
      </c>
      <c r="F509" t="s">
        <v>39</v>
      </c>
      <c r="G509" t="s">
        <v>5</v>
      </c>
    </row>
    <row r="510" spans="1:7" x14ac:dyDescent="0.35">
      <c r="A510" t="s">
        <v>12</v>
      </c>
      <c r="B510" t="s">
        <v>39</v>
      </c>
      <c r="C510" t="s">
        <v>35</v>
      </c>
      <c r="D510" t="s">
        <v>35</v>
      </c>
      <c r="E510" t="s">
        <v>35</v>
      </c>
      <c r="F510" t="s">
        <v>35</v>
      </c>
      <c r="G510" t="s">
        <v>7</v>
      </c>
    </row>
    <row r="511" spans="1:7" x14ac:dyDescent="0.35">
      <c r="A511" t="s">
        <v>11</v>
      </c>
      <c r="B511" t="s">
        <v>35</v>
      </c>
      <c r="C511" t="s">
        <v>31</v>
      </c>
      <c r="D511" t="s">
        <v>35</v>
      </c>
      <c r="E511" t="s">
        <v>31</v>
      </c>
      <c r="F511" t="s">
        <v>39</v>
      </c>
      <c r="G511" t="s">
        <v>5</v>
      </c>
    </row>
    <row r="512" spans="1:7" x14ac:dyDescent="0.35">
      <c r="A512" t="s">
        <v>11</v>
      </c>
      <c r="B512" t="s">
        <v>31</v>
      </c>
      <c r="C512" t="s">
        <v>31</v>
      </c>
      <c r="D512" t="s">
        <v>35</v>
      </c>
      <c r="E512" t="s">
        <v>31</v>
      </c>
      <c r="F512" t="s">
        <v>39</v>
      </c>
      <c r="G512" t="s">
        <v>7</v>
      </c>
    </row>
    <row r="513" spans="1:7" x14ac:dyDescent="0.35">
      <c r="A513" t="s">
        <v>11</v>
      </c>
      <c r="B513" t="s">
        <v>31</v>
      </c>
      <c r="C513" t="s">
        <v>31</v>
      </c>
      <c r="D513" t="s">
        <v>31</v>
      </c>
      <c r="E513" t="s">
        <v>39</v>
      </c>
      <c r="F513" t="s">
        <v>31</v>
      </c>
      <c r="G513" t="s">
        <v>7</v>
      </c>
    </row>
    <row r="514" spans="1:7" x14ac:dyDescent="0.35">
      <c r="A514" t="s">
        <v>12</v>
      </c>
      <c r="B514" t="s">
        <v>35</v>
      </c>
      <c r="C514" t="s">
        <v>35</v>
      </c>
      <c r="D514" t="s">
        <v>35</v>
      </c>
      <c r="E514" t="s">
        <v>35</v>
      </c>
      <c r="F514" t="s">
        <v>35</v>
      </c>
      <c r="G514" t="s">
        <v>7</v>
      </c>
    </row>
    <row r="515" spans="1:7" x14ac:dyDescent="0.35">
      <c r="A515" t="s">
        <v>12</v>
      </c>
      <c r="B515" t="s">
        <v>35</v>
      </c>
      <c r="C515" t="s">
        <v>31</v>
      </c>
      <c r="D515" t="s">
        <v>31</v>
      </c>
      <c r="E515" t="s">
        <v>39</v>
      </c>
      <c r="F515" t="s">
        <v>35</v>
      </c>
      <c r="G515" t="s">
        <v>5</v>
      </c>
    </row>
    <row r="516" spans="1:7" x14ac:dyDescent="0.35">
      <c r="A516" t="s">
        <v>12</v>
      </c>
      <c r="B516" t="s">
        <v>35</v>
      </c>
      <c r="C516" t="s">
        <v>35</v>
      </c>
      <c r="D516" t="s">
        <v>35</v>
      </c>
      <c r="E516" t="s">
        <v>35</v>
      </c>
      <c r="F516" t="s">
        <v>39</v>
      </c>
      <c r="G516" t="s">
        <v>5</v>
      </c>
    </row>
    <row r="517" spans="1:7" x14ac:dyDescent="0.35">
      <c r="A517" t="s">
        <v>11</v>
      </c>
      <c r="B517" t="s">
        <v>31</v>
      </c>
      <c r="C517" t="s">
        <v>31</v>
      </c>
      <c r="D517" t="s">
        <v>31</v>
      </c>
      <c r="E517" t="s">
        <v>35</v>
      </c>
      <c r="F517" t="s">
        <v>35</v>
      </c>
      <c r="G517" t="s">
        <v>5</v>
      </c>
    </row>
    <row r="518" spans="1:7" x14ac:dyDescent="0.35">
      <c r="A518" t="s">
        <v>12</v>
      </c>
      <c r="B518" t="s">
        <v>31</v>
      </c>
      <c r="C518" t="s">
        <v>35</v>
      </c>
      <c r="D518" t="s">
        <v>35</v>
      </c>
      <c r="E518" t="s">
        <v>35</v>
      </c>
      <c r="F518" t="s">
        <v>35</v>
      </c>
      <c r="G518" t="s">
        <v>7</v>
      </c>
    </row>
    <row r="519" spans="1:7" x14ac:dyDescent="0.35">
      <c r="A519" t="s">
        <v>12</v>
      </c>
      <c r="B519" t="s">
        <v>35</v>
      </c>
      <c r="C519" t="s">
        <v>35</v>
      </c>
      <c r="D519" t="s">
        <v>31</v>
      </c>
      <c r="E519" t="s">
        <v>39</v>
      </c>
      <c r="F519" t="s">
        <v>35</v>
      </c>
      <c r="G519" t="s">
        <v>7</v>
      </c>
    </row>
    <row r="520" spans="1:7" x14ac:dyDescent="0.35">
      <c r="A520" t="s">
        <v>12</v>
      </c>
      <c r="B520" t="s">
        <v>39</v>
      </c>
      <c r="C520" t="s">
        <v>39</v>
      </c>
      <c r="D520" t="s">
        <v>39</v>
      </c>
      <c r="E520" t="s">
        <v>39</v>
      </c>
      <c r="F520" t="s">
        <v>39</v>
      </c>
      <c r="G520" t="s">
        <v>7</v>
      </c>
    </row>
    <row r="521" spans="1:7" x14ac:dyDescent="0.35">
      <c r="A521" t="s">
        <v>11</v>
      </c>
      <c r="B521" t="s">
        <v>39</v>
      </c>
      <c r="C521" t="s">
        <v>39</v>
      </c>
      <c r="D521" t="s">
        <v>39</v>
      </c>
      <c r="E521" t="s">
        <v>39</v>
      </c>
      <c r="F521" t="s">
        <v>39</v>
      </c>
      <c r="G521" t="s">
        <v>5</v>
      </c>
    </row>
    <row r="522" spans="1:7" x14ac:dyDescent="0.35">
      <c r="A522" t="s">
        <v>12</v>
      </c>
      <c r="B522" t="s">
        <v>35</v>
      </c>
      <c r="C522" t="s">
        <v>31</v>
      </c>
      <c r="D522" t="s">
        <v>31</v>
      </c>
      <c r="E522" t="s">
        <v>35</v>
      </c>
      <c r="F522" t="s">
        <v>35</v>
      </c>
      <c r="G522" t="s">
        <v>5</v>
      </c>
    </row>
    <row r="523" spans="1:7" x14ac:dyDescent="0.35">
      <c r="A523" t="s">
        <v>11</v>
      </c>
      <c r="B523" t="s">
        <v>35</v>
      </c>
      <c r="C523" t="s">
        <v>39</v>
      </c>
      <c r="D523" t="s">
        <v>35</v>
      </c>
      <c r="E523" t="s">
        <v>39</v>
      </c>
      <c r="F523" t="s">
        <v>35</v>
      </c>
      <c r="G523" t="s">
        <v>7</v>
      </c>
    </row>
    <row r="524" spans="1:7" x14ac:dyDescent="0.35">
      <c r="A524" t="s">
        <v>11</v>
      </c>
      <c r="B524" t="s">
        <v>35</v>
      </c>
      <c r="C524" t="s">
        <v>35</v>
      </c>
      <c r="D524" t="s">
        <v>35</v>
      </c>
      <c r="E524" t="s">
        <v>35</v>
      </c>
      <c r="F524" t="s">
        <v>35</v>
      </c>
      <c r="G524" t="s">
        <v>7</v>
      </c>
    </row>
    <row r="525" spans="1:7" x14ac:dyDescent="0.35">
      <c r="A525" t="s">
        <v>11</v>
      </c>
      <c r="B525" t="s">
        <v>31</v>
      </c>
      <c r="C525" t="s">
        <v>35</v>
      </c>
      <c r="D525" t="s">
        <v>31</v>
      </c>
      <c r="E525" t="s">
        <v>35</v>
      </c>
      <c r="F525" t="s">
        <v>31</v>
      </c>
      <c r="G525" t="s">
        <v>7</v>
      </c>
    </row>
    <row r="526" spans="1:7" x14ac:dyDescent="0.35">
      <c r="A526" t="s">
        <v>11</v>
      </c>
      <c r="B526" t="s">
        <v>35</v>
      </c>
      <c r="C526" t="s">
        <v>35</v>
      </c>
      <c r="D526" t="s">
        <v>35</v>
      </c>
      <c r="E526" t="s">
        <v>35</v>
      </c>
      <c r="F526" t="s">
        <v>31</v>
      </c>
      <c r="G526" t="s">
        <v>7</v>
      </c>
    </row>
    <row r="527" spans="1:7" x14ac:dyDescent="0.35">
      <c r="A527" t="s">
        <v>11</v>
      </c>
      <c r="B527" t="s">
        <v>35</v>
      </c>
      <c r="C527" t="s">
        <v>39</v>
      </c>
      <c r="D527" t="s">
        <v>35</v>
      </c>
      <c r="E527" t="s">
        <v>39</v>
      </c>
      <c r="F527" t="s">
        <v>31</v>
      </c>
      <c r="G527" t="s">
        <v>7</v>
      </c>
    </row>
    <row r="528" spans="1:7" x14ac:dyDescent="0.35">
      <c r="A528" t="s">
        <v>11</v>
      </c>
      <c r="B528" t="s">
        <v>31</v>
      </c>
      <c r="C528" t="s">
        <v>31</v>
      </c>
      <c r="D528" t="s">
        <v>31</v>
      </c>
      <c r="E528" t="s">
        <v>35</v>
      </c>
      <c r="F528" t="s">
        <v>31</v>
      </c>
      <c r="G528" t="s">
        <v>7</v>
      </c>
    </row>
    <row r="529" spans="1:7" x14ac:dyDescent="0.35">
      <c r="A529" t="s">
        <v>12</v>
      </c>
      <c r="B529" t="s">
        <v>39</v>
      </c>
      <c r="C529" t="s">
        <v>39</v>
      </c>
      <c r="D529" t="s">
        <v>35</v>
      </c>
      <c r="E529" t="s">
        <v>39</v>
      </c>
      <c r="F529" t="s">
        <v>35</v>
      </c>
      <c r="G529" t="s">
        <v>7</v>
      </c>
    </row>
    <row r="530" spans="1:7" x14ac:dyDescent="0.35">
      <c r="A530" t="s">
        <v>11</v>
      </c>
      <c r="B530" t="s">
        <v>31</v>
      </c>
      <c r="C530" t="s">
        <v>31</v>
      </c>
      <c r="D530" t="s">
        <v>31</v>
      </c>
      <c r="E530" t="s">
        <v>31</v>
      </c>
      <c r="F530" t="s">
        <v>31</v>
      </c>
      <c r="G530" t="s">
        <v>7</v>
      </c>
    </row>
    <row r="531" spans="1:7" x14ac:dyDescent="0.35">
      <c r="A531" t="s">
        <v>12</v>
      </c>
      <c r="B531" t="s">
        <v>35</v>
      </c>
      <c r="C531" t="s">
        <v>31</v>
      </c>
      <c r="D531" t="s">
        <v>35</v>
      </c>
      <c r="E531" t="s">
        <v>31</v>
      </c>
      <c r="F531" t="s">
        <v>35</v>
      </c>
      <c r="G531" t="s">
        <v>5</v>
      </c>
    </row>
    <row r="532" spans="1:7" x14ac:dyDescent="0.35">
      <c r="A532" t="s">
        <v>11</v>
      </c>
      <c r="B532" t="s">
        <v>35</v>
      </c>
      <c r="C532" t="s">
        <v>39</v>
      </c>
      <c r="D532" t="s">
        <v>39</v>
      </c>
      <c r="E532" t="s">
        <v>35</v>
      </c>
      <c r="F532" t="s">
        <v>35</v>
      </c>
      <c r="G532" t="s">
        <v>5</v>
      </c>
    </row>
    <row r="533" spans="1:7" x14ac:dyDescent="0.35">
      <c r="A533" t="s">
        <v>12</v>
      </c>
      <c r="B533" t="s">
        <v>39</v>
      </c>
      <c r="C533" t="s">
        <v>39</v>
      </c>
      <c r="D533" t="s">
        <v>35</v>
      </c>
      <c r="E533" t="s">
        <v>39</v>
      </c>
      <c r="F533" t="s">
        <v>35</v>
      </c>
      <c r="G533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6"/>
  <sheetViews>
    <sheetView workbookViewId="0">
      <selection activeCell="D5" sqref="D5"/>
    </sheetView>
  </sheetViews>
  <sheetFormatPr defaultRowHeight="14.5" x14ac:dyDescent="0.35"/>
  <sheetData>
    <row r="1" spans="1:7" x14ac:dyDescent="0.35">
      <c r="A1" t="str">
        <f>NFLDataSet!A2</f>
        <v>H</v>
      </c>
      <c r="B1" t="str">
        <f>VLOOKUP(NFLDataSet!B2,FirstDownDiff2,2,TRUE)</f>
        <v>High</v>
      </c>
      <c r="C1" t="str">
        <f>VLOOKUP(NFLDataSet!C2,TotalYardDiff2,2,TRUE)</f>
        <v>High</v>
      </c>
      <c r="D1" t="str">
        <f>VLOOKUP(NFLDataSet!D2,PassYardsDiff2,2,TRUE)</f>
        <v>High</v>
      </c>
      <c r="E1" t="str">
        <f>VLOOKUP(NFLDataSet!E2,RushYards2,2,TRUE)</f>
        <v>High</v>
      </c>
      <c r="F1" t="str">
        <f>VLOOKUP(NFLDataSet!F2,TurnOverDiff2,2,TRUE)</f>
        <v>Medium</v>
      </c>
      <c r="G1" t="str">
        <f>NFLDataSet!G2</f>
        <v>W</v>
      </c>
    </row>
    <row r="2" spans="1:7" x14ac:dyDescent="0.35">
      <c r="A2" t="str">
        <f>NFLDataSet!A3</f>
        <v>A</v>
      </c>
      <c r="B2" t="str">
        <f>VLOOKUP(NFLDataSet!B3,FirstDownDiff2,2,TRUE)</f>
        <v>Medium</v>
      </c>
      <c r="C2" t="str">
        <f>VLOOKUP(NFLDataSet!C3,TotalYardDiff2,2,TRUE)</f>
        <v>Low</v>
      </c>
      <c r="D2" t="str">
        <f>VLOOKUP(NFLDataSet!D3,PassYardsDiff2,2,TRUE)</f>
        <v>Low</v>
      </c>
      <c r="E2" t="str">
        <f>VLOOKUP(NFLDataSet!E3,RushYards2,2,TRUE)</f>
        <v>Medium</v>
      </c>
      <c r="F2" t="str">
        <f>VLOOKUP(NFLDataSet!F3,TurnOverDiff2,2,TRUE)</f>
        <v>Medium</v>
      </c>
      <c r="G2" t="str">
        <f>NFLDataSet!G3</f>
        <v>L</v>
      </c>
    </row>
    <row r="3" spans="1:7" x14ac:dyDescent="0.35">
      <c r="A3" t="str">
        <f>NFLDataSet!A4</f>
        <v>H</v>
      </c>
      <c r="B3" t="str">
        <f>VLOOKUP(NFLDataSet!B4,FirstDownDiff2,2,TRUE)</f>
        <v>High</v>
      </c>
      <c r="C3" t="str">
        <f>VLOOKUP(NFLDataSet!C4,TotalYardDiff2,2,TRUE)</f>
        <v>High</v>
      </c>
      <c r="D3" t="str">
        <f>VLOOKUP(NFLDataSet!D4,PassYardsDiff2,2,TRUE)</f>
        <v>High</v>
      </c>
      <c r="E3" t="str">
        <f>VLOOKUP(NFLDataSet!E4,RushYards2,2,TRUE)</f>
        <v>Medium</v>
      </c>
      <c r="F3" t="str">
        <f>VLOOKUP(NFLDataSet!F4,TurnOverDiff2,2,TRUE)</f>
        <v>Medium</v>
      </c>
      <c r="G3" t="str">
        <f>NFLDataSet!G4</f>
        <v>W</v>
      </c>
    </row>
    <row r="4" spans="1:7" x14ac:dyDescent="0.35">
      <c r="A4" t="str">
        <f>NFLDataSet!A5</f>
        <v>A</v>
      </c>
      <c r="B4" t="str">
        <f>VLOOKUP(NFLDataSet!B5,FirstDownDiff2,2,TRUE)</f>
        <v>Medium</v>
      </c>
      <c r="C4" t="str">
        <f>VLOOKUP(NFLDataSet!C5,TotalYardDiff2,2,TRUE)</f>
        <v>Medium</v>
      </c>
      <c r="D4" t="str">
        <f>VLOOKUP(NFLDataSet!D5,PassYardsDiff2,2,TRUE)</f>
        <v>Medium</v>
      </c>
      <c r="E4" t="str">
        <f>VLOOKUP(NFLDataSet!E5,RushYards2,2,TRUE)</f>
        <v>Medium</v>
      </c>
      <c r="F4" t="str">
        <f>VLOOKUP(NFLDataSet!F5,TurnOverDiff2,2,TRUE)</f>
        <v>Medium</v>
      </c>
      <c r="G4" t="str">
        <f>NFLDataSet!G5</f>
        <v>L</v>
      </c>
    </row>
    <row r="5" spans="1:7" x14ac:dyDescent="0.35">
      <c r="A5" t="str">
        <f>NFLDataSet!A6</f>
        <v>A</v>
      </c>
      <c r="B5" t="str">
        <f>VLOOKUP(NFLDataSet!B6,FirstDownDiff2,2,TRUE)</f>
        <v>High</v>
      </c>
      <c r="C5" t="str">
        <f>VLOOKUP(NFLDataSet!C6,TotalYardDiff2,2,TRUE)</f>
        <v>High</v>
      </c>
      <c r="D5" t="str">
        <f>VLOOKUP(NFLDataSet!D6,PassYardsDiff2,2,TRUE)</f>
        <v>High</v>
      </c>
      <c r="E5" t="str">
        <f>VLOOKUP(NFLDataSet!E6,RushYards2,2,TRUE)</f>
        <v>Medium</v>
      </c>
      <c r="F5" t="str">
        <f>VLOOKUP(NFLDataSet!F6,TurnOverDiff2,2,TRUE)</f>
        <v>Medium</v>
      </c>
      <c r="G5" t="str">
        <f>NFLDataSet!G6</f>
        <v>W</v>
      </c>
    </row>
    <row r="6" spans="1:7" x14ac:dyDescent="0.35">
      <c r="A6" t="str">
        <f>NFLDataSet!A7</f>
        <v>H</v>
      </c>
      <c r="B6" t="str">
        <f>VLOOKUP(NFLDataSet!B7,FirstDownDiff2,2,TRUE)</f>
        <v>High</v>
      </c>
      <c r="C6" t="str">
        <f>VLOOKUP(NFLDataSet!C7,TotalYardDiff2,2,TRUE)</f>
        <v>High</v>
      </c>
      <c r="D6" t="str">
        <f>VLOOKUP(NFLDataSet!D7,PassYardsDiff2,2,TRUE)</f>
        <v>Medium</v>
      </c>
      <c r="E6" t="str">
        <f>VLOOKUP(NFLDataSet!E7,RushYards2,2,TRUE)</f>
        <v>High</v>
      </c>
      <c r="F6" t="str">
        <f>VLOOKUP(NFLDataSet!F7,TurnOverDiff2,2,TRUE)</f>
        <v>Medium</v>
      </c>
      <c r="G6" t="str">
        <f>NFLDataSet!G7</f>
        <v>W</v>
      </c>
    </row>
    <row r="7" spans="1:7" x14ac:dyDescent="0.35">
      <c r="A7" t="str">
        <f>NFLDataSet!A8</f>
        <v>A</v>
      </c>
      <c r="B7" t="str">
        <f>VLOOKUP(NFLDataSet!B8,FirstDownDiff2,2,TRUE)</f>
        <v>Low</v>
      </c>
      <c r="C7" t="str">
        <f>VLOOKUP(NFLDataSet!C8,TotalYardDiff2,2,TRUE)</f>
        <v>Low</v>
      </c>
      <c r="D7" t="str">
        <f>VLOOKUP(NFLDataSet!D8,PassYardsDiff2,2,TRUE)</f>
        <v>Medium</v>
      </c>
      <c r="E7" t="str">
        <f>VLOOKUP(NFLDataSet!E8,RushYards2,2,TRUE)</f>
        <v>Low</v>
      </c>
      <c r="F7" t="str">
        <f>VLOOKUP(NFLDataSet!F8,TurnOverDiff2,2,TRUE)</f>
        <v>Medium</v>
      </c>
      <c r="G7" t="str">
        <f>NFLDataSet!G8</f>
        <v>L</v>
      </c>
    </row>
    <row r="8" spans="1:7" x14ac:dyDescent="0.35">
      <c r="A8" t="str">
        <f>NFLDataSet!A9</f>
        <v>H</v>
      </c>
      <c r="B8" t="str">
        <f>VLOOKUP(NFLDataSet!B9,FirstDownDiff2,2,TRUE)</f>
        <v>Medium</v>
      </c>
      <c r="C8" t="str">
        <f>VLOOKUP(NFLDataSet!C9,TotalYardDiff2,2,TRUE)</f>
        <v>High</v>
      </c>
      <c r="D8" t="str">
        <f>VLOOKUP(NFLDataSet!D9,PassYardsDiff2,2,TRUE)</f>
        <v>High</v>
      </c>
      <c r="E8" t="str">
        <f>VLOOKUP(NFLDataSet!E9,RushYards2,2,TRUE)</f>
        <v>Medium</v>
      </c>
      <c r="F8" t="str">
        <f>VLOOKUP(NFLDataSet!F9,TurnOverDiff2,2,TRUE)</f>
        <v>Medium</v>
      </c>
      <c r="G8" t="str">
        <f>NFLDataSet!G9</f>
        <v>W</v>
      </c>
    </row>
    <row r="9" spans="1:7" x14ac:dyDescent="0.35">
      <c r="A9" t="str">
        <f>NFLDataSet!A10</f>
        <v>A</v>
      </c>
      <c r="B9" t="str">
        <f>VLOOKUP(NFLDataSet!B10,FirstDownDiff2,2,TRUE)</f>
        <v>High</v>
      </c>
      <c r="C9" t="str">
        <f>VLOOKUP(NFLDataSet!C10,TotalYardDiff2,2,TRUE)</f>
        <v>Medium</v>
      </c>
      <c r="D9" t="str">
        <f>VLOOKUP(NFLDataSet!D10,PassYardsDiff2,2,TRUE)</f>
        <v>Medium</v>
      </c>
      <c r="E9" t="str">
        <f>VLOOKUP(NFLDataSet!E10,RushYards2,2,TRUE)</f>
        <v>Medium</v>
      </c>
      <c r="F9" t="str">
        <f>VLOOKUP(NFLDataSet!F10,TurnOverDiff2,2,TRUE)</f>
        <v>Medium</v>
      </c>
      <c r="G9" t="str">
        <f>NFLDataSet!G10</f>
        <v>L</v>
      </c>
    </row>
    <row r="10" spans="1:7" x14ac:dyDescent="0.35">
      <c r="A10" t="str">
        <f>NFLDataSet!A11</f>
        <v>H</v>
      </c>
      <c r="B10" t="str">
        <f>VLOOKUP(NFLDataSet!B11,FirstDownDiff2,2,TRUE)</f>
        <v>Medium</v>
      </c>
      <c r="C10" t="str">
        <f>VLOOKUP(NFLDataSet!C11,TotalYardDiff2,2,TRUE)</f>
        <v>Medium</v>
      </c>
      <c r="D10" t="str">
        <f>VLOOKUP(NFLDataSet!D11,PassYardsDiff2,2,TRUE)</f>
        <v>Medium</v>
      </c>
      <c r="E10" t="str">
        <f>VLOOKUP(NFLDataSet!E11,RushYards2,2,TRUE)</f>
        <v>Medium</v>
      </c>
      <c r="F10" t="str">
        <f>VLOOKUP(NFLDataSet!F11,TurnOverDiff2,2,TRUE)</f>
        <v>Medium</v>
      </c>
      <c r="G10" t="str">
        <f>NFLDataSet!G11</f>
        <v>W</v>
      </c>
    </row>
    <row r="11" spans="1:7" x14ac:dyDescent="0.35">
      <c r="A11" t="str">
        <f>NFLDataSet!A12</f>
        <v>A</v>
      </c>
      <c r="B11" t="str">
        <f>VLOOKUP(NFLDataSet!B12,FirstDownDiff2,2,TRUE)</f>
        <v>Low</v>
      </c>
      <c r="C11" t="str">
        <f>VLOOKUP(NFLDataSet!C12,TotalYardDiff2,2,TRUE)</f>
        <v>Medium</v>
      </c>
      <c r="D11" t="str">
        <f>VLOOKUP(NFLDataSet!D12,PassYardsDiff2,2,TRUE)</f>
        <v>Medium</v>
      </c>
      <c r="E11" t="str">
        <f>VLOOKUP(NFLDataSet!E12,RushYards2,2,TRUE)</f>
        <v>Medium</v>
      </c>
      <c r="F11" t="str">
        <f>VLOOKUP(NFLDataSet!F12,TurnOverDiff2,2,TRUE)</f>
        <v>Medium</v>
      </c>
      <c r="G11" t="str">
        <f>NFLDataSet!G12</f>
        <v>L</v>
      </c>
    </row>
    <row r="12" spans="1:7" x14ac:dyDescent="0.35">
      <c r="A12" t="str">
        <f>NFLDataSet!A13</f>
        <v>H</v>
      </c>
      <c r="B12" t="str">
        <f>VLOOKUP(NFLDataSet!B13,FirstDownDiff2,2,TRUE)</f>
        <v>Low</v>
      </c>
      <c r="C12" t="str">
        <f>VLOOKUP(NFLDataSet!C13,TotalYardDiff2,2,TRUE)</f>
        <v>Low</v>
      </c>
      <c r="D12" t="str">
        <f>VLOOKUP(NFLDataSet!D13,PassYardsDiff2,2,TRUE)</f>
        <v>Low</v>
      </c>
      <c r="E12" t="str">
        <f>VLOOKUP(NFLDataSet!E13,RushYards2,2,TRUE)</f>
        <v>Medium</v>
      </c>
      <c r="F12" t="str">
        <f>VLOOKUP(NFLDataSet!F13,TurnOverDiff2,2,TRUE)</f>
        <v>Medium</v>
      </c>
      <c r="G12" t="str">
        <f>NFLDataSet!G13</f>
        <v>W</v>
      </c>
    </row>
    <row r="13" spans="1:7" x14ac:dyDescent="0.35">
      <c r="A13" t="str">
        <f>NFLDataSet!A14</f>
        <v>A</v>
      </c>
      <c r="B13" t="str">
        <f>VLOOKUP(NFLDataSet!B14,FirstDownDiff2,2,TRUE)</f>
        <v>Medium</v>
      </c>
      <c r="C13" t="str">
        <f>VLOOKUP(NFLDataSet!C14,TotalYardDiff2,2,TRUE)</f>
        <v>High</v>
      </c>
      <c r="D13" t="str">
        <f>VLOOKUP(NFLDataSet!D14,PassYardsDiff2,2,TRUE)</f>
        <v>Medium</v>
      </c>
      <c r="E13" t="str">
        <f>VLOOKUP(NFLDataSet!E14,RushYards2,2,TRUE)</f>
        <v>High</v>
      </c>
      <c r="F13" t="str">
        <f>VLOOKUP(NFLDataSet!F14,TurnOverDiff2,2,TRUE)</f>
        <v>Medium</v>
      </c>
      <c r="G13" t="str">
        <f>NFLDataSet!G14</f>
        <v>W</v>
      </c>
    </row>
    <row r="14" spans="1:7" x14ac:dyDescent="0.35">
      <c r="A14" t="str">
        <f>NFLDataSet!A15</f>
        <v>A</v>
      </c>
      <c r="B14" t="str">
        <f>VLOOKUP(NFLDataSet!B15,FirstDownDiff2,2,TRUE)</f>
        <v>Medium</v>
      </c>
      <c r="C14" t="str">
        <f>VLOOKUP(NFLDataSet!C15,TotalYardDiff2,2,TRUE)</f>
        <v>Medium</v>
      </c>
      <c r="D14" t="str">
        <f>VLOOKUP(NFLDataSet!D15,PassYardsDiff2,2,TRUE)</f>
        <v>Medium</v>
      </c>
      <c r="E14" t="str">
        <f>VLOOKUP(NFLDataSet!E15,RushYards2,2,TRUE)</f>
        <v>Medium</v>
      </c>
      <c r="F14" t="str">
        <f>VLOOKUP(NFLDataSet!F15,TurnOverDiff2,2,TRUE)</f>
        <v>Medium</v>
      </c>
      <c r="G14" t="str">
        <f>NFLDataSet!G15</f>
        <v>L</v>
      </c>
    </row>
    <row r="15" spans="1:7" x14ac:dyDescent="0.35">
      <c r="A15" t="str">
        <f>NFLDataSet!A16</f>
        <v>H</v>
      </c>
      <c r="B15" t="str">
        <f>VLOOKUP(NFLDataSet!B16,FirstDownDiff2,2,TRUE)</f>
        <v>Medium</v>
      </c>
      <c r="C15" t="str">
        <f>VLOOKUP(NFLDataSet!C16,TotalYardDiff2,2,TRUE)</f>
        <v>Medium</v>
      </c>
      <c r="D15" t="str">
        <f>VLOOKUP(NFLDataSet!D16,PassYardsDiff2,2,TRUE)</f>
        <v>Medium</v>
      </c>
      <c r="E15" t="str">
        <f>VLOOKUP(NFLDataSet!E16,RushYards2,2,TRUE)</f>
        <v>Medium</v>
      </c>
      <c r="F15" t="str">
        <f>VLOOKUP(NFLDataSet!F16,TurnOverDiff2,2,TRUE)</f>
        <v>Low</v>
      </c>
      <c r="G15" t="str">
        <f>NFLDataSet!G16</f>
        <v>W</v>
      </c>
    </row>
    <row r="16" spans="1:7" x14ac:dyDescent="0.35">
      <c r="A16" t="str">
        <f>NFLDataSet!A17</f>
        <v>H</v>
      </c>
      <c r="B16" t="str">
        <f>VLOOKUP(NFLDataSet!B17,FirstDownDiff2,2,TRUE)</f>
        <v>Medium</v>
      </c>
      <c r="C16" t="str">
        <f>VLOOKUP(NFLDataSet!C17,TotalYardDiff2,2,TRUE)</f>
        <v>Low</v>
      </c>
      <c r="D16" t="str">
        <f>VLOOKUP(NFLDataSet!D17,PassYardsDiff2,2,TRUE)</f>
        <v>Medium</v>
      </c>
      <c r="E16" t="str">
        <f>VLOOKUP(NFLDataSet!E17,RushYards2,2,TRUE)</f>
        <v>Medium</v>
      </c>
      <c r="F16" t="str">
        <f>VLOOKUP(NFLDataSet!F17,TurnOverDiff2,2,TRUE)</f>
        <v>Medium</v>
      </c>
      <c r="G16" t="str">
        <f>NFLDataSet!G17</f>
        <v>W</v>
      </c>
    </row>
    <row r="17" spans="1:7" x14ac:dyDescent="0.35">
      <c r="A17" t="str">
        <f>NFLDataSet!A18</f>
        <v>H</v>
      </c>
      <c r="B17" t="str">
        <f>VLOOKUP(NFLDataSet!B18,FirstDownDiff2,2,TRUE)</f>
        <v>Medium</v>
      </c>
      <c r="C17" t="str">
        <f>VLOOKUP(NFLDataSet!C18,TotalYardDiff2,2,TRUE)</f>
        <v>Medium</v>
      </c>
      <c r="D17" t="str">
        <f>VLOOKUP(NFLDataSet!D18,PassYardsDiff2,2,TRUE)</f>
        <v>Medium</v>
      </c>
      <c r="E17" t="str">
        <f>VLOOKUP(NFLDataSet!E18,RushYards2,2,TRUE)</f>
        <v>Medium</v>
      </c>
      <c r="F17" t="str">
        <f>VLOOKUP(NFLDataSet!F18,TurnOverDiff2,2,TRUE)</f>
        <v>Medium</v>
      </c>
      <c r="G17" t="str">
        <f>NFLDataSet!G18</f>
        <v>W</v>
      </c>
    </row>
    <row r="18" spans="1:7" x14ac:dyDescent="0.35">
      <c r="A18" t="str">
        <f>NFLDataSet!A19</f>
        <v>H</v>
      </c>
      <c r="B18" t="str">
        <f>VLOOKUP(NFLDataSet!B19,FirstDownDiff2,2,TRUE)</f>
        <v>High</v>
      </c>
      <c r="C18" t="str">
        <f>VLOOKUP(NFLDataSet!C19,TotalYardDiff2,2,TRUE)</f>
        <v>Medium</v>
      </c>
      <c r="D18" t="str">
        <f>VLOOKUP(NFLDataSet!D19,PassYardsDiff2,2,TRUE)</f>
        <v>High</v>
      </c>
      <c r="E18" t="str">
        <f>VLOOKUP(NFLDataSet!E19,RushYards2,2,TRUE)</f>
        <v>Medium</v>
      </c>
      <c r="F18" t="str">
        <f>VLOOKUP(NFLDataSet!F19,TurnOverDiff2,2,TRUE)</f>
        <v>Medium</v>
      </c>
      <c r="G18" t="str">
        <f>NFLDataSet!G19</f>
        <v>L</v>
      </c>
    </row>
    <row r="19" spans="1:7" x14ac:dyDescent="0.35">
      <c r="A19" t="str">
        <f>NFLDataSet!A20</f>
        <v>H</v>
      </c>
      <c r="B19" t="str">
        <f>VLOOKUP(NFLDataSet!B20,FirstDownDiff2,2,TRUE)</f>
        <v>Medium</v>
      </c>
      <c r="C19" t="str">
        <f>VLOOKUP(NFLDataSet!C20,TotalYardDiff2,2,TRUE)</f>
        <v>Low</v>
      </c>
      <c r="D19" t="str">
        <f>VLOOKUP(NFLDataSet!D20,PassYardsDiff2,2,TRUE)</f>
        <v>Medium</v>
      </c>
      <c r="E19" t="str">
        <f>VLOOKUP(NFLDataSet!E20,RushYards2,2,TRUE)</f>
        <v>Low</v>
      </c>
      <c r="F19" t="str">
        <f>VLOOKUP(NFLDataSet!F20,TurnOverDiff2,2,TRUE)</f>
        <v>High</v>
      </c>
      <c r="G19" t="str">
        <f>NFLDataSet!G20</f>
        <v>L</v>
      </c>
    </row>
    <row r="20" spans="1:7" x14ac:dyDescent="0.35">
      <c r="A20" t="str">
        <f>NFLDataSet!A21</f>
        <v>H</v>
      </c>
      <c r="B20" t="str">
        <f>VLOOKUP(NFLDataSet!B21,FirstDownDiff2,2,TRUE)</f>
        <v>Low</v>
      </c>
      <c r="C20" t="str">
        <f>VLOOKUP(NFLDataSet!C21,TotalYardDiff2,2,TRUE)</f>
        <v>Low</v>
      </c>
      <c r="D20" t="str">
        <f>VLOOKUP(NFLDataSet!D21,PassYardsDiff2,2,TRUE)</f>
        <v>Low</v>
      </c>
      <c r="E20" t="str">
        <f>VLOOKUP(NFLDataSet!E21,RushYards2,2,TRUE)</f>
        <v>Medium</v>
      </c>
      <c r="F20" t="str">
        <f>VLOOKUP(NFLDataSet!F21,TurnOverDiff2,2,TRUE)</f>
        <v>Medium</v>
      </c>
      <c r="G20" t="str">
        <f>NFLDataSet!G21</f>
        <v>L</v>
      </c>
    </row>
    <row r="21" spans="1:7" x14ac:dyDescent="0.35">
      <c r="A21" t="str">
        <f>NFLDataSet!A22</f>
        <v>A</v>
      </c>
      <c r="B21" t="str">
        <f>VLOOKUP(NFLDataSet!B22,FirstDownDiff2,2,TRUE)</f>
        <v>Medium</v>
      </c>
      <c r="C21" t="str">
        <f>VLOOKUP(NFLDataSet!C22,TotalYardDiff2,2,TRUE)</f>
        <v>Medium</v>
      </c>
      <c r="D21" t="str">
        <f>VLOOKUP(NFLDataSet!D22,PassYardsDiff2,2,TRUE)</f>
        <v>High</v>
      </c>
      <c r="E21" t="str">
        <f>VLOOKUP(NFLDataSet!E22,RushYards2,2,TRUE)</f>
        <v>Low</v>
      </c>
      <c r="F21" t="str">
        <f>VLOOKUP(NFLDataSet!F22,TurnOverDiff2,2,TRUE)</f>
        <v>Medium</v>
      </c>
      <c r="G21" t="str">
        <f>NFLDataSet!G22</f>
        <v>L</v>
      </c>
    </row>
    <row r="22" spans="1:7" x14ac:dyDescent="0.35">
      <c r="A22" t="str">
        <f>NFLDataSet!A23</f>
        <v>H</v>
      </c>
      <c r="B22" t="str">
        <f>VLOOKUP(NFLDataSet!B23,FirstDownDiff2,2,TRUE)</f>
        <v>Medium</v>
      </c>
      <c r="C22" t="str">
        <f>VLOOKUP(NFLDataSet!C23,TotalYardDiff2,2,TRUE)</f>
        <v>Medium</v>
      </c>
      <c r="D22" t="str">
        <f>VLOOKUP(NFLDataSet!D23,PassYardsDiff2,2,TRUE)</f>
        <v>Medium</v>
      </c>
      <c r="E22" t="str">
        <f>VLOOKUP(NFLDataSet!E23,RushYards2,2,TRUE)</f>
        <v>Medium</v>
      </c>
      <c r="F22" t="str">
        <f>VLOOKUP(NFLDataSet!F23,TurnOverDiff2,2,TRUE)</f>
        <v>Medium</v>
      </c>
      <c r="G22" t="str">
        <f>NFLDataSet!G23</f>
        <v>L</v>
      </c>
    </row>
    <row r="23" spans="1:7" x14ac:dyDescent="0.35">
      <c r="A23" t="str">
        <f>NFLDataSet!A24</f>
        <v>H</v>
      </c>
      <c r="B23" t="str">
        <f>VLOOKUP(NFLDataSet!B24,FirstDownDiff2,2,TRUE)</f>
        <v>High</v>
      </c>
      <c r="C23" t="str">
        <f>VLOOKUP(NFLDataSet!C24,TotalYardDiff2,2,TRUE)</f>
        <v>High</v>
      </c>
      <c r="D23" t="str">
        <f>VLOOKUP(NFLDataSet!D24,PassYardsDiff2,2,TRUE)</f>
        <v>Medium</v>
      </c>
      <c r="E23" t="str">
        <f>VLOOKUP(NFLDataSet!E24,RushYards2,2,TRUE)</f>
        <v>High</v>
      </c>
      <c r="F23" t="str">
        <f>VLOOKUP(NFLDataSet!F24,TurnOverDiff2,2,TRUE)</f>
        <v>Medium</v>
      </c>
      <c r="G23" t="str">
        <f>NFLDataSet!G24</f>
        <v>W</v>
      </c>
    </row>
    <row r="24" spans="1:7" x14ac:dyDescent="0.35">
      <c r="A24" t="str">
        <f>NFLDataSet!A25</f>
        <v>H</v>
      </c>
      <c r="B24" t="str">
        <f>VLOOKUP(NFLDataSet!B25,FirstDownDiff2,2,TRUE)</f>
        <v>Medium</v>
      </c>
      <c r="C24" t="str">
        <f>VLOOKUP(NFLDataSet!C25,TotalYardDiff2,2,TRUE)</f>
        <v>Medium</v>
      </c>
      <c r="D24" t="str">
        <f>VLOOKUP(NFLDataSet!D25,PassYardsDiff2,2,TRUE)</f>
        <v>High</v>
      </c>
      <c r="E24" t="str">
        <f>VLOOKUP(NFLDataSet!E25,RushYards2,2,TRUE)</f>
        <v>Low</v>
      </c>
      <c r="F24" t="str">
        <f>VLOOKUP(NFLDataSet!F25,TurnOverDiff2,2,TRUE)</f>
        <v>Medium</v>
      </c>
      <c r="G24" t="str">
        <f>NFLDataSet!G25</f>
        <v>L</v>
      </c>
    </row>
    <row r="25" spans="1:7" x14ac:dyDescent="0.35">
      <c r="A25" t="str">
        <f>NFLDataSet!A26</f>
        <v>A</v>
      </c>
      <c r="B25" t="str">
        <f>VLOOKUP(NFLDataSet!B26,FirstDownDiff2,2,TRUE)</f>
        <v>High</v>
      </c>
      <c r="C25" t="str">
        <f>VLOOKUP(NFLDataSet!C26,TotalYardDiff2,2,TRUE)</f>
        <v>Medium</v>
      </c>
      <c r="D25" t="str">
        <f>VLOOKUP(NFLDataSet!D26,PassYardsDiff2,2,TRUE)</f>
        <v>Medium</v>
      </c>
      <c r="E25" t="str">
        <f>VLOOKUP(NFLDataSet!E26,RushYards2,2,TRUE)</f>
        <v>High</v>
      </c>
      <c r="F25" t="str">
        <f>VLOOKUP(NFLDataSet!F26,TurnOverDiff2,2,TRUE)</f>
        <v>Medium</v>
      </c>
      <c r="G25" t="str">
        <f>NFLDataSet!G26</f>
        <v>W</v>
      </c>
    </row>
    <row r="26" spans="1:7" x14ac:dyDescent="0.35">
      <c r="A26" t="str">
        <f>NFLDataSet!A27</f>
        <v>H</v>
      </c>
      <c r="B26" t="str">
        <f>VLOOKUP(NFLDataSet!B27,FirstDownDiff2,2,TRUE)</f>
        <v>Medium</v>
      </c>
      <c r="C26" t="str">
        <f>VLOOKUP(NFLDataSet!C27,TotalYardDiff2,2,TRUE)</f>
        <v>Medium</v>
      </c>
      <c r="D26" t="str">
        <f>VLOOKUP(NFLDataSet!D27,PassYardsDiff2,2,TRUE)</f>
        <v>High</v>
      </c>
      <c r="E26" t="str">
        <f>VLOOKUP(NFLDataSet!E27,RushYards2,2,TRUE)</f>
        <v>Low</v>
      </c>
      <c r="F26" t="str">
        <f>VLOOKUP(NFLDataSet!F27,TurnOverDiff2,2,TRUE)</f>
        <v>Medium</v>
      </c>
      <c r="G26" t="str">
        <f>NFLDataSet!G27</f>
        <v>L</v>
      </c>
    </row>
    <row r="27" spans="1:7" x14ac:dyDescent="0.35">
      <c r="A27" t="str">
        <f>NFLDataSet!A28</f>
        <v>H</v>
      </c>
      <c r="B27" t="str">
        <f>VLOOKUP(NFLDataSet!B28,FirstDownDiff2,2,TRUE)</f>
        <v>Low</v>
      </c>
      <c r="C27" t="str">
        <f>VLOOKUP(NFLDataSet!C28,TotalYardDiff2,2,TRUE)</f>
        <v>Low</v>
      </c>
      <c r="D27" t="str">
        <f>VLOOKUP(NFLDataSet!D28,PassYardsDiff2,2,TRUE)</f>
        <v>Medium</v>
      </c>
      <c r="E27" t="str">
        <f>VLOOKUP(NFLDataSet!E28,RushYards2,2,TRUE)</f>
        <v>Low</v>
      </c>
      <c r="F27" t="str">
        <f>VLOOKUP(NFLDataSet!F28,TurnOverDiff2,2,TRUE)</f>
        <v>Medium</v>
      </c>
      <c r="G27" t="str">
        <f>NFLDataSet!G28</f>
        <v>L</v>
      </c>
    </row>
    <row r="28" spans="1:7" x14ac:dyDescent="0.35">
      <c r="A28" t="str">
        <f>NFLDataSet!A29</f>
        <v>A</v>
      </c>
      <c r="B28" t="str">
        <f>VLOOKUP(NFLDataSet!B29,FirstDownDiff2,2,TRUE)</f>
        <v>High</v>
      </c>
      <c r="C28" t="str">
        <f>VLOOKUP(NFLDataSet!C29,TotalYardDiff2,2,TRUE)</f>
        <v>High</v>
      </c>
      <c r="D28" t="str">
        <f>VLOOKUP(NFLDataSet!D29,PassYardsDiff2,2,TRUE)</f>
        <v>Medium</v>
      </c>
      <c r="E28" t="str">
        <f>VLOOKUP(NFLDataSet!E29,RushYards2,2,TRUE)</f>
        <v>High</v>
      </c>
      <c r="F28" t="str">
        <f>VLOOKUP(NFLDataSet!F29,TurnOverDiff2,2,TRUE)</f>
        <v>Medium</v>
      </c>
      <c r="G28" t="str">
        <f>NFLDataSet!G29</f>
        <v>W</v>
      </c>
    </row>
    <row r="29" spans="1:7" x14ac:dyDescent="0.35">
      <c r="A29" t="str">
        <f>NFLDataSet!A30</f>
        <v>H</v>
      </c>
      <c r="B29" t="str">
        <f>VLOOKUP(NFLDataSet!B30,FirstDownDiff2,2,TRUE)</f>
        <v>Medium</v>
      </c>
      <c r="C29" t="str">
        <f>VLOOKUP(NFLDataSet!C30,TotalYardDiff2,2,TRUE)</f>
        <v>High</v>
      </c>
      <c r="D29" t="str">
        <f>VLOOKUP(NFLDataSet!D30,PassYardsDiff2,2,TRUE)</f>
        <v>High</v>
      </c>
      <c r="E29" t="str">
        <f>VLOOKUP(NFLDataSet!E30,RushYards2,2,TRUE)</f>
        <v>High</v>
      </c>
      <c r="F29" t="str">
        <f>VLOOKUP(NFLDataSet!F30,TurnOverDiff2,2,TRUE)</f>
        <v>Medium</v>
      </c>
      <c r="G29" t="str">
        <f>NFLDataSet!G30</f>
        <v>W</v>
      </c>
    </row>
    <row r="30" spans="1:7" x14ac:dyDescent="0.35">
      <c r="A30" t="str">
        <f>NFLDataSet!A31</f>
        <v>H</v>
      </c>
      <c r="B30" t="str">
        <f>VLOOKUP(NFLDataSet!B31,FirstDownDiff2,2,TRUE)</f>
        <v>Low</v>
      </c>
      <c r="C30" t="str">
        <f>VLOOKUP(NFLDataSet!C31,TotalYardDiff2,2,TRUE)</f>
        <v>Low</v>
      </c>
      <c r="D30" t="str">
        <f>VLOOKUP(NFLDataSet!D31,PassYardsDiff2,2,TRUE)</f>
        <v>Low</v>
      </c>
      <c r="E30" t="str">
        <f>VLOOKUP(NFLDataSet!E31,RushYards2,2,TRUE)</f>
        <v>Medium</v>
      </c>
      <c r="F30" t="str">
        <f>VLOOKUP(NFLDataSet!F31,TurnOverDiff2,2,TRUE)</f>
        <v>Medium</v>
      </c>
      <c r="G30" t="str">
        <f>NFLDataSet!G31</f>
        <v>L</v>
      </c>
    </row>
    <row r="31" spans="1:7" x14ac:dyDescent="0.35">
      <c r="A31" t="str">
        <f>NFLDataSet!A32</f>
        <v>A</v>
      </c>
      <c r="B31" t="str">
        <f>VLOOKUP(NFLDataSet!B32,FirstDownDiff2,2,TRUE)</f>
        <v>Low</v>
      </c>
      <c r="C31" t="str">
        <f>VLOOKUP(NFLDataSet!C32,TotalYardDiff2,2,TRUE)</f>
        <v>Low</v>
      </c>
      <c r="D31" t="str">
        <f>VLOOKUP(NFLDataSet!D32,PassYardsDiff2,2,TRUE)</f>
        <v>Low</v>
      </c>
      <c r="E31" t="str">
        <f>VLOOKUP(NFLDataSet!E32,RushYards2,2,TRUE)</f>
        <v>Low</v>
      </c>
      <c r="F31" t="str">
        <f>VLOOKUP(NFLDataSet!F32,TurnOverDiff2,2,TRUE)</f>
        <v>Medium</v>
      </c>
      <c r="G31" t="str">
        <f>NFLDataSet!G32</f>
        <v>L</v>
      </c>
    </row>
    <row r="32" spans="1:7" x14ac:dyDescent="0.35">
      <c r="A32" t="str">
        <f>NFLDataSet!A33</f>
        <v>A</v>
      </c>
      <c r="B32" t="str">
        <f>VLOOKUP(NFLDataSet!B33,FirstDownDiff2,2,TRUE)</f>
        <v>Medium</v>
      </c>
      <c r="C32" t="str">
        <f>VLOOKUP(NFLDataSet!C33,TotalYardDiff2,2,TRUE)</f>
        <v>Low</v>
      </c>
      <c r="D32" t="str">
        <f>VLOOKUP(NFLDataSet!D33,PassYardsDiff2,2,TRUE)</f>
        <v>Low</v>
      </c>
      <c r="E32" t="str">
        <f>VLOOKUP(NFLDataSet!E33,RushYards2,2,TRUE)</f>
        <v>High</v>
      </c>
      <c r="F32" t="str">
        <f>VLOOKUP(NFLDataSet!F33,TurnOverDiff2,2,TRUE)</f>
        <v>Medium</v>
      </c>
      <c r="G32" t="str">
        <f>NFLDataSet!G33</f>
        <v>W</v>
      </c>
    </row>
    <row r="33" spans="1:7" x14ac:dyDescent="0.35">
      <c r="A33" t="str">
        <f>NFLDataSet!A34</f>
        <v>H</v>
      </c>
      <c r="B33" t="str">
        <f>VLOOKUP(NFLDataSet!B34,FirstDownDiff2,2,TRUE)</f>
        <v>High</v>
      </c>
      <c r="C33" t="str">
        <f>VLOOKUP(NFLDataSet!C34,TotalYardDiff2,2,TRUE)</f>
        <v>High</v>
      </c>
      <c r="D33" t="str">
        <f>VLOOKUP(NFLDataSet!D34,PassYardsDiff2,2,TRUE)</f>
        <v>Medium</v>
      </c>
      <c r="E33" t="str">
        <f>VLOOKUP(NFLDataSet!E34,RushYards2,2,TRUE)</f>
        <v>High</v>
      </c>
      <c r="F33" t="str">
        <f>VLOOKUP(NFLDataSet!F34,TurnOverDiff2,2,TRUE)</f>
        <v>Medium</v>
      </c>
      <c r="G33" t="str">
        <f>NFLDataSet!G34</f>
        <v>W</v>
      </c>
    </row>
    <row r="34" spans="1:7" x14ac:dyDescent="0.35">
      <c r="A34" t="str">
        <f>NFLDataSet!A35</f>
        <v>H</v>
      </c>
      <c r="B34" t="str">
        <f>VLOOKUP(NFLDataSet!B35,FirstDownDiff2,2,TRUE)</f>
        <v>Medium</v>
      </c>
      <c r="C34" t="str">
        <f>VLOOKUP(NFLDataSet!C35,TotalYardDiff2,2,TRUE)</f>
        <v>Medium</v>
      </c>
      <c r="D34" t="str">
        <f>VLOOKUP(NFLDataSet!D35,PassYardsDiff2,2,TRUE)</f>
        <v>High</v>
      </c>
      <c r="E34" t="str">
        <f>VLOOKUP(NFLDataSet!E35,RushYards2,2,TRUE)</f>
        <v>Low</v>
      </c>
      <c r="F34" t="str">
        <f>VLOOKUP(NFLDataSet!F35,TurnOverDiff2,2,TRUE)</f>
        <v>Medium</v>
      </c>
      <c r="G34" t="str">
        <f>NFLDataSet!G35</f>
        <v>W</v>
      </c>
    </row>
    <row r="35" spans="1:7" x14ac:dyDescent="0.35">
      <c r="A35" t="str">
        <f>NFLDataSet!A36</f>
        <v>H</v>
      </c>
      <c r="B35" t="str">
        <f>VLOOKUP(NFLDataSet!B36,FirstDownDiff2,2,TRUE)</f>
        <v>Low</v>
      </c>
      <c r="C35" t="str">
        <f>VLOOKUP(NFLDataSet!C36,TotalYardDiff2,2,TRUE)</f>
        <v>Low</v>
      </c>
      <c r="D35" t="str">
        <f>VLOOKUP(NFLDataSet!D36,PassYardsDiff2,2,TRUE)</f>
        <v>Low</v>
      </c>
      <c r="E35" t="str">
        <f>VLOOKUP(NFLDataSet!E36,RushYards2,2,TRUE)</f>
        <v>Medium</v>
      </c>
      <c r="F35" t="str">
        <f>VLOOKUP(NFLDataSet!F36,TurnOverDiff2,2,TRUE)</f>
        <v>High</v>
      </c>
      <c r="G35" t="str">
        <f>NFLDataSet!G36</f>
        <v>L</v>
      </c>
    </row>
    <row r="36" spans="1:7" x14ac:dyDescent="0.35">
      <c r="A36" t="str">
        <f>NFLDataSet!A37</f>
        <v>H</v>
      </c>
      <c r="B36" t="str">
        <f>VLOOKUP(NFLDataSet!B37,FirstDownDiff2,2,TRUE)</f>
        <v>Medium</v>
      </c>
      <c r="C36" t="str">
        <f>VLOOKUP(NFLDataSet!C37,TotalYardDiff2,2,TRUE)</f>
        <v>Medium</v>
      </c>
      <c r="D36" t="str">
        <f>VLOOKUP(NFLDataSet!D37,PassYardsDiff2,2,TRUE)</f>
        <v>Medium</v>
      </c>
      <c r="E36" t="str">
        <f>VLOOKUP(NFLDataSet!E37,RushYards2,2,TRUE)</f>
        <v>Medium</v>
      </c>
      <c r="F36" t="str">
        <f>VLOOKUP(NFLDataSet!F37,TurnOverDiff2,2,TRUE)</f>
        <v>Medium</v>
      </c>
      <c r="G36" t="str">
        <f>NFLDataSet!G37</f>
        <v>W</v>
      </c>
    </row>
    <row r="37" spans="1:7" x14ac:dyDescent="0.35">
      <c r="A37" t="str">
        <f>NFLDataSet!A38</f>
        <v>H</v>
      </c>
      <c r="B37" t="str">
        <f>VLOOKUP(NFLDataSet!B38,FirstDownDiff2,2,TRUE)</f>
        <v>High</v>
      </c>
      <c r="C37" t="str">
        <f>VLOOKUP(NFLDataSet!C38,TotalYardDiff2,2,TRUE)</f>
        <v>High</v>
      </c>
      <c r="D37" t="str">
        <f>VLOOKUP(NFLDataSet!D38,PassYardsDiff2,2,TRUE)</f>
        <v>Medium</v>
      </c>
      <c r="E37" t="str">
        <f>VLOOKUP(NFLDataSet!E38,RushYards2,2,TRUE)</f>
        <v>High</v>
      </c>
      <c r="F37" t="str">
        <f>VLOOKUP(NFLDataSet!F38,TurnOverDiff2,2,TRUE)</f>
        <v>Medium</v>
      </c>
      <c r="G37" t="str">
        <f>NFLDataSet!G38</f>
        <v>L</v>
      </c>
    </row>
    <row r="38" spans="1:7" x14ac:dyDescent="0.35">
      <c r="A38" t="str">
        <f>NFLDataSet!A39</f>
        <v>H</v>
      </c>
      <c r="B38" t="str">
        <f>VLOOKUP(NFLDataSet!B39,FirstDownDiff2,2,TRUE)</f>
        <v>Medium</v>
      </c>
      <c r="C38" t="str">
        <f>VLOOKUP(NFLDataSet!C39,TotalYardDiff2,2,TRUE)</f>
        <v>Medium</v>
      </c>
      <c r="D38" t="str">
        <f>VLOOKUP(NFLDataSet!D39,PassYardsDiff2,2,TRUE)</f>
        <v>Medium</v>
      </c>
      <c r="E38" t="str">
        <f>VLOOKUP(NFLDataSet!E39,RushYards2,2,TRUE)</f>
        <v>Medium</v>
      </c>
      <c r="F38" t="str">
        <f>VLOOKUP(NFLDataSet!F39,TurnOverDiff2,2,TRUE)</f>
        <v>Medium</v>
      </c>
      <c r="G38" t="str">
        <f>NFLDataSet!G39</f>
        <v>L</v>
      </c>
    </row>
    <row r="39" spans="1:7" x14ac:dyDescent="0.35">
      <c r="A39" t="str">
        <f>NFLDataSet!A40</f>
        <v>A</v>
      </c>
      <c r="B39" t="str">
        <f>VLOOKUP(NFLDataSet!B40,FirstDownDiff2,2,TRUE)</f>
        <v>Low</v>
      </c>
      <c r="C39" t="str">
        <f>VLOOKUP(NFLDataSet!C40,TotalYardDiff2,2,TRUE)</f>
        <v>Medium</v>
      </c>
      <c r="D39" t="str">
        <f>VLOOKUP(NFLDataSet!D40,PassYardsDiff2,2,TRUE)</f>
        <v>Medium</v>
      </c>
      <c r="E39" t="str">
        <f>VLOOKUP(NFLDataSet!E40,RushYards2,2,TRUE)</f>
        <v>High</v>
      </c>
      <c r="F39" t="str">
        <f>VLOOKUP(NFLDataSet!F40,TurnOverDiff2,2,TRUE)</f>
        <v>Medium</v>
      </c>
      <c r="G39" t="str">
        <f>NFLDataSet!G40</f>
        <v>W</v>
      </c>
    </row>
    <row r="40" spans="1:7" x14ac:dyDescent="0.35">
      <c r="A40" t="str">
        <f>NFLDataSet!A41</f>
        <v>H</v>
      </c>
      <c r="B40" t="str">
        <f>VLOOKUP(NFLDataSet!B41,FirstDownDiff2,2,TRUE)</f>
        <v>High</v>
      </c>
      <c r="C40" t="str">
        <f>VLOOKUP(NFLDataSet!C41,TotalYardDiff2,2,TRUE)</f>
        <v>High</v>
      </c>
      <c r="D40" t="str">
        <f>VLOOKUP(NFLDataSet!D41,PassYardsDiff2,2,TRUE)</f>
        <v>High</v>
      </c>
      <c r="E40" t="str">
        <f>VLOOKUP(NFLDataSet!E41,RushYards2,2,TRUE)</f>
        <v>High</v>
      </c>
      <c r="F40" t="str">
        <f>VLOOKUP(NFLDataSet!F41,TurnOverDiff2,2,TRUE)</f>
        <v>Medium</v>
      </c>
      <c r="G40" t="str">
        <f>NFLDataSet!G41</f>
        <v>W</v>
      </c>
    </row>
    <row r="41" spans="1:7" x14ac:dyDescent="0.35">
      <c r="A41" t="str">
        <f>NFLDataSet!A42</f>
        <v>H</v>
      </c>
      <c r="B41" t="str">
        <f>VLOOKUP(NFLDataSet!B42,FirstDownDiff2,2,TRUE)</f>
        <v>Medium</v>
      </c>
      <c r="C41" t="str">
        <f>VLOOKUP(NFLDataSet!C42,TotalYardDiff2,2,TRUE)</f>
        <v>Medium</v>
      </c>
      <c r="D41" t="str">
        <f>VLOOKUP(NFLDataSet!D42,PassYardsDiff2,2,TRUE)</f>
        <v>Medium</v>
      </c>
      <c r="E41" t="str">
        <f>VLOOKUP(NFLDataSet!E42,RushYards2,2,TRUE)</f>
        <v>Medium</v>
      </c>
      <c r="F41" t="str">
        <f>VLOOKUP(NFLDataSet!F42,TurnOverDiff2,2,TRUE)</f>
        <v>Medium</v>
      </c>
      <c r="G41" t="str">
        <f>NFLDataSet!G42</f>
        <v>W</v>
      </c>
    </row>
    <row r="42" spans="1:7" x14ac:dyDescent="0.35">
      <c r="A42" t="str">
        <f>NFLDataSet!A43</f>
        <v>H</v>
      </c>
      <c r="B42" t="str">
        <f>VLOOKUP(NFLDataSet!B43,FirstDownDiff2,2,TRUE)</f>
        <v>Medium</v>
      </c>
      <c r="C42" t="str">
        <f>VLOOKUP(NFLDataSet!C43,TotalYardDiff2,2,TRUE)</f>
        <v>Medium</v>
      </c>
      <c r="D42" t="str">
        <f>VLOOKUP(NFLDataSet!D43,PassYardsDiff2,2,TRUE)</f>
        <v>Medium</v>
      </c>
      <c r="E42" t="str">
        <f>VLOOKUP(NFLDataSet!E43,RushYards2,2,TRUE)</f>
        <v>Medium</v>
      </c>
      <c r="F42" t="str">
        <f>VLOOKUP(NFLDataSet!F43,TurnOverDiff2,2,TRUE)</f>
        <v>Medium</v>
      </c>
      <c r="G42" t="str">
        <f>NFLDataSet!G43</f>
        <v>L</v>
      </c>
    </row>
    <row r="43" spans="1:7" x14ac:dyDescent="0.35">
      <c r="A43" t="str">
        <f>NFLDataSet!A44</f>
        <v>A</v>
      </c>
      <c r="B43" t="str">
        <f>VLOOKUP(NFLDataSet!B44,FirstDownDiff2,2,TRUE)</f>
        <v>Medium</v>
      </c>
      <c r="C43" t="str">
        <f>VLOOKUP(NFLDataSet!C44,TotalYardDiff2,2,TRUE)</f>
        <v>Medium</v>
      </c>
      <c r="D43" t="str">
        <f>VLOOKUP(NFLDataSet!D44,PassYardsDiff2,2,TRUE)</f>
        <v>High</v>
      </c>
      <c r="E43" t="str">
        <f>VLOOKUP(NFLDataSet!E44,RushYards2,2,TRUE)</f>
        <v>Low</v>
      </c>
      <c r="F43" t="str">
        <f>VLOOKUP(NFLDataSet!F44,TurnOverDiff2,2,TRUE)</f>
        <v>Medium</v>
      </c>
      <c r="G43" t="str">
        <f>NFLDataSet!G44</f>
        <v>L</v>
      </c>
    </row>
    <row r="44" spans="1:7" x14ac:dyDescent="0.35">
      <c r="A44" t="str">
        <f>NFLDataSet!A45</f>
        <v>H</v>
      </c>
      <c r="B44" t="str">
        <f>VLOOKUP(NFLDataSet!B45,FirstDownDiff2,2,TRUE)</f>
        <v>Medium</v>
      </c>
      <c r="C44" t="str">
        <f>VLOOKUP(NFLDataSet!C45,TotalYardDiff2,2,TRUE)</f>
        <v>Medium</v>
      </c>
      <c r="D44" t="str">
        <f>VLOOKUP(NFLDataSet!D45,PassYardsDiff2,2,TRUE)</f>
        <v>High</v>
      </c>
      <c r="E44" t="str">
        <f>VLOOKUP(NFLDataSet!E45,RushYards2,2,TRUE)</f>
        <v>Low</v>
      </c>
      <c r="F44" t="str">
        <f>VLOOKUP(NFLDataSet!F45,TurnOverDiff2,2,TRUE)</f>
        <v>High</v>
      </c>
      <c r="G44" t="str">
        <f>NFLDataSet!G45</f>
        <v>L</v>
      </c>
    </row>
    <row r="45" spans="1:7" x14ac:dyDescent="0.35">
      <c r="A45" t="str">
        <f>NFLDataSet!A46</f>
        <v>A</v>
      </c>
      <c r="B45" t="str">
        <f>VLOOKUP(NFLDataSet!B46,FirstDownDiff2,2,TRUE)</f>
        <v>Medium</v>
      </c>
      <c r="C45" t="str">
        <f>VLOOKUP(NFLDataSet!C46,TotalYardDiff2,2,TRUE)</f>
        <v>High</v>
      </c>
      <c r="D45" t="str">
        <f>VLOOKUP(NFLDataSet!D46,PassYardsDiff2,2,TRUE)</f>
        <v>High</v>
      </c>
      <c r="E45" t="str">
        <f>VLOOKUP(NFLDataSet!E46,RushYards2,2,TRUE)</f>
        <v>Low</v>
      </c>
      <c r="F45" t="str">
        <f>VLOOKUP(NFLDataSet!F46,TurnOverDiff2,2,TRUE)</f>
        <v>Medium</v>
      </c>
      <c r="G45" t="str">
        <f>NFLDataSet!G46</f>
        <v>W</v>
      </c>
    </row>
    <row r="46" spans="1:7" x14ac:dyDescent="0.35">
      <c r="A46" t="str">
        <f>NFLDataSet!A47</f>
        <v>A</v>
      </c>
      <c r="B46" t="str">
        <f>VLOOKUP(NFLDataSet!B47,FirstDownDiff2,2,TRUE)</f>
        <v>High</v>
      </c>
      <c r="C46" t="str">
        <f>VLOOKUP(NFLDataSet!C47,TotalYardDiff2,2,TRUE)</f>
        <v>High</v>
      </c>
      <c r="D46" t="str">
        <f>VLOOKUP(NFLDataSet!D47,PassYardsDiff2,2,TRUE)</f>
        <v>High</v>
      </c>
      <c r="E46" t="str">
        <f>VLOOKUP(NFLDataSet!E47,RushYards2,2,TRUE)</f>
        <v>High</v>
      </c>
      <c r="F46" t="str">
        <f>VLOOKUP(NFLDataSet!F47,TurnOverDiff2,2,TRUE)</f>
        <v>Medium</v>
      </c>
      <c r="G46" t="str">
        <f>NFLDataSet!G47</f>
        <v>W</v>
      </c>
    </row>
    <row r="47" spans="1:7" x14ac:dyDescent="0.35">
      <c r="A47" t="str">
        <f>NFLDataSet!A48</f>
        <v>H</v>
      </c>
      <c r="B47" t="str">
        <f>VLOOKUP(NFLDataSet!B48,FirstDownDiff2,2,TRUE)</f>
        <v>High</v>
      </c>
      <c r="C47" t="str">
        <f>VLOOKUP(NFLDataSet!C48,TotalYardDiff2,2,TRUE)</f>
        <v>High</v>
      </c>
      <c r="D47" t="str">
        <f>VLOOKUP(NFLDataSet!D48,PassYardsDiff2,2,TRUE)</f>
        <v>Low</v>
      </c>
      <c r="E47" t="str">
        <f>VLOOKUP(NFLDataSet!E48,RushYards2,2,TRUE)</f>
        <v>High</v>
      </c>
      <c r="F47" t="str">
        <f>VLOOKUP(NFLDataSet!F48,TurnOverDiff2,2,TRUE)</f>
        <v>Medium</v>
      </c>
      <c r="G47" t="str">
        <f>NFLDataSet!G48</f>
        <v>W</v>
      </c>
    </row>
    <row r="48" spans="1:7" x14ac:dyDescent="0.35">
      <c r="A48" t="str">
        <f>NFLDataSet!A49</f>
        <v>H</v>
      </c>
      <c r="B48" t="str">
        <f>VLOOKUP(NFLDataSet!B49,FirstDownDiff2,2,TRUE)</f>
        <v>Medium</v>
      </c>
      <c r="C48" t="str">
        <f>VLOOKUP(NFLDataSet!C49,TotalYardDiff2,2,TRUE)</f>
        <v>Medium</v>
      </c>
      <c r="D48" t="str">
        <f>VLOOKUP(NFLDataSet!D49,PassYardsDiff2,2,TRUE)</f>
        <v>Medium</v>
      </c>
      <c r="E48" t="str">
        <f>VLOOKUP(NFLDataSet!E49,RushYards2,2,TRUE)</f>
        <v>High</v>
      </c>
      <c r="F48" t="str">
        <f>VLOOKUP(NFLDataSet!F49,TurnOverDiff2,2,TRUE)</f>
        <v>Medium</v>
      </c>
      <c r="G48" t="str">
        <f>NFLDataSet!G49</f>
        <v>W</v>
      </c>
    </row>
    <row r="49" spans="1:7" x14ac:dyDescent="0.35">
      <c r="A49" t="str">
        <f>NFLDataSet!A50</f>
        <v>H</v>
      </c>
      <c r="B49" t="str">
        <f>VLOOKUP(NFLDataSet!B50,FirstDownDiff2,2,TRUE)</f>
        <v>High</v>
      </c>
      <c r="C49" t="str">
        <f>VLOOKUP(NFLDataSet!C50,TotalYardDiff2,2,TRUE)</f>
        <v>High</v>
      </c>
      <c r="D49" t="str">
        <f>VLOOKUP(NFLDataSet!D50,PassYardsDiff2,2,TRUE)</f>
        <v>Medium</v>
      </c>
      <c r="E49" t="str">
        <f>VLOOKUP(NFLDataSet!E50,RushYards2,2,TRUE)</f>
        <v>High</v>
      </c>
      <c r="F49" t="str">
        <f>VLOOKUP(NFLDataSet!F50,TurnOverDiff2,2,TRUE)</f>
        <v>Medium</v>
      </c>
      <c r="G49" t="str">
        <f>NFLDataSet!G50</f>
        <v>W</v>
      </c>
    </row>
    <row r="50" spans="1:7" x14ac:dyDescent="0.35">
      <c r="A50" t="str">
        <f>NFLDataSet!A51</f>
        <v>A</v>
      </c>
      <c r="B50" t="str">
        <f>VLOOKUP(NFLDataSet!B51,FirstDownDiff2,2,TRUE)</f>
        <v>Medium</v>
      </c>
      <c r="C50" t="str">
        <f>VLOOKUP(NFLDataSet!C51,TotalYardDiff2,2,TRUE)</f>
        <v>Medium</v>
      </c>
      <c r="D50" t="str">
        <f>VLOOKUP(NFLDataSet!D51,PassYardsDiff2,2,TRUE)</f>
        <v>Medium</v>
      </c>
      <c r="E50" t="str">
        <f>VLOOKUP(NFLDataSet!E51,RushYards2,2,TRUE)</f>
        <v>Medium</v>
      </c>
      <c r="F50" t="str">
        <f>VLOOKUP(NFLDataSet!F51,TurnOverDiff2,2,TRUE)</f>
        <v>High</v>
      </c>
      <c r="G50" t="str">
        <f>NFLDataSet!G51</f>
        <v>L</v>
      </c>
    </row>
    <row r="51" spans="1:7" x14ac:dyDescent="0.35">
      <c r="A51" t="str">
        <f>NFLDataSet!A52</f>
        <v>H</v>
      </c>
      <c r="B51" t="str">
        <f>VLOOKUP(NFLDataSet!B52,FirstDownDiff2,2,TRUE)</f>
        <v>Low</v>
      </c>
      <c r="C51" t="str">
        <f>VLOOKUP(NFLDataSet!C52,TotalYardDiff2,2,TRUE)</f>
        <v>Low</v>
      </c>
      <c r="D51" t="str">
        <f>VLOOKUP(NFLDataSet!D52,PassYardsDiff2,2,TRUE)</f>
        <v>Low</v>
      </c>
      <c r="E51" t="str">
        <f>VLOOKUP(NFLDataSet!E52,RushYards2,2,TRUE)</f>
        <v>Medium</v>
      </c>
      <c r="F51" t="str">
        <f>VLOOKUP(NFLDataSet!F52,TurnOverDiff2,2,TRUE)</f>
        <v>Medium</v>
      </c>
      <c r="G51" t="str">
        <f>NFLDataSet!G52</f>
        <v>L</v>
      </c>
    </row>
    <row r="52" spans="1:7" x14ac:dyDescent="0.35">
      <c r="A52" t="str">
        <f>NFLDataSet!A53</f>
        <v>H</v>
      </c>
      <c r="B52" t="str">
        <f>VLOOKUP(NFLDataSet!B53,FirstDownDiff2,2,TRUE)</f>
        <v>Low</v>
      </c>
      <c r="C52" t="str">
        <f>VLOOKUP(NFLDataSet!C53,TotalYardDiff2,2,TRUE)</f>
        <v>Low</v>
      </c>
      <c r="D52" t="str">
        <f>VLOOKUP(NFLDataSet!D53,PassYardsDiff2,2,TRUE)</f>
        <v>Medium</v>
      </c>
      <c r="E52" t="str">
        <f>VLOOKUP(NFLDataSet!E53,RushYards2,2,TRUE)</f>
        <v>Low</v>
      </c>
      <c r="F52" t="str">
        <f>VLOOKUP(NFLDataSet!F53,TurnOverDiff2,2,TRUE)</f>
        <v>Medium</v>
      </c>
      <c r="G52" t="str">
        <f>NFLDataSet!G53</f>
        <v>L</v>
      </c>
    </row>
    <row r="53" spans="1:7" x14ac:dyDescent="0.35">
      <c r="A53" t="str">
        <f>NFLDataSet!A54</f>
        <v>A</v>
      </c>
      <c r="B53" t="str">
        <f>VLOOKUP(NFLDataSet!B54,FirstDownDiff2,2,TRUE)</f>
        <v>Low</v>
      </c>
      <c r="C53" t="str">
        <f>VLOOKUP(NFLDataSet!C54,TotalYardDiff2,2,TRUE)</f>
        <v>Low</v>
      </c>
      <c r="D53" t="str">
        <f>VLOOKUP(NFLDataSet!D54,PassYardsDiff2,2,TRUE)</f>
        <v>Medium</v>
      </c>
      <c r="E53" t="str">
        <f>VLOOKUP(NFLDataSet!E54,RushYards2,2,TRUE)</f>
        <v>Low</v>
      </c>
      <c r="F53" t="str">
        <f>VLOOKUP(NFLDataSet!F54,TurnOverDiff2,2,TRUE)</f>
        <v>Medium</v>
      </c>
      <c r="G53" t="str">
        <f>NFLDataSet!G54</f>
        <v>L</v>
      </c>
    </row>
    <row r="54" spans="1:7" x14ac:dyDescent="0.35">
      <c r="A54" t="str">
        <f>NFLDataSet!A55</f>
        <v>H</v>
      </c>
      <c r="B54" t="str">
        <f>VLOOKUP(NFLDataSet!B55,FirstDownDiff2,2,TRUE)</f>
        <v>Low</v>
      </c>
      <c r="C54" t="str">
        <f>VLOOKUP(NFLDataSet!C55,TotalYardDiff2,2,TRUE)</f>
        <v>Medium</v>
      </c>
      <c r="D54" t="str">
        <f>VLOOKUP(NFLDataSet!D55,PassYardsDiff2,2,TRUE)</f>
        <v>Medium</v>
      </c>
      <c r="E54" t="str">
        <f>VLOOKUP(NFLDataSet!E55,RushYards2,2,TRUE)</f>
        <v>Low</v>
      </c>
      <c r="F54" t="str">
        <f>VLOOKUP(NFLDataSet!F55,TurnOverDiff2,2,TRUE)</f>
        <v>Medium</v>
      </c>
      <c r="G54" t="str">
        <f>NFLDataSet!G55</f>
        <v>L</v>
      </c>
    </row>
    <row r="55" spans="1:7" x14ac:dyDescent="0.35">
      <c r="A55" t="str">
        <f>NFLDataSet!A56</f>
        <v>A</v>
      </c>
      <c r="B55" t="str">
        <f>VLOOKUP(NFLDataSet!B56,FirstDownDiff2,2,TRUE)</f>
        <v>Medium</v>
      </c>
      <c r="C55" t="str">
        <f>VLOOKUP(NFLDataSet!C56,TotalYardDiff2,2,TRUE)</f>
        <v>Medium</v>
      </c>
      <c r="D55" t="str">
        <f>VLOOKUP(NFLDataSet!D56,PassYardsDiff2,2,TRUE)</f>
        <v>High</v>
      </c>
      <c r="E55" t="str">
        <f>VLOOKUP(NFLDataSet!E56,RushYards2,2,TRUE)</f>
        <v>Medium</v>
      </c>
      <c r="F55" t="str">
        <f>VLOOKUP(NFLDataSet!F56,TurnOverDiff2,2,TRUE)</f>
        <v>Medium</v>
      </c>
      <c r="G55" t="str">
        <f>NFLDataSet!G56</f>
        <v>W</v>
      </c>
    </row>
    <row r="56" spans="1:7" x14ac:dyDescent="0.35">
      <c r="A56" t="str">
        <f>NFLDataSet!A57</f>
        <v>A</v>
      </c>
      <c r="B56" t="str">
        <f>VLOOKUP(NFLDataSet!B57,FirstDownDiff2,2,TRUE)</f>
        <v>Medium</v>
      </c>
      <c r="C56" t="str">
        <f>VLOOKUP(NFLDataSet!C57,TotalYardDiff2,2,TRUE)</f>
        <v>Low</v>
      </c>
      <c r="D56" t="str">
        <f>VLOOKUP(NFLDataSet!D57,PassYardsDiff2,2,TRUE)</f>
        <v>Low</v>
      </c>
      <c r="E56" t="str">
        <f>VLOOKUP(NFLDataSet!E57,RushYards2,2,TRUE)</f>
        <v>Medium</v>
      </c>
      <c r="F56" t="str">
        <f>VLOOKUP(NFLDataSet!F57,TurnOverDiff2,2,TRUE)</f>
        <v>Medium</v>
      </c>
      <c r="G56" t="str">
        <f>NFLDataSet!G57</f>
        <v>L</v>
      </c>
    </row>
    <row r="57" spans="1:7" x14ac:dyDescent="0.35">
      <c r="A57" t="str">
        <f>NFLDataSet!A58</f>
        <v>A</v>
      </c>
      <c r="B57" t="str">
        <f>VLOOKUP(NFLDataSet!B58,FirstDownDiff2,2,TRUE)</f>
        <v>Low</v>
      </c>
      <c r="C57" t="str">
        <f>VLOOKUP(NFLDataSet!C58,TotalYardDiff2,2,TRUE)</f>
        <v>Medium</v>
      </c>
      <c r="D57" t="str">
        <f>VLOOKUP(NFLDataSet!D58,PassYardsDiff2,2,TRUE)</f>
        <v>Medium</v>
      </c>
      <c r="E57" t="str">
        <f>VLOOKUP(NFLDataSet!E58,RushYards2,2,TRUE)</f>
        <v>Medium</v>
      </c>
      <c r="F57" t="str">
        <f>VLOOKUP(NFLDataSet!F58,TurnOverDiff2,2,TRUE)</f>
        <v>Medium</v>
      </c>
      <c r="G57" t="str">
        <f>NFLDataSet!G58</f>
        <v>W</v>
      </c>
    </row>
    <row r="58" spans="1:7" x14ac:dyDescent="0.35">
      <c r="A58" t="str">
        <f>NFLDataSet!A59</f>
        <v>A</v>
      </c>
      <c r="B58" t="str">
        <f>VLOOKUP(NFLDataSet!B59,FirstDownDiff2,2,TRUE)</f>
        <v>Low</v>
      </c>
      <c r="C58" t="str">
        <f>VLOOKUP(NFLDataSet!C59,TotalYardDiff2,2,TRUE)</f>
        <v>Low</v>
      </c>
      <c r="D58" t="str">
        <f>VLOOKUP(NFLDataSet!D59,PassYardsDiff2,2,TRUE)</f>
        <v>Low</v>
      </c>
      <c r="E58" t="str">
        <f>VLOOKUP(NFLDataSet!E59,RushYards2,2,TRUE)</f>
        <v>Low</v>
      </c>
      <c r="F58" t="str">
        <f>VLOOKUP(NFLDataSet!F59,TurnOverDiff2,2,TRUE)</f>
        <v>Medium</v>
      </c>
      <c r="G58" t="str">
        <f>NFLDataSet!G59</f>
        <v>L</v>
      </c>
    </row>
    <row r="59" spans="1:7" x14ac:dyDescent="0.35">
      <c r="A59" t="str">
        <f>NFLDataSet!A60</f>
        <v>H</v>
      </c>
      <c r="B59" t="str">
        <f>VLOOKUP(NFLDataSet!B60,FirstDownDiff2,2,TRUE)</f>
        <v>Low</v>
      </c>
      <c r="C59" t="str">
        <f>VLOOKUP(NFLDataSet!C60,TotalYardDiff2,2,TRUE)</f>
        <v>Low</v>
      </c>
      <c r="D59" t="str">
        <f>VLOOKUP(NFLDataSet!D60,PassYardsDiff2,2,TRUE)</f>
        <v>Low</v>
      </c>
      <c r="E59" t="str">
        <f>VLOOKUP(NFLDataSet!E60,RushYards2,2,TRUE)</f>
        <v>Low</v>
      </c>
      <c r="F59" t="str">
        <f>VLOOKUP(NFLDataSet!F60,TurnOverDiff2,2,TRUE)</f>
        <v>Medium</v>
      </c>
      <c r="G59" t="str">
        <f>NFLDataSet!G60</f>
        <v>W</v>
      </c>
    </row>
    <row r="60" spans="1:7" x14ac:dyDescent="0.35">
      <c r="A60" t="str">
        <f>NFLDataSet!A61</f>
        <v>A</v>
      </c>
      <c r="B60" t="str">
        <f>VLOOKUP(NFLDataSet!B61,FirstDownDiff2,2,TRUE)</f>
        <v>Low</v>
      </c>
      <c r="C60" t="str">
        <f>VLOOKUP(NFLDataSet!C61,TotalYardDiff2,2,TRUE)</f>
        <v>Medium</v>
      </c>
      <c r="D60" t="str">
        <f>VLOOKUP(NFLDataSet!D61,PassYardsDiff2,2,TRUE)</f>
        <v>High</v>
      </c>
      <c r="E60" t="str">
        <f>VLOOKUP(NFLDataSet!E61,RushYards2,2,TRUE)</f>
        <v>Low</v>
      </c>
      <c r="F60" t="str">
        <f>VLOOKUP(NFLDataSet!F61,TurnOverDiff2,2,TRUE)</f>
        <v>High</v>
      </c>
      <c r="G60" t="str">
        <f>NFLDataSet!G61</f>
        <v>L</v>
      </c>
    </row>
    <row r="61" spans="1:7" x14ac:dyDescent="0.35">
      <c r="A61" t="str">
        <f>NFLDataSet!A62</f>
        <v>A</v>
      </c>
      <c r="B61" t="str">
        <f>VLOOKUP(NFLDataSet!B62,FirstDownDiff2,2,TRUE)</f>
        <v>Medium</v>
      </c>
      <c r="C61" t="str">
        <f>VLOOKUP(NFLDataSet!C62,TotalYardDiff2,2,TRUE)</f>
        <v>Medium</v>
      </c>
      <c r="D61" t="str">
        <f>VLOOKUP(NFLDataSet!D62,PassYardsDiff2,2,TRUE)</f>
        <v>Medium</v>
      </c>
      <c r="E61" t="str">
        <f>VLOOKUP(NFLDataSet!E62,RushYards2,2,TRUE)</f>
        <v>Medium</v>
      </c>
      <c r="F61" t="str">
        <f>VLOOKUP(NFLDataSet!F62,TurnOverDiff2,2,TRUE)</f>
        <v>Medium</v>
      </c>
      <c r="G61" t="str">
        <f>NFLDataSet!G62</f>
        <v>L</v>
      </c>
    </row>
    <row r="62" spans="1:7" x14ac:dyDescent="0.35">
      <c r="A62" t="str">
        <f>NFLDataSet!A63</f>
        <v>A</v>
      </c>
      <c r="B62" t="str">
        <f>VLOOKUP(NFLDataSet!B63,FirstDownDiff2,2,TRUE)</f>
        <v>Low</v>
      </c>
      <c r="C62" t="str">
        <f>VLOOKUP(NFLDataSet!C63,TotalYardDiff2,2,TRUE)</f>
        <v>Medium</v>
      </c>
      <c r="D62" t="str">
        <f>VLOOKUP(NFLDataSet!D63,PassYardsDiff2,2,TRUE)</f>
        <v>Medium</v>
      </c>
      <c r="E62" t="str">
        <f>VLOOKUP(NFLDataSet!E63,RushYards2,2,TRUE)</f>
        <v>Medium</v>
      </c>
      <c r="F62" t="str">
        <f>VLOOKUP(NFLDataSet!F63,TurnOverDiff2,2,TRUE)</f>
        <v>Medium</v>
      </c>
      <c r="G62" t="str">
        <f>NFLDataSet!G63</f>
        <v>L</v>
      </c>
    </row>
    <row r="63" spans="1:7" x14ac:dyDescent="0.35">
      <c r="A63" t="str">
        <f>NFLDataSet!A64</f>
        <v>H</v>
      </c>
      <c r="B63" t="str">
        <f>VLOOKUP(NFLDataSet!B64,FirstDownDiff2,2,TRUE)</f>
        <v>Medium</v>
      </c>
      <c r="C63" t="str">
        <f>VLOOKUP(NFLDataSet!C64,TotalYardDiff2,2,TRUE)</f>
        <v>Medium</v>
      </c>
      <c r="D63" t="str">
        <f>VLOOKUP(NFLDataSet!D64,PassYardsDiff2,2,TRUE)</f>
        <v>High</v>
      </c>
      <c r="E63" t="str">
        <f>VLOOKUP(NFLDataSet!E64,RushYards2,2,TRUE)</f>
        <v>Low</v>
      </c>
      <c r="F63" t="str">
        <f>VLOOKUP(NFLDataSet!F64,TurnOverDiff2,2,TRUE)</f>
        <v>Medium</v>
      </c>
      <c r="G63" t="str">
        <f>NFLDataSet!G64</f>
        <v>W</v>
      </c>
    </row>
    <row r="64" spans="1:7" x14ac:dyDescent="0.35">
      <c r="A64" t="str">
        <f>NFLDataSet!A65</f>
        <v>A</v>
      </c>
      <c r="B64" t="str">
        <f>VLOOKUP(NFLDataSet!B65,FirstDownDiff2,2,TRUE)</f>
        <v>Medium</v>
      </c>
      <c r="C64" t="str">
        <f>VLOOKUP(NFLDataSet!C65,TotalYardDiff2,2,TRUE)</f>
        <v>Medium</v>
      </c>
      <c r="D64" t="str">
        <f>VLOOKUP(NFLDataSet!D65,PassYardsDiff2,2,TRUE)</f>
        <v>Medium</v>
      </c>
      <c r="E64" t="str">
        <f>VLOOKUP(NFLDataSet!E65,RushYards2,2,TRUE)</f>
        <v>Medium</v>
      </c>
      <c r="F64" t="str">
        <f>VLOOKUP(NFLDataSet!F65,TurnOverDiff2,2,TRUE)</f>
        <v>Medium</v>
      </c>
      <c r="G64" t="str">
        <f>NFLDataSet!G65</f>
        <v>W</v>
      </c>
    </row>
    <row r="65" spans="1:7" x14ac:dyDescent="0.35">
      <c r="A65" t="str">
        <f>NFLDataSet!A66</f>
        <v>A</v>
      </c>
      <c r="B65" t="str">
        <f>VLOOKUP(NFLDataSet!B66,FirstDownDiff2,2,TRUE)</f>
        <v>Medium</v>
      </c>
      <c r="C65" t="str">
        <f>VLOOKUP(NFLDataSet!C66,TotalYardDiff2,2,TRUE)</f>
        <v>Low</v>
      </c>
      <c r="D65" t="str">
        <f>VLOOKUP(NFLDataSet!D66,PassYardsDiff2,2,TRUE)</f>
        <v>Low</v>
      </c>
      <c r="E65" t="str">
        <f>VLOOKUP(NFLDataSet!E66,RushYards2,2,TRUE)</f>
        <v>High</v>
      </c>
      <c r="F65" t="str">
        <f>VLOOKUP(NFLDataSet!F66,TurnOverDiff2,2,TRUE)</f>
        <v>Medium</v>
      </c>
      <c r="G65" t="str">
        <f>NFLDataSet!G66</f>
        <v>L</v>
      </c>
    </row>
    <row r="66" spans="1:7" x14ac:dyDescent="0.35">
      <c r="A66" t="str">
        <f>NFLDataSet!A67</f>
        <v>A</v>
      </c>
      <c r="B66" t="str">
        <f>VLOOKUP(NFLDataSet!B67,FirstDownDiff2,2,TRUE)</f>
        <v>Medium</v>
      </c>
      <c r="C66" t="str">
        <f>VLOOKUP(NFLDataSet!C67,TotalYardDiff2,2,TRUE)</f>
        <v>High</v>
      </c>
      <c r="D66" t="str">
        <f>VLOOKUP(NFLDataSet!D67,PassYardsDiff2,2,TRUE)</f>
        <v>High</v>
      </c>
      <c r="E66" t="str">
        <f>VLOOKUP(NFLDataSet!E67,RushYards2,2,TRUE)</f>
        <v>High</v>
      </c>
      <c r="F66" t="str">
        <f>VLOOKUP(NFLDataSet!F67,TurnOverDiff2,2,TRUE)</f>
        <v>Medium</v>
      </c>
      <c r="G66" t="str">
        <f>NFLDataSet!G67</f>
        <v>W</v>
      </c>
    </row>
    <row r="67" spans="1:7" x14ac:dyDescent="0.35">
      <c r="A67" t="str">
        <f>NFLDataSet!A68</f>
        <v>H</v>
      </c>
      <c r="B67" t="str">
        <f>VLOOKUP(NFLDataSet!B68,FirstDownDiff2,2,TRUE)</f>
        <v>High</v>
      </c>
      <c r="C67" t="str">
        <f>VLOOKUP(NFLDataSet!C68,TotalYardDiff2,2,TRUE)</f>
        <v>Medium</v>
      </c>
      <c r="D67" t="str">
        <f>VLOOKUP(NFLDataSet!D68,PassYardsDiff2,2,TRUE)</f>
        <v>Medium</v>
      </c>
      <c r="E67" t="str">
        <f>VLOOKUP(NFLDataSet!E68,RushYards2,2,TRUE)</f>
        <v>Medium</v>
      </c>
      <c r="F67" t="str">
        <f>VLOOKUP(NFLDataSet!F68,TurnOverDiff2,2,TRUE)</f>
        <v>Medium</v>
      </c>
      <c r="G67" t="str">
        <f>NFLDataSet!G68</f>
        <v>L</v>
      </c>
    </row>
    <row r="68" spans="1:7" x14ac:dyDescent="0.35">
      <c r="A68" t="str">
        <f>NFLDataSet!A69</f>
        <v>H</v>
      </c>
      <c r="B68" t="str">
        <f>VLOOKUP(NFLDataSet!B69,FirstDownDiff2,2,TRUE)</f>
        <v>Medium</v>
      </c>
      <c r="C68" t="str">
        <f>VLOOKUP(NFLDataSet!C69,TotalYardDiff2,2,TRUE)</f>
        <v>Medium</v>
      </c>
      <c r="D68" t="str">
        <f>VLOOKUP(NFLDataSet!D69,PassYardsDiff2,2,TRUE)</f>
        <v>Medium</v>
      </c>
      <c r="E68" t="str">
        <f>VLOOKUP(NFLDataSet!E69,RushYards2,2,TRUE)</f>
        <v>Medium</v>
      </c>
      <c r="F68" t="str">
        <f>VLOOKUP(NFLDataSet!F69,TurnOverDiff2,2,TRUE)</f>
        <v>Medium</v>
      </c>
      <c r="G68" t="str">
        <f>NFLDataSet!G69</f>
        <v>W</v>
      </c>
    </row>
    <row r="69" spans="1:7" x14ac:dyDescent="0.35">
      <c r="A69" t="str">
        <f>NFLDataSet!A70</f>
        <v>A</v>
      </c>
      <c r="B69" t="str">
        <f>VLOOKUP(NFLDataSet!B70,FirstDownDiff2,2,TRUE)</f>
        <v>High</v>
      </c>
      <c r="C69" t="str">
        <f>VLOOKUP(NFLDataSet!C70,TotalYardDiff2,2,TRUE)</f>
        <v>High</v>
      </c>
      <c r="D69" t="str">
        <f>VLOOKUP(NFLDataSet!D70,PassYardsDiff2,2,TRUE)</f>
        <v>High</v>
      </c>
      <c r="E69" t="str">
        <f>VLOOKUP(NFLDataSet!E70,RushYards2,2,TRUE)</f>
        <v>Medium</v>
      </c>
      <c r="F69" t="str">
        <f>VLOOKUP(NFLDataSet!F70,TurnOverDiff2,2,TRUE)</f>
        <v>Low</v>
      </c>
      <c r="G69" t="str">
        <f>NFLDataSet!G70</f>
        <v>W</v>
      </c>
    </row>
    <row r="70" spans="1:7" x14ac:dyDescent="0.35">
      <c r="A70" t="str">
        <f>NFLDataSet!A71</f>
        <v>A</v>
      </c>
      <c r="B70" t="str">
        <f>VLOOKUP(NFLDataSet!B71,FirstDownDiff2,2,TRUE)</f>
        <v>Medium</v>
      </c>
      <c r="C70" t="str">
        <f>VLOOKUP(NFLDataSet!C71,TotalYardDiff2,2,TRUE)</f>
        <v>Medium</v>
      </c>
      <c r="D70" t="str">
        <f>VLOOKUP(NFLDataSet!D71,PassYardsDiff2,2,TRUE)</f>
        <v>Medium</v>
      </c>
      <c r="E70" t="str">
        <f>VLOOKUP(NFLDataSet!E71,RushYards2,2,TRUE)</f>
        <v>Medium</v>
      </c>
      <c r="F70" t="str">
        <f>VLOOKUP(NFLDataSet!F71,TurnOverDiff2,2,TRUE)</f>
        <v>Medium</v>
      </c>
      <c r="G70" t="str">
        <f>NFLDataSet!G71</f>
        <v>L</v>
      </c>
    </row>
    <row r="71" spans="1:7" x14ac:dyDescent="0.35">
      <c r="A71" t="str">
        <f>NFLDataSet!A72</f>
        <v>A</v>
      </c>
      <c r="B71" t="str">
        <f>VLOOKUP(NFLDataSet!B72,FirstDownDiff2,2,TRUE)</f>
        <v>Medium</v>
      </c>
      <c r="C71" t="str">
        <f>VLOOKUP(NFLDataSet!C72,TotalYardDiff2,2,TRUE)</f>
        <v>Medium</v>
      </c>
      <c r="D71" t="str">
        <f>VLOOKUP(NFLDataSet!D72,PassYardsDiff2,2,TRUE)</f>
        <v>Medium</v>
      </c>
      <c r="E71" t="str">
        <f>VLOOKUP(NFLDataSet!E72,RushYards2,2,TRUE)</f>
        <v>Medium</v>
      </c>
      <c r="F71" t="str">
        <f>VLOOKUP(NFLDataSet!F72,TurnOverDiff2,2,TRUE)</f>
        <v>Medium</v>
      </c>
      <c r="G71" t="str">
        <f>NFLDataSet!G72</f>
        <v>L</v>
      </c>
    </row>
    <row r="72" spans="1:7" x14ac:dyDescent="0.35">
      <c r="A72" t="str">
        <f>NFLDataSet!A73</f>
        <v>A</v>
      </c>
      <c r="B72" t="str">
        <f>VLOOKUP(NFLDataSet!B73,FirstDownDiff2,2,TRUE)</f>
        <v>Medium</v>
      </c>
      <c r="C72" t="str">
        <f>VLOOKUP(NFLDataSet!C73,TotalYardDiff2,2,TRUE)</f>
        <v>High</v>
      </c>
      <c r="D72" t="str">
        <f>VLOOKUP(NFLDataSet!D73,PassYardsDiff2,2,TRUE)</f>
        <v>High</v>
      </c>
      <c r="E72" t="str">
        <f>VLOOKUP(NFLDataSet!E73,RushYards2,2,TRUE)</f>
        <v>High</v>
      </c>
      <c r="F72" t="str">
        <f>VLOOKUP(NFLDataSet!F73,TurnOverDiff2,2,TRUE)</f>
        <v>Medium</v>
      </c>
      <c r="G72" t="str">
        <f>NFLDataSet!G73</f>
        <v>W</v>
      </c>
    </row>
    <row r="73" spans="1:7" x14ac:dyDescent="0.35">
      <c r="A73" t="str">
        <f>NFLDataSet!A74</f>
        <v>A</v>
      </c>
      <c r="B73" t="str">
        <f>VLOOKUP(NFLDataSet!B74,FirstDownDiff2,2,TRUE)</f>
        <v>High</v>
      </c>
      <c r="C73" t="str">
        <f>VLOOKUP(NFLDataSet!C74,TotalYardDiff2,2,TRUE)</f>
        <v>High</v>
      </c>
      <c r="D73" t="str">
        <f>VLOOKUP(NFLDataSet!D74,PassYardsDiff2,2,TRUE)</f>
        <v>High</v>
      </c>
      <c r="E73" t="str">
        <f>VLOOKUP(NFLDataSet!E74,RushYards2,2,TRUE)</f>
        <v>High</v>
      </c>
      <c r="F73" t="str">
        <f>VLOOKUP(NFLDataSet!F74,TurnOverDiff2,2,TRUE)</f>
        <v>Medium</v>
      </c>
      <c r="G73" t="str">
        <f>NFLDataSet!G74</f>
        <v>W</v>
      </c>
    </row>
    <row r="74" spans="1:7" x14ac:dyDescent="0.35">
      <c r="A74" t="str">
        <f>NFLDataSet!A75</f>
        <v>H</v>
      </c>
      <c r="B74" t="str">
        <f>VLOOKUP(NFLDataSet!B75,FirstDownDiff2,2,TRUE)</f>
        <v>Medium</v>
      </c>
      <c r="C74" t="str">
        <f>VLOOKUP(NFLDataSet!C75,TotalYardDiff2,2,TRUE)</f>
        <v>High</v>
      </c>
      <c r="D74" t="str">
        <f>VLOOKUP(NFLDataSet!D75,PassYardsDiff2,2,TRUE)</f>
        <v>High</v>
      </c>
      <c r="E74" t="str">
        <f>VLOOKUP(NFLDataSet!E75,RushYards2,2,TRUE)</f>
        <v>Medium</v>
      </c>
      <c r="F74" t="str">
        <f>VLOOKUP(NFLDataSet!F75,TurnOverDiff2,2,TRUE)</f>
        <v>High</v>
      </c>
      <c r="G74" t="str">
        <f>NFLDataSet!G75</f>
        <v>L</v>
      </c>
    </row>
    <row r="75" spans="1:7" x14ac:dyDescent="0.35">
      <c r="A75" t="str">
        <f>NFLDataSet!A76</f>
        <v>H</v>
      </c>
      <c r="B75" t="str">
        <f>VLOOKUP(NFLDataSet!B76,FirstDownDiff2,2,TRUE)</f>
        <v>Medium</v>
      </c>
      <c r="C75" t="str">
        <f>VLOOKUP(NFLDataSet!C76,TotalYardDiff2,2,TRUE)</f>
        <v>Medium</v>
      </c>
      <c r="D75" t="str">
        <f>VLOOKUP(NFLDataSet!D76,PassYardsDiff2,2,TRUE)</f>
        <v>Medium</v>
      </c>
      <c r="E75" t="str">
        <f>VLOOKUP(NFLDataSet!E76,RushYards2,2,TRUE)</f>
        <v>High</v>
      </c>
      <c r="F75" t="str">
        <f>VLOOKUP(NFLDataSet!F76,TurnOverDiff2,2,TRUE)</f>
        <v>Medium</v>
      </c>
      <c r="G75" t="str">
        <f>NFLDataSet!G76</f>
        <v>L</v>
      </c>
    </row>
    <row r="76" spans="1:7" x14ac:dyDescent="0.35">
      <c r="A76" t="str">
        <f>NFLDataSet!A77</f>
        <v>A</v>
      </c>
      <c r="B76" t="str">
        <f>VLOOKUP(NFLDataSet!B77,FirstDownDiff2,2,TRUE)</f>
        <v>Medium</v>
      </c>
      <c r="C76" t="str">
        <f>VLOOKUP(NFLDataSet!C77,TotalYardDiff2,2,TRUE)</f>
        <v>High</v>
      </c>
      <c r="D76" t="str">
        <f>VLOOKUP(NFLDataSet!D77,PassYardsDiff2,2,TRUE)</f>
        <v>High</v>
      </c>
      <c r="E76" t="str">
        <f>VLOOKUP(NFLDataSet!E77,RushYards2,2,TRUE)</f>
        <v>Medium</v>
      </c>
      <c r="F76" t="str">
        <f>VLOOKUP(NFLDataSet!F77,TurnOverDiff2,2,TRUE)</f>
        <v>Medium</v>
      </c>
      <c r="G76" t="str">
        <f>NFLDataSet!G77</f>
        <v>L</v>
      </c>
    </row>
    <row r="77" spans="1:7" x14ac:dyDescent="0.35">
      <c r="A77" t="str">
        <f>NFLDataSet!A78</f>
        <v>A</v>
      </c>
      <c r="B77" t="str">
        <f>VLOOKUP(NFLDataSet!B78,FirstDownDiff2,2,TRUE)</f>
        <v>Medium</v>
      </c>
      <c r="C77" t="str">
        <f>VLOOKUP(NFLDataSet!C78,TotalYardDiff2,2,TRUE)</f>
        <v>Medium</v>
      </c>
      <c r="D77" t="str">
        <f>VLOOKUP(NFLDataSet!D78,PassYardsDiff2,2,TRUE)</f>
        <v>Low</v>
      </c>
      <c r="E77" t="str">
        <f>VLOOKUP(NFLDataSet!E78,RushYards2,2,TRUE)</f>
        <v>High</v>
      </c>
      <c r="F77" t="str">
        <f>VLOOKUP(NFLDataSet!F78,TurnOverDiff2,2,TRUE)</f>
        <v>Medium</v>
      </c>
      <c r="G77" t="str">
        <f>NFLDataSet!G78</f>
        <v>W</v>
      </c>
    </row>
    <row r="78" spans="1:7" x14ac:dyDescent="0.35">
      <c r="A78" t="str">
        <f>NFLDataSet!A79</f>
        <v>H</v>
      </c>
      <c r="B78" t="str">
        <f>VLOOKUP(NFLDataSet!B79,FirstDownDiff2,2,TRUE)</f>
        <v>Low</v>
      </c>
      <c r="C78" t="str">
        <f>VLOOKUP(NFLDataSet!C79,TotalYardDiff2,2,TRUE)</f>
        <v>Low</v>
      </c>
      <c r="D78" t="str">
        <f>VLOOKUP(NFLDataSet!D79,PassYardsDiff2,2,TRUE)</f>
        <v>Medium</v>
      </c>
      <c r="E78" t="str">
        <f>VLOOKUP(NFLDataSet!E79,RushYards2,2,TRUE)</f>
        <v>Low</v>
      </c>
      <c r="F78" t="str">
        <f>VLOOKUP(NFLDataSet!F79,TurnOverDiff2,2,TRUE)</f>
        <v>Medium</v>
      </c>
      <c r="G78" t="str">
        <f>NFLDataSet!G79</f>
        <v>L</v>
      </c>
    </row>
    <row r="79" spans="1:7" x14ac:dyDescent="0.35">
      <c r="A79" t="str">
        <f>NFLDataSet!A80</f>
        <v>A</v>
      </c>
      <c r="B79" t="str">
        <f>VLOOKUP(NFLDataSet!B80,FirstDownDiff2,2,TRUE)</f>
        <v>Medium</v>
      </c>
      <c r="C79" t="str">
        <f>VLOOKUP(NFLDataSet!C80,TotalYardDiff2,2,TRUE)</f>
        <v>High</v>
      </c>
      <c r="D79" t="str">
        <f>VLOOKUP(NFLDataSet!D80,PassYardsDiff2,2,TRUE)</f>
        <v>High</v>
      </c>
      <c r="E79" t="str">
        <f>VLOOKUP(NFLDataSet!E80,RushYards2,2,TRUE)</f>
        <v>High</v>
      </c>
      <c r="F79" t="str">
        <f>VLOOKUP(NFLDataSet!F80,TurnOverDiff2,2,TRUE)</f>
        <v>Medium</v>
      </c>
      <c r="G79" t="str">
        <f>NFLDataSet!G80</f>
        <v>W</v>
      </c>
    </row>
    <row r="80" spans="1:7" x14ac:dyDescent="0.35">
      <c r="A80" t="str">
        <f>NFLDataSet!A81</f>
        <v>A</v>
      </c>
      <c r="B80" t="str">
        <f>VLOOKUP(NFLDataSet!B81,FirstDownDiff2,2,TRUE)</f>
        <v>Low</v>
      </c>
      <c r="C80" t="str">
        <f>VLOOKUP(NFLDataSet!C81,TotalYardDiff2,2,TRUE)</f>
        <v>Low</v>
      </c>
      <c r="D80" t="str">
        <f>VLOOKUP(NFLDataSet!D81,PassYardsDiff2,2,TRUE)</f>
        <v>Low</v>
      </c>
      <c r="E80" t="str">
        <f>VLOOKUP(NFLDataSet!E81,RushYards2,2,TRUE)</f>
        <v>Medium</v>
      </c>
      <c r="F80" t="str">
        <f>VLOOKUP(NFLDataSet!F81,TurnOverDiff2,2,TRUE)</f>
        <v>Medium</v>
      </c>
      <c r="G80" t="str">
        <f>NFLDataSet!G81</f>
        <v>L</v>
      </c>
    </row>
    <row r="81" spans="1:7" x14ac:dyDescent="0.35">
      <c r="A81" t="str">
        <f>NFLDataSet!A82</f>
        <v>H</v>
      </c>
      <c r="B81" t="str">
        <f>VLOOKUP(NFLDataSet!B82,FirstDownDiff2,2,TRUE)</f>
        <v>Medium</v>
      </c>
      <c r="C81" t="str">
        <f>VLOOKUP(NFLDataSet!C82,TotalYardDiff2,2,TRUE)</f>
        <v>Medium</v>
      </c>
      <c r="D81" t="str">
        <f>VLOOKUP(NFLDataSet!D82,PassYardsDiff2,2,TRUE)</f>
        <v>Medium</v>
      </c>
      <c r="E81" t="str">
        <f>VLOOKUP(NFLDataSet!E82,RushYards2,2,TRUE)</f>
        <v>Medium</v>
      </c>
      <c r="F81" t="str">
        <f>VLOOKUP(NFLDataSet!F82,TurnOverDiff2,2,TRUE)</f>
        <v>Medium</v>
      </c>
      <c r="G81" t="str">
        <f>NFLDataSet!G82</f>
        <v>W</v>
      </c>
    </row>
    <row r="82" spans="1:7" x14ac:dyDescent="0.35">
      <c r="A82" t="str">
        <f>NFLDataSet!A83</f>
        <v>A</v>
      </c>
      <c r="B82" t="str">
        <f>VLOOKUP(NFLDataSet!B83,FirstDownDiff2,2,TRUE)</f>
        <v>Medium</v>
      </c>
      <c r="C82" t="str">
        <f>VLOOKUP(NFLDataSet!C83,TotalYardDiff2,2,TRUE)</f>
        <v>Medium</v>
      </c>
      <c r="D82" t="str">
        <f>VLOOKUP(NFLDataSet!D83,PassYardsDiff2,2,TRUE)</f>
        <v>Low</v>
      </c>
      <c r="E82" t="str">
        <f>VLOOKUP(NFLDataSet!E83,RushYards2,2,TRUE)</f>
        <v>High</v>
      </c>
      <c r="F82" t="str">
        <f>VLOOKUP(NFLDataSet!F83,TurnOverDiff2,2,TRUE)</f>
        <v>Low</v>
      </c>
      <c r="G82" t="str">
        <f>NFLDataSet!G83</f>
        <v>W</v>
      </c>
    </row>
    <row r="83" spans="1:7" x14ac:dyDescent="0.35">
      <c r="A83" t="str">
        <f>NFLDataSet!A84</f>
        <v>H</v>
      </c>
      <c r="B83" t="str">
        <f>VLOOKUP(NFLDataSet!B84,FirstDownDiff2,2,TRUE)</f>
        <v>High</v>
      </c>
      <c r="C83" t="str">
        <f>VLOOKUP(NFLDataSet!C84,TotalYardDiff2,2,TRUE)</f>
        <v>High</v>
      </c>
      <c r="D83" t="str">
        <f>VLOOKUP(NFLDataSet!D84,PassYardsDiff2,2,TRUE)</f>
        <v>Medium</v>
      </c>
      <c r="E83" t="str">
        <f>VLOOKUP(NFLDataSet!E84,RushYards2,2,TRUE)</f>
        <v>High</v>
      </c>
      <c r="F83" t="str">
        <f>VLOOKUP(NFLDataSet!F84,TurnOverDiff2,2,TRUE)</f>
        <v>Medium</v>
      </c>
      <c r="G83" t="str">
        <f>NFLDataSet!G84</f>
        <v>W</v>
      </c>
    </row>
    <row r="84" spans="1:7" x14ac:dyDescent="0.35">
      <c r="A84" t="str">
        <f>NFLDataSet!A85</f>
        <v>A</v>
      </c>
      <c r="B84" t="str">
        <f>VLOOKUP(NFLDataSet!B85,FirstDownDiff2,2,TRUE)</f>
        <v>Medium</v>
      </c>
      <c r="C84" t="str">
        <f>VLOOKUP(NFLDataSet!C85,TotalYardDiff2,2,TRUE)</f>
        <v>Medium</v>
      </c>
      <c r="D84" t="str">
        <f>VLOOKUP(NFLDataSet!D85,PassYardsDiff2,2,TRUE)</f>
        <v>Medium</v>
      </c>
      <c r="E84" t="str">
        <f>VLOOKUP(NFLDataSet!E85,RushYards2,2,TRUE)</f>
        <v>High</v>
      </c>
      <c r="F84" t="str">
        <f>VLOOKUP(NFLDataSet!F85,TurnOverDiff2,2,TRUE)</f>
        <v>Medium</v>
      </c>
      <c r="G84" t="str">
        <f>NFLDataSet!G85</f>
        <v>L</v>
      </c>
    </row>
    <row r="85" spans="1:7" x14ac:dyDescent="0.35">
      <c r="A85" t="str">
        <f>NFLDataSet!A86</f>
        <v>H</v>
      </c>
      <c r="B85" t="str">
        <f>VLOOKUP(NFLDataSet!B86,FirstDownDiff2,2,TRUE)</f>
        <v>Medium</v>
      </c>
      <c r="C85" t="str">
        <f>VLOOKUP(NFLDataSet!C86,TotalYardDiff2,2,TRUE)</f>
        <v>Medium</v>
      </c>
      <c r="D85" t="str">
        <f>VLOOKUP(NFLDataSet!D86,PassYardsDiff2,2,TRUE)</f>
        <v>Medium</v>
      </c>
      <c r="E85" t="str">
        <f>VLOOKUP(NFLDataSet!E86,RushYards2,2,TRUE)</f>
        <v>Medium</v>
      </c>
      <c r="F85" t="str">
        <f>VLOOKUP(NFLDataSet!F86,TurnOverDiff2,2,TRUE)</f>
        <v>Medium</v>
      </c>
      <c r="G85" t="str">
        <f>NFLDataSet!G86</f>
        <v>W</v>
      </c>
    </row>
    <row r="86" spans="1:7" x14ac:dyDescent="0.35">
      <c r="A86" t="str">
        <f>NFLDataSet!A87</f>
        <v>A</v>
      </c>
      <c r="B86" t="str">
        <f>VLOOKUP(NFLDataSet!B87,FirstDownDiff2,2,TRUE)</f>
        <v>Low</v>
      </c>
      <c r="C86" t="str">
        <f>VLOOKUP(NFLDataSet!C87,TotalYardDiff2,2,TRUE)</f>
        <v>Low</v>
      </c>
      <c r="D86" t="str">
        <f>VLOOKUP(NFLDataSet!D87,PassYardsDiff2,2,TRUE)</f>
        <v>Low</v>
      </c>
      <c r="E86" t="str">
        <f>VLOOKUP(NFLDataSet!E87,RushYards2,2,TRUE)</f>
        <v>Medium</v>
      </c>
      <c r="F86" t="str">
        <f>VLOOKUP(NFLDataSet!F87,TurnOverDiff2,2,TRUE)</f>
        <v>Medium</v>
      </c>
      <c r="G86" t="str">
        <f>NFLDataSet!G87</f>
        <v>L</v>
      </c>
    </row>
    <row r="87" spans="1:7" x14ac:dyDescent="0.35">
      <c r="A87" t="str">
        <f>NFLDataSet!A88</f>
        <v>A</v>
      </c>
      <c r="B87" t="str">
        <f>VLOOKUP(NFLDataSet!B88,FirstDownDiff2,2,TRUE)</f>
        <v>Medium</v>
      </c>
      <c r="C87" t="str">
        <f>VLOOKUP(NFLDataSet!C88,TotalYardDiff2,2,TRUE)</f>
        <v>Medium</v>
      </c>
      <c r="D87" t="str">
        <f>VLOOKUP(NFLDataSet!D88,PassYardsDiff2,2,TRUE)</f>
        <v>Low</v>
      </c>
      <c r="E87" t="str">
        <f>VLOOKUP(NFLDataSet!E88,RushYards2,2,TRUE)</f>
        <v>High</v>
      </c>
      <c r="F87" t="str">
        <f>VLOOKUP(NFLDataSet!F88,TurnOverDiff2,2,TRUE)</f>
        <v>Medium</v>
      </c>
      <c r="G87" t="str">
        <f>NFLDataSet!G88</f>
        <v>L</v>
      </c>
    </row>
    <row r="88" spans="1:7" x14ac:dyDescent="0.35">
      <c r="A88" t="str">
        <f>NFLDataSet!A89</f>
        <v>H</v>
      </c>
      <c r="B88" t="str">
        <f>VLOOKUP(NFLDataSet!B89,FirstDownDiff2,2,TRUE)</f>
        <v>Medium</v>
      </c>
      <c r="C88" t="str">
        <f>VLOOKUP(NFLDataSet!C89,TotalYardDiff2,2,TRUE)</f>
        <v>Medium</v>
      </c>
      <c r="D88" t="str">
        <f>VLOOKUP(NFLDataSet!D89,PassYardsDiff2,2,TRUE)</f>
        <v>Medium</v>
      </c>
      <c r="E88" t="str">
        <f>VLOOKUP(NFLDataSet!E89,RushYards2,2,TRUE)</f>
        <v>Medium</v>
      </c>
      <c r="F88" t="str">
        <f>VLOOKUP(NFLDataSet!F89,TurnOverDiff2,2,TRUE)</f>
        <v>Medium</v>
      </c>
      <c r="G88" t="str">
        <f>NFLDataSet!G89</f>
        <v>L</v>
      </c>
    </row>
    <row r="89" spans="1:7" x14ac:dyDescent="0.35">
      <c r="A89" t="str">
        <f>NFLDataSet!A90</f>
        <v>H</v>
      </c>
      <c r="B89" t="str">
        <f>VLOOKUP(NFLDataSet!B90,FirstDownDiff2,2,TRUE)</f>
        <v>High</v>
      </c>
      <c r="C89" t="str">
        <f>VLOOKUP(NFLDataSet!C90,TotalYardDiff2,2,TRUE)</f>
        <v>Medium</v>
      </c>
      <c r="D89" t="str">
        <f>VLOOKUP(NFLDataSet!D90,PassYardsDiff2,2,TRUE)</f>
        <v>Medium</v>
      </c>
      <c r="E89" t="str">
        <f>VLOOKUP(NFLDataSet!E90,RushYards2,2,TRUE)</f>
        <v>Medium</v>
      </c>
      <c r="F89" t="str">
        <f>VLOOKUP(NFLDataSet!F90,TurnOverDiff2,2,TRUE)</f>
        <v>Medium</v>
      </c>
      <c r="G89" t="str">
        <f>NFLDataSet!G90</f>
        <v>L</v>
      </c>
    </row>
    <row r="90" spans="1:7" x14ac:dyDescent="0.35">
      <c r="A90" t="str">
        <f>NFLDataSet!A91</f>
        <v>H</v>
      </c>
      <c r="B90" t="str">
        <f>VLOOKUP(NFLDataSet!B91,FirstDownDiff2,2,TRUE)</f>
        <v>Low</v>
      </c>
      <c r="C90" t="str">
        <f>VLOOKUP(NFLDataSet!C91,TotalYardDiff2,2,TRUE)</f>
        <v>Low</v>
      </c>
      <c r="D90" t="str">
        <f>VLOOKUP(NFLDataSet!D91,PassYardsDiff2,2,TRUE)</f>
        <v>Low</v>
      </c>
      <c r="E90" t="str">
        <f>VLOOKUP(NFLDataSet!E91,RushYards2,2,TRUE)</f>
        <v>Low</v>
      </c>
      <c r="F90" t="str">
        <f>VLOOKUP(NFLDataSet!F91,TurnOverDiff2,2,TRUE)</f>
        <v>Medium</v>
      </c>
      <c r="G90" t="str">
        <f>NFLDataSet!G91</f>
        <v>L</v>
      </c>
    </row>
    <row r="91" spans="1:7" x14ac:dyDescent="0.35">
      <c r="A91" t="str">
        <f>NFLDataSet!A92</f>
        <v>A</v>
      </c>
      <c r="B91" t="str">
        <f>VLOOKUP(NFLDataSet!B92,FirstDownDiff2,2,TRUE)</f>
        <v>High</v>
      </c>
      <c r="C91" t="str">
        <f>VLOOKUP(NFLDataSet!C92,TotalYardDiff2,2,TRUE)</f>
        <v>Medium</v>
      </c>
      <c r="D91" t="str">
        <f>VLOOKUP(NFLDataSet!D92,PassYardsDiff2,2,TRUE)</f>
        <v>Medium</v>
      </c>
      <c r="E91" t="str">
        <f>VLOOKUP(NFLDataSet!E92,RushYards2,2,TRUE)</f>
        <v>Medium</v>
      </c>
      <c r="F91" t="str">
        <f>VLOOKUP(NFLDataSet!F92,TurnOverDiff2,2,TRUE)</f>
        <v>Medium</v>
      </c>
      <c r="G91" t="str">
        <f>NFLDataSet!G92</f>
        <v>W</v>
      </c>
    </row>
    <row r="92" spans="1:7" x14ac:dyDescent="0.35">
      <c r="A92" t="str">
        <f>NFLDataSet!A93</f>
        <v>A</v>
      </c>
      <c r="B92" t="str">
        <f>VLOOKUP(NFLDataSet!B93,FirstDownDiff2,2,TRUE)</f>
        <v>Low</v>
      </c>
      <c r="C92" t="str">
        <f>VLOOKUP(NFLDataSet!C93,TotalYardDiff2,2,TRUE)</f>
        <v>Medium</v>
      </c>
      <c r="D92" t="str">
        <f>VLOOKUP(NFLDataSet!D93,PassYardsDiff2,2,TRUE)</f>
        <v>Medium</v>
      </c>
      <c r="E92" t="str">
        <f>VLOOKUP(NFLDataSet!E93,RushYards2,2,TRUE)</f>
        <v>Low</v>
      </c>
      <c r="F92" t="str">
        <f>VLOOKUP(NFLDataSet!F93,TurnOverDiff2,2,TRUE)</f>
        <v>Medium</v>
      </c>
      <c r="G92" t="str">
        <f>NFLDataSet!G93</f>
        <v>L</v>
      </c>
    </row>
    <row r="93" spans="1:7" x14ac:dyDescent="0.35">
      <c r="A93" t="str">
        <f>NFLDataSet!A94</f>
        <v>H</v>
      </c>
      <c r="B93" t="str">
        <f>VLOOKUP(NFLDataSet!B94,FirstDownDiff2,2,TRUE)</f>
        <v>High</v>
      </c>
      <c r="C93" t="str">
        <f>VLOOKUP(NFLDataSet!C94,TotalYardDiff2,2,TRUE)</f>
        <v>High</v>
      </c>
      <c r="D93" t="str">
        <f>VLOOKUP(NFLDataSet!D94,PassYardsDiff2,2,TRUE)</f>
        <v>High</v>
      </c>
      <c r="E93" t="str">
        <f>VLOOKUP(NFLDataSet!E94,RushYards2,2,TRUE)</f>
        <v>Medium</v>
      </c>
      <c r="F93" t="str">
        <f>VLOOKUP(NFLDataSet!F94,TurnOverDiff2,2,TRUE)</f>
        <v>Medium</v>
      </c>
      <c r="G93" t="str">
        <f>NFLDataSet!G94</f>
        <v>W</v>
      </c>
    </row>
    <row r="94" spans="1:7" x14ac:dyDescent="0.35">
      <c r="A94" t="str">
        <f>NFLDataSet!A95</f>
        <v>A</v>
      </c>
      <c r="B94" t="str">
        <f>VLOOKUP(NFLDataSet!B95,FirstDownDiff2,2,TRUE)</f>
        <v>Medium</v>
      </c>
      <c r="C94" t="str">
        <f>VLOOKUP(NFLDataSet!C95,TotalYardDiff2,2,TRUE)</f>
        <v>Medium</v>
      </c>
      <c r="D94" t="str">
        <f>VLOOKUP(NFLDataSet!D95,PassYardsDiff2,2,TRUE)</f>
        <v>Medium</v>
      </c>
      <c r="E94" t="str">
        <f>VLOOKUP(NFLDataSet!E95,RushYards2,2,TRUE)</f>
        <v>High</v>
      </c>
      <c r="F94" t="str">
        <f>VLOOKUP(NFLDataSet!F95,TurnOverDiff2,2,TRUE)</f>
        <v>Medium</v>
      </c>
      <c r="G94" t="str">
        <f>NFLDataSet!G95</f>
        <v>W</v>
      </c>
    </row>
    <row r="95" spans="1:7" x14ac:dyDescent="0.35">
      <c r="A95" t="str">
        <f>NFLDataSet!A96</f>
        <v>H</v>
      </c>
      <c r="B95" t="str">
        <f>VLOOKUP(NFLDataSet!B96,FirstDownDiff2,2,TRUE)</f>
        <v>Medium</v>
      </c>
      <c r="C95" t="str">
        <f>VLOOKUP(NFLDataSet!C96,TotalYardDiff2,2,TRUE)</f>
        <v>Medium</v>
      </c>
      <c r="D95" t="str">
        <f>VLOOKUP(NFLDataSet!D96,PassYardsDiff2,2,TRUE)</f>
        <v>Medium</v>
      </c>
      <c r="E95" t="str">
        <f>VLOOKUP(NFLDataSet!E96,RushYards2,2,TRUE)</f>
        <v>Medium</v>
      </c>
      <c r="F95" t="str">
        <f>VLOOKUP(NFLDataSet!F96,TurnOverDiff2,2,TRUE)</f>
        <v>Medium</v>
      </c>
      <c r="G95" t="str">
        <f>NFLDataSet!G96</f>
        <v>L</v>
      </c>
    </row>
    <row r="96" spans="1:7" x14ac:dyDescent="0.35">
      <c r="A96" t="str">
        <f>NFLDataSet!A97</f>
        <v>H</v>
      </c>
      <c r="B96" t="str">
        <f>VLOOKUP(NFLDataSet!B97,FirstDownDiff2,2,TRUE)</f>
        <v>Low</v>
      </c>
      <c r="C96" t="str">
        <f>VLOOKUP(NFLDataSet!C97,TotalYardDiff2,2,TRUE)</f>
        <v>Medium</v>
      </c>
      <c r="D96" t="str">
        <f>VLOOKUP(NFLDataSet!D97,PassYardsDiff2,2,TRUE)</f>
        <v>Low</v>
      </c>
      <c r="E96" t="str">
        <f>VLOOKUP(NFLDataSet!E97,RushYards2,2,TRUE)</f>
        <v>Medium</v>
      </c>
      <c r="F96" t="str">
        <f>VLOOKUP(NFLDataSet!F97,TurnOverDiff2,2,TRUE)</f>
        <v>Medium</v>
      </c>
      <c r="G96" t="str">
        <f>NFLDataSet!G97</f>
        <v>L</v>
      </c>
    </row>
    <row r="97" spans="1:7" x14ac:dyDescent="0.35">
      <c r="A97" t="str">
        <f>NFLDataSet!A98</f>
        <v>A</v>
      </c>
      <c r="B97" t="str">
        <f>VLOOKUP(NFLDataSet!B98,FirstDownDiff2,2,TRUE)</f>
        <v>High</v>
      </c>
      <c r="C97" t="str">
        <f>VLOOKUP(NFLDataSet!C98,TotalYardDiff2,2,TRUE)</f>
        <v>Medium</v>
      </c>
      <c r="D97" t="str">
        <f>VLOOKUP(NFLDataSet!D98,PassYardsDiff2,2,TRUE)</f>
        <v>Medium</v>
      </c>
      <c r="E97" t="str">
        <f>VLOOKUP(NFLDataSet!E98,RushYards2,2,TRUE)</f>
        <v>Medium</v>
      </c>
      <c r="F97" t="str">
        <f>VLOOKUP(NFLDataSet!F98,TurnOverDiff2,2,TRUE)</f>
        <v>Medium</v>
      </c>
      <c r="G97" t="str">
        <f>NFLDataSet!G98</f>
        <v>W</v>
      </c>
    </row>
    <row r="98" spans="1:7" x14ac:dyDescent="0.35">
      <c r="A98" t="str">
        <f>NFLDataSet!A99</f>
        <v>A</v>
      </c>
      <c r="B98" t="str">
        <f>VLOOKUP(NFLDataSet!B99,FirstDownDiff2,2,TRUE)</f>
        <v>Medium</v>
      </c>
      <c r="C98" t="str">
        <f>VLOOKUP(NFLDataSet!C99,TotalYardDiff2,2,TRUE)</f>
        <v>Medium</v>
      </c>
      <c r="D98" t="str">
        <f>VLOOKUP(NFLDataSet!D99,PassYardsDiff2,2,TRUE)</f>
        <v>Medium</v>
      </c>
      <c r="E98" t="str">
        <f>VLOOKUP(NFLDataSet!E99,RushYards2,2,TRUE)</f>
        <v>Low</v>
      </c>
      <c r="F98" t="str">
        <f>VLOOKUP(NFLDataSet!F99,TurnOverDiff2,2,TRUE)</f>
        <v>Medium</v>
      </c>
      <c r="G98" t="str">
        <f>NFLDataSet!G99</f>
        <v>L</v>
      </c>
    </row>
    <row r="99" spans="1:7" x14ac:dyDescent="0.35">
      <c r="A99" t="str">
        <f>NFLDataSet!A100</f>
        <v>A</v>
      </c>
      <c r="B99" t="str">
        <f>VLOOKUP(NFLDataSet!B100,FirstDownDiff2,2,TRUE)</f>
        <v>Medium</v>
      </c>
      <c r="C99" t="str">
        <f>VLOOKUP(NFLDataSet!C100,TotalYardDiff2,2,TRUE)</f>
        <v>Low</v>
      </c>
      <c r="D99" t="str">
        <f>VLOOKUP(NFLDataSet!D100,PassYardsDiff2,2,TRUE)</f>
        <v>Medium</v>
      </c>
      <c r="E99" t="str">
        <f>VLOOKUP(NFLDataSet!E100,RushYards2,2,TRUE)</f>
        <v>Low</v>
      </c>
      <c r="F99" t="str">
        <f>VLOOKUP(NFLDataSet!F100,TurnOverDiff2,2,TRUE)</f>
        <v>High</v>
      </c>
      <c r="G99" t="str">
        <f>NFLDataSet!G100</f>
        <v>L</v>
      </c>
    </row>
    <row r="100" spans="1:7" x14ac:dyDescent="0.35">
      <c r="A100" t="str">
        <f>NFLDataSet!A101</f>
        <v>H</v>
      </c>
      <c r="B100" t="str">
        <f>VLOOKUP(NFLDataSet!B101,FirstDownDiff2,2,TRUE)</f>
        <v>High</v>
      </c>
      <c r="C100" t="str">
        <f>VLOOKUP(NFLDataSet!C101,TotalYardDiff2,2,TRUE)</f>
        <v>High</v>
      </c>
      <c r="D100" t="str">
        <f>VLOOKUP(NFLDataSet!D101,PassYardsDiff2,2,TRUE)</f>
        <v>Medium</v>
      </c>
      <c r="E100" t="str">
        <f>VLOOKUP(NFLDataSet!E101,RushYards2,2,TRUE)</f>
        <v>High</v>
      </c>
      <c r="F100" t="str">
        <f>VLOOKUP(NFLDataSet!F101,TurnOverDiff2,2,TRUE)</f>
        <v>Medium</v>
      </c>
      <c r="G100" t="str">
        <f>NFLDataSet!G101</f>
        <v>W</v>
      </c>
    </row>
    <row r="101" spans="1:7" x14ac:dyDescent="0.35">
      <c r="A101" t="str">
        <f>NFLDataSet!A102</f>
        <v>H</v>
      </c>
      <c r="B101" t="str">
        <f>VLOOKUP(NFLDataSet!B102,FirstDownDiff2,2,TRUE)</f>
        <v>Low</v>
      </c>
      <c r="C101" t="str">
        <f>VLOOKUP(NFLDataSet!C102,TotalYardDiff2,2,TRUE)</f>
        <v>Low</v>
      </c>
      <c r="D101" t="str">
        <f>VLOOKUP(NFLDataSet!D102,PassYardsDiff2,2,TRUE)</f>
        <v>Low</v>
      </c>
      <c r="E101" t="str">
        <f>VLOOKUP(NFLDataSet!E102,RushYards2,2,TRUE)</f>
        <v>Low</v>
      </c>
      <c r="F101" t="str">
        <f>VLOOKUP(NFLDataSet!F102,TurnOverDiff2,2,TRUE)</f>
        <v>Medium</v>
      </c>
      <c r="G101" t="str">
        <f>NFLDataSet!G102</f>
        <v>L</v>
      </c>
    </row>
    <row r="102" spans="1:7" x14ac:dyDescent="0.35">
      <c r="A102" t="str">
        <f>NFLDataSet!A103</f>
        <v>A</v>
      </c>
      <c r="B102" t="str">
        <f>VLOOKUP(NFLDataSet!B103,FirstDownDiff2,2,TRUE)</f>
        <v>Medium</v>
      </c>
      <c r="C102" t="str">
        <f>VLOOKUP(NFLDataSet!C103,TotalYardDiff2,2,TRUE)</f>
        <v>Low</v>
      </c>
      <c r="D102" t="str">
        <f>VLOOKUP(NFLDataSet!D103,PassYardsDiff2,2,TRUE)</f>
        <v>Low</v>
      </c>
      <c r="E102" t="str">
        <f>VLOOKUP(NFLDataSet!E103,RushYards2,2,TRUE)</f>
        <v>Low</v>
      </c>
      <c r="F102" t="str">
        <f>VLOOKUP(NFLDataSet!F103,TurnOverDiff2,2,TRUE)</f>
        <v>Medium</v>
      </c>
      <c r="G102" t="str">
        <f>NFLDataSet!G103</f>
        <v>L</v>
      </c>
    </row>
    <row r="103" spans="1:7" x14ac:dyDescent="0.35">
      <c r="A103" t="str">
        <f>NFLDataSet!A104</f>
        <v>H</v>
      </c>
      <c r="B103" t="str">
        <f>VLOOKUP(NFLDataSet!B104,FirstDownDiff2,2,TRUE)</f>
        <v>Low</v>
      </c>
      <c r="C103" t="str">
        <f>VLOOKUP(NFLDataSet!C104,TotalYardDiff2,2,TRUE)</f>
        <v>Medium</v>
      </c>
      <c r="D103" t="str">
        <f>VLOOKUP(NFLDataSet!D104,PassYardsDiff2,2,TRUE)</f>
        <v>Medium</v>
      </c>
      <c r="E103" t="str">
        <f>VLOOKUP(NFLDataSet!E104,RushYards2,2,TRUE)</f>
        <v>Medium</v>
      </c>
      <c r="F103" t="str">
        <f>VLOOKUP(NFLDataSet!F104,TurnOverDiff2,2,TRUE)</f>
        <v>Medium</v>
      </c>
      <c r="G103" t="str">
        <f>NFLDataSet!G104</f>
        <v>L</v>
      </c>
    </row>
    <row r="104" spans="1:7" x14ac:dyDescent="0.35">
      <c r="A104" t="str">
        <f>NFLDataSet!A105</f>
        <v>H</v>
      </c>
      <c r="B104" t="str">
        <f>VLOOKUP(NFLDataSet!B105,FirstDownDiff2,2,TRUE)</f>
        <v>High</v>
      </c>
      <c r="C104" t="str">
        <f>VLOOKUP(NFLDataSet!C105,TotalYardDiff2,2,TRUE)</f>
        <v>High</v>
      </c>
      <c r="D104" t="str">
        <f>VLOOKUP(NFLDataSet!D105,PassYardsDiff2,2,TRUE)</f>
        <v>Medium</v>
      </c>
      <c r="E104" t="str">
        <f>VLOOKUP(NFLDataSet!E105,RushYards2,2,TRUE)</f>
        <v>High</v>
      </c>
      <c r="F104" t="str">
        <f>VLOOKUP(NFLDataSet!F105,TurnOverDiff2,2,TRUE)</f>
        <v>Medium</v>
      </c>
      <c r="G104" t="str">
        <f>NFLDataSet!G105</f>
        <v>W</v>
      </c>
    </row>
    <row r="105" spans="1:7" x14ac:dyDescent="0.35">
      <c r="A105" t="str">
        <f>NFLDataSet!A106</f>
        <v>H</v>
      </c>
      <c r="B105" t="str">
        <f>VLOOKUP(NFLDataSet!B106,FirstDownDiff2,2,TRUE)</f>
        <v>Medium</v>
      </c>
      <c r="C105" t="str">
        <f>VLOOKUP(NFLDataSet!C106,TotalYardDiff2,2,TRUE)</f>
        <v>High</v>
      </c>
      <c r="D105" t="str">
        <f>VLOOKUP(NFLDataSet!D106,PassYardsDiff2,2,TRUE)</f>
        <v>Medium</v>
      </c>
      <c r="E105" t="str">
        <f>VLOOKUP(NFLDataSet!E106,RushYards2,2,TRUE)</f>
        <v>High</v>
      </c>
      <c r="F105" t="str">
        <f>VLOOKUP(NFLDataSet!F106,TurnOverDiff2,2,TRUE)</f>
        <v>Medium</v>
      </c>
      <c r="G105" t="str">
        <f>NFLDataSet!G106</f>
        <v>W</v>
      </c>
    </row>
    <row r="106" spans="1:7" x14ac:dyDescent="0.35">
      <c r="A106" t="str">
        <f>NFLDataSet!A107</f>
        <v>H</v>
      </c>
      <c r="B106" t="str">
        <f>VLOOKUP(NFLDataSet!B107,FirstDownDiff2,2,TRUE)</f>
        <v>Medium</v>
      </c>
      <c r="C106" t="str">
        <f>VLOOKUP(NFLDataSet!C107,TotalYardDiff2,2,TRUE)</f>
        <v>Medium</v>
      </c>
      <c r="D106" t="str">
        <f>VLOOKUP(NFLDataSet!D107,PassYardsDiff2,2,TRUE)</f>
        <v>Medium</v>
      </c>
      <c r="E106" t="str">
        <f>VLOOKUP(NFLDataSet!E107,RushYards2,2,TRUE)</f>
        <v>Medium</v>
      </c>
      <c r="F106" t="str">
        <f>VLOOKUP(NFLDataSet!F107,TurnOverDiff2,2,TRUE)</f>
        <v>Medium</v>
      </c>
      <c r="G106" t="str">
        <f>NFLDataSet!G107</f>
        <v>L</v>
      </c>
    </row>
    <row r="107" spans="1:7" x14ac:dyDescent="0.35">
      <c r="A107" t="str">
        <f>NFLDataSet!A108</f>
        <v>H</v>
      </c>
      <c r="B107" t="str">
        <f>VLOOKUP(NFLDataSet!B108,FirstDownDiff2,2,TRUE)</f>
        <v>Medium</v>
      </c>
      <c r="C107" t="str">
        <f>VLOOKUP(NFLDataSet!C108,TotalYardDiff2,2,TRUE)</f>
        <v>Medium</v>
      </c>
      <c r="D107" t="str">
        <f>VLOOKUP(NFLDataSet!D108,PassYardsDiff2,2,TRUE)</f>
        <v>Medium</v>
      </c>
      <c r="E107" t="str">
        <f>VLOOKUP(NFLDataSet!E108,RushYards2,2,TRUE)</f>
        <v>Medium</v>
      </c>
      <c r="F107" t="str">
        <f>VLOOKUP(NFLDataSet!F108,TurnOverDiff2,2,TRUE)</f>
        <v>High</v>
      </c>
      <c r="G107" t="str">
        <f>NFLDataSet!G108</f>
        <v>L</v>
      </c>
    </row>
    <row r="108" spans="1:7" x14ac:dyDescent="0.35">
      <c r="A108" t="str">
        <f>NFLDataSet!A109</f>
        <v>A</v>
      </c>
      <c r="B108" t="str">
        <f>VLOOKUP(NFLDataSet!B109,FirstDownDiff2,2,TRUE)</f>
        <v>Medium</v>
      </c>
      <c r="C108" t="str">
        <f>VLOOKUP(NFLDataSet!C109,TotalYardDiff2,2,TRUE)</f>
        <v>Medium</v>
      </c>
      <c r="D108" t="str">
        <f>VLOOKUP(NFLDataSet!D109,PassYardsDiff2,2,TRUE)</f>
        <v>High</v>
      </c>
      <c r="E108" t="str">
        <f>VLOOKUP(NFLDataSet!E109,RushYards2,2,TRUE)</f>
        <v>Medium</v>
      </c>
      <c r="F108" t="str">
        <f>VLOOKUP(NFLDataSet!F109,TurnOverDiff2,2,TRUE)</f>
        <v>Medium</v>
      </c>
      <c r="G108" t="str">
        <f>NFLDataSet!G109</f>
        <v>W</v>
      </c>
    </row>
    <row r="109" spans="1:7" x14ac:dyDescent="0.35">
      <c r="A109" t="str">
        <f>NFLDataSet!A110</f>
        <v>A</v>
      </c>
      <c r="B109" t="str">
        <f>VLOOKUP(NFLDataSet!B110,FirstDownDiff2,2,TRUE)</f>
        <v>Low</v>
      </c>
      <c r="C109" t="str">
        <f>VLOOKUP(NFLDataSet!C110,TotalYardDiff2,2,TRUE)</f>
        <v>Low</v>
      </c>
      <c r="D109" t="str">
        <f>VLOOKUP(NFLDataSet!D110,PassYardsDiff2,2,TRUE)</f>
        <v>Low</v>
      </c>
      <c r="E109" t="str">
        <f>VLOOKUP(NFLDataSet!E110,RushYards2,2,TRUE)</f>
        <v>Medium</v>
      </c>
      <c r="F109" t="str">
        <f>VLOOKUP(NFLDataSet!F110,TurnOverDiff2,2,TRUE)</f>
        <v>Low</v>
      </c>
      <c r="G109" t="str">
        <f>NFLDataSet!G110</f>
        <v>W</v>
      </c>
    </row>
    <row r="110" spans="1:7" x14ac:dyDescent="0.35">
      <c r="A110" t="str">
        <f>NFLDataSet!A111</f>
        <v>H</v>
      </c>
      <c r="B110" t="str">
        <f>VLOOKUP(NFLDataSet!B111,FirstDownDiff2,2,TRUE)</f>
        <v>Medium</v>
      </c>
      <c r="C110" t="str">
        <f>VLOOKUP(NFLDataSet!C111,TotalYardDiff2,2,TRUE)</f>
        <v>Medium</v>
      </c>
      <c r="D110" t="str">
        <f>VLOOKUP(NFLDataSet!D111,PassYardsDiff2,2,TRUE)</f>
        <v>Medium</v>
      </c>
      <c r="E110" t="str">
        <f>VLOOKUP(NFLDataSet!E111,RushYards2,2,TRUE)</f>
        <v>Medium</v>
      </c>
      <c r="F110" t="str">
        <f>VLOOKUP(NFLDataSet!F111,TurnOverDiff2,2,TRUE)</f>
        <v>Medium</v>
      </c>
      <c r="G110" t="str">
        <f>NFLDataSet!G111</f>
        <v>W</v>
      </c>
    </row>
    <row r="111" spans="1:7" x14ac:dyDescent="0.35">
      <c r="A111" t="str">
        <f>NFLDataSet!A112</f>
        <v>A</v>
      </c>
      <c r="B111" t="str">
        <f>VLOOKUP(NFLDataSet!B112,FirstDownDiff2,2,TRUE)</f>
        <v>Low</v>
      </c>
      <c r="C111" t="str">
        <f>VLOOKUP(NFLDataSet!C112,TotalYardDiff2,2,TRUE)</f>
        <v>Medium</v>
      </c>
      <c r="D111" t="str">
        <f>VLOOKUP(NFLDataSet!D112,PassYardsDiff2,2,TRUE)</f>
        <v>Low</v>
      </c>
      <c r="E111" t="str">
        <f>VLOOKUP(NFLDataSet!E112,RushYards2,2,TRUE)</f>
        <v>Medium</v>
      </c>
      <c r="F111" t="str">
        <f>VLOOKUP(NFLDataSet!F112,TurnOverDiff2,2,TRUE)</f>
        <v>Medium</v>
      </c>
      <c r="G111" t="str">
        <f>NFLDataSet!G112</f>
        <v>W</v>
      </c>
    </row>
    <row r="112" spans="1:7" x14ac:dyDescent="0.35">
      <c r="A112" t="str">
        <f>NFLDataSet!A113</f>
        <v>H</v>
      </c>
      <c r="B112" t="str">
        <f>VLOOKUP(NFLDataSet!B113,FirstDownDiff2,2,TRUE)</f>
        <v>Low</v>
      </c>
      <c r="C112" t="str">
        <f>VLOOKUP(NFLDataSet!C113,TotalYardDiff2,2,TRUE)</f>
        <v>Medium</v>
      </c>
      <c r="D112" t="str">
        <f>VLOOKUP(NFLDataSet!D113,PassYardsDiff2,2,TRUE)</f>
        <v>Low</v>
      </c>
      <c r="E112" t="str">
        <f>VLOOKUP(NFLDataSet!E113,RushYards2,2,TRUE)</f>
        <v>Medium</v>
      </c>
      <c r="F112" t="str">
        <f>VLOOKUP(NFLDataSet!F113,TurnOverDiff2,2,TRUE)</f>
        <v>Medium</v>
      </c>
      <c r="G112" t="str">
        <f>NFLDataSet!G113</f>
        <v>W</v>
      </c>
    </row>
    <row r="113" spans="1:7" x14ac:dyDescent="0.35">
      <c r="A113" t="str">
        <f>NFLDataSet!A114</f>
        <v>A</v>
      </c>
      <c r="B113" t="str">
        <f>VLOOKUP(NFLDataSet!B114,FirstDownDiff2,2,TRUE)</f>
        <v>Low</v>
      </c>
      <c r="C113" t="str">
        <f>VLOOKUP(NFLDataSet!C114,TotalYardDiff2,2,TRUE)</f>
        <v>Low</v>
      </c>
      <c r="D113" t="str">
        <f>VLOOKUP(NFLDataSet!D114,PassYardsDiff2,2,TRUE)</f>
        <v>Low</v>
      </c>
      <c r="E113" t="str">
        <f>VLOOKUP(NFLDataSet!E114,RushYards2,2,TRUE)</f>
        <v>Low</v>
      </c>
      <c r="F113" t="str">
        <f>VLOOKUP(NFLDataSet!F114,TurnOverDiff2,2,TRUE)</f>
        <v>Medium</v>
      </c>
      <c r="G113" t="str">
        <f>NFLDataSet!G114</f>
        <v>L</v>
      </c>
    </row>
    <row r="114" spans="1:7" x14ac:dyDescent="0.35">
      <c r="A114" t="str">
        <f>NFLDataSet!A115</f>
        <v>H</v>
      </c>
      <c r="B114" t="str">
        <f>VLOOKUP(NFLDataSet!B115,FirstDownDiff2,2,TRUE)</f>
        <v>Medium</v>
      </c>
      <c r="C114" t="str">
        <f>VLOOKUP(NFLDataSet!C115,TotalYardDiff2,2,TRUE)</f>
        <v>Medium</v>
      </c>
      <c r="D114" t="str">
        <f>VLOOKUP(NFLDataSet!D115,PassYardsDiff2,2,TRUE)</f>
        <v>Medium</v>
      </c>
      <c r="E114" t="str">
        <f>VLOOKUP(NFLDataSet!E115,RushYards2,2,TRUE)</f>
        <v>Medium</v>
      </c>
      <c r="F114" t="str">
        <f>VLOOKUP(NFLDataSet!F115,TurnOverDiff2,2,TRUE)</f>
        <v>Medium</v>
      </c>
      <c r="G114" t="str">
        <f>NFLDataSet!G115</f>
        <v>L</v>
      </c>
    </row>
    <row r="115" spans="1:7" x14ac:dyDescent="0.35">
      <c r="A115" t="str">
        <f>NFLDataSet!A116</f>
        <v>A</v>
      </c>
      <c r="B115" t="str">
        <f>VLOOKUP(NFLDataSet!B116,FirstDownDiff2,2,TRUE)</f>
        <v>Medium</v>
      </c>
      <c r="C115" t="str">
        <f>VLOOKUP(NFLDataSet!C116,TotalYardDiff2,2,TRUE)</f>
        <v>Medium</v>
      </c>
      <c r="D115" t="str">
        <f>VLOOKUP(NFLDataSet!D116,PassYardsDiff2,2,TRUE)</f>
        <v>Medium</v>
      </c>
      <c r="E115" t="str">
        <f>VLOOKUP(NFLDataSet!E116,RushYards2,2,TRUE)</f>
        <v>Medium</v>
      </c>
      <c r="F115" t="str">
        <f>VLOOKUP(NFLDataSet!F116,TurnOverDiff2,2,TRUE)</f>
        <v>Medium</v>
      </c>
      <c r="G115" t="str">
        <f>NFLDataSet!G116</f>
        <v>W</v>
      </c>
    </row>
    <row r="116" spans="1:7" x14ac:dyDescent="0.35">
      <c r="A116" t="str">
        <f>NFLDataSet!A117</f>
        <v>H</v>
      </c>
      <c r="B116" t="str">
        <f>VLOOKUP(NFLDataSet!B117,FirstDownDiff2,2,TRUE)</f>
        <v>Medium</v>
      </c>
      <c r="C116" t="str">
        <f>VLOOKUP(NFLDataSet!C117,TotalYardDiff2,2,TRUE)</f>
        <v>Medium</v>
      </c>
      <c r="D116" t="str">
        <f>VLOOKUP(NFLDataSet!D117,PassYardsDiff2,2,TRUE)</f>
        <v>Medium</v>
      </c>
      <c r="E116" t="str">
        <f>VLOOKUP(NFLDataSet!E117,RushYards2,2,TRUE)</f>
        <v>Medium</v>
      </c>
      <c r="F116" t="str">
        <f>VLOOKUP(NFLDataSet!F117,TurnOverDiff2,2,TRUE)</f>
        <v>Medium</v>
      </c>
      <c r="G116" t="str">
        <f>NFLDataSet!G117</f>
        <v>W</v>
      </c>
    </row>
    <row r="117" spans="1:7" x14ac:dyDescent="0.35">
      <c r="A117" t="str">
        <f>NFLDataSet!A118</f>
        <v>H</v>
      </c>
      <c r="B117" t="str">
        <f>VLOOKUP(NFLDataSet!B118,FirstDownDiff2,2,TRUE)</f>
        <v>Medium</v>
      </c>
      <c r="C117" t="str">
        <f>VLOOKUP(NFLDataSet!C118,TotalYardDiff2,2,TRUE)</f>
        <v>Medium</v>
      </c>
      <c r="D117" t="str">
        <f>VLOOKUP(NFLDataSet!D118,PassYardsDiff2,2,TRUE)</f>
        <v>Medium</v>
      </c>
      <c r="E117" t="str">
        <f>VLOOKUP(NFLDataSet!E118,RushYards2,2,TRUE)</f>
        <v>Low</v>
      </c>
      <c r="F117" t="str">
        <f>VLOOKUP(NFLDataSet!F118,TurnOverDiff2,2,TRUE)</f>
        <v>Medium</v>
      </c>
      <c r="G117" t="str">
        <f>NFLDataSet!G118</f>
        <v>L</v>
      </c>
    </row>
    <row r="118" spans="1:7" x14ac:dyDescent="0.35">
      <c r="A118" t="str">
        <f>NFLDataSet!A119</f>
        <v>H</v>
      </c>
      <c r="B118" t="str">
        <f>VLOOKUP(NFLDataSet!B119,FirstDownDiff2,2,TRUE)</f>
        <v>Medium</v>
      </c>
      <c r="C118" t="str">
        <f>VLOOKUP(NFLDataSet!C119,TotalYardDiff2,2,TRUE)</f>
        <v>High</v>
      </c>
      <c r="D118" t="str">
        <f>VLOOKUP(NFLDataSet!D119,PassYardsDiff2,2,TRUE)</f>
        <v>Medium</v>
      </c>
      <c r="E118" t="str">
        <f>VLOOKUP(NFLDataSet!E119,RushYards2,2,TRUE)</f>
        <v>Medium</v>
      </c>
      <c r="F118" t="str">
        <f>VLOOKUP(NFLDataSet!F119,TurnOverDiff2,2,TRUE)</f>
        <v>Medium</v>
      </c>
      <c r="G118" t="str">
        <f>NFLDataSet!G119</f>
        <v>W</v>
      </c>
    </row>
    <row r="119" spans="1:7" x14ac:dyDescent="0.35">
      <c r="A119" t="str">
        <f>NFLDataSet!A120</f>
        <v>H</v>
      </c>
      <c r="B119" t="str">
        <f>VLOOKUP(NFLDataSet!B120,FirstDownDiff2,2,TRUE)</f>
        <v>High</v>
      </c>
      <c r="C119" t="str">
        <f>VLOOKUP(NFLDataSet!C120,TotalYardDiff2,2,TRUE)</f>
        <v>High</v>
      </c>
      <c r="D119" t="str">
        <f>VLOOKUP(NFLDataSet!D120,PassYardsDiff2,2,TRUE)</f>
        <v>High</v>
      </c>
      <c r="E119" t="str">
        <f>VLOOKUP(NFLDataSet!E120,RushYards2,2,TRUE)</f>
        <v>High</v>
      </c>
      <c r="F119" t="str">
        <f>VLOOKUP(NFLDataSet!F120,TurnOverDiff2,2,TRUE)</f>
        <v>Medium</v>
      </c>
      <c r="G119" t="str">
        <f>NFLDataSet!G120</f>
        <v>W</v>
      </c>
    </row>
    <row r="120" spans="1:7" x14ac:dyDescent="0.35">
      <c r="A120" t="str">
        <f>NFLDataSet!A121</f>
        <v>H</v>
      </c>
      <c r="B120" t="str">
        <f>VLOOKUP(NFLDataSet!B121,FirstDownDiff2,2,TRUE)</f>
        <v>Medium</v>
      </c>
      <c r="C120" t="str">
        <f>VLOOKUP(NFLDataSet!C121,TotalYardDiff2,2,TRUE)</f>
        <v>High</v>
      </c>
      <c r="D120" t="str">
        <f>VLOOKUP(NFLDataSet!D121,PassYardsDiff2,2,TRUE)</f>
        <v>Medium</v>
      </c>
      <c r="E120" t="str">
        <f>VLOOKUP(NFLDataSet!E121,RushYards2,2,TRUE)</f>
        <v>High</v>
      </c>
      <c r="F120" t="str">
        <f>VLOOKUP(NFLDataSet!F121,TurnOverDiff2,2,TRUE)</f>
        <v>Medium</v>
      </c>
      <c r="G120" t="str">
        <f>NFLDataSet!G121</f>
        <v>W</v>
      </c>
    </row>
    <row r="121" spans="1:7" x14ac:dyDescent="0.35">
      <c r="A121" t="str">
        <f>NFLDataSet!A122</f>
        <v>H</v>
      </c>
      <c r="B121" t="str">
        <f>VLOOKUP(NFLDataSet!B122,FirstDownDiff2,2,TRUE)</f>
        <v>High</v>
      </c>
      <c r="C121" t="str">
        <f>VLOOKUP(NFLDataSet!C122,TotalYardDiff2,2,TRUE)</f>
        <v>Medium</v>
      </c>
      <c r="D121" t="str">
        <f>VLOOKUP(NFLDataSet!D122,PassYardsDiff2,2,TRUE)</f>
        <v>Low</v>
      </c>
      <c r="E121" t="str">
        <f>VLOOKUP(NFLDataSet!E122,RushYards2,2,TRUE)</f>
        <v>High</v>
      </c>
      <c r="F121" t="str">
        <f>VLOOKUP(NFLDataSet!F122,TurnOverDiff2,2,TRUE)</f>
        <v>Medium</v>
      </c>
      <c r="G121" t="str">
        <f>NFLDataSet!G122</f>
        <v>W</v>
      </c>
    </row>
    <row r="122" spans="1:7" x14ac:dyDescent="0.35">
      <c r="A122" t="str">
        <f>NFLDataSet!A123</f>
        <v>H</v>
      </c>
      <c r="B122" t="str">
        <f>VLOOKUP(NFLDataSet!B123,FirstDownDiff2,2,TRUE)</f>
        <v>Low</v>
      </c>
      <c r="C122" t="str">
        <f>VLOOKUP(NFLDataSet!C123,TotalYardDiff2,2,TRUE)</f>
        <v>Low</v>
      </c>
      <c r="D122" t="str">
        <f>VLOOKUP(NFLDataSet!D123,PassYardsDiff2,2,TRUE)</f>
        <v>Low</v>
      </c>
      <c r="E122" t="str">
        <f>VLOOKUP(NFLDataSet!E123,RushYards2,2,TRUE)</f>
        <v>Low</v>
      </c>
      <c r="F122" t="str">
        <f>VLOOKUP(NFLDataSet!F123,TurnOverDiff2,2,TRUE)</f>
        <v>Medium</v>
      </c>
      <c r="G122" t="str">
        <f>NFLDataSet!G123</f>
        <v>L</v>
      </c>
    </row>
    <row r="123" spans="1:7" x14ac:dyDescent="0.35">
      <c r="A123" t="str">
        <f>NFLDataSet!A124</f>
        <v>H</v>
      </c>
      <c r="B123" t="str">
        <f>VLOOKUP(NFLDataSet!B124,FirstDownDiff2,2,TRUE)</f>
        <v>High</v>
      </c>
      <c r="C123" t="str">
        <f>VLOOKUP(NFLDataSet!C124,TotalYardDiff2,2,TRUE)</f>
        <v>Medium</v>
      </c>
      <c r="D123" t="str">
        <f>VLOOKUP(NFLDataSet!D124,PassYardsDiff2,2,TRUE)</f>
        <v>Medium</v>
      </c>
      <c r="E123" t="str">
        <f>VLOOKUP(NFLDataSet!E124,RushYards2,2,TRUE)</f>
        <v>Medium</v>
      </c>
      <c r="F123" t="str">
        <f>VLOOKUP(NFLDataSet!F124,TurnOverDiff2,2,TRUE)</f>
        <v>Medium</v>
      </c>
      <c r="G123" t="str">
        <f>NFLDataSet!G124</f>
        <v>W</v>
      </c>
    </row>
    <row r="124" spans="1:7" x14ac:dyDescent="0.35">
      <c r="A124" t="str">
        <f>NFLDataSet!A125</f>
        <v>A</v>
      </c>
      <c r="B124" t="str">
        <f>VLOOKUP(NFLDataSet!B125,FirstDownDiff2,2,TRUE)</f>
        <v>Medium</v>
      </c>
      <c r="C124" t="str">
        <f>VLOOKUP(NFLDataSet!C125,TotalYardDiff2,2,TRUE)</f>
        <v>Medium</v>
      </c>
      <c r="D124" t="str">
        <f>VLOOKUP(NFLDataSet!D125,PassYardsDiff2,2,TRUE)</f>
        <v>Medium</v>
      </c>
      <c r="E124" t="str">
        <f>VLOOKUP(NFLDataSet!E125,RushYards2,2,TRUE)</f>
        <v>Medium</v>
      </c>
      <c r="F124" t="str">
        <f>VLOOKUP(NFLDataSet!F125,TurnOverDiff2,2,TRUE)</f>
        <v>Medium</v>
      </c>
      <c r="G124" t="str">
        <f>NFLDataSet!G125</f>
        <v>L</v>
      </c>
    </row>
    <row r="125" spans="1:7" x14ac:dyDescent="0.35">
      <c r="A125" t="str">
        <f>NFLDataSet!A126</f>
        <v>H</v>
      </c>
      <c r="B125" t="str">
        <f>VLOOKUP(NFLDataSet!B126,FirstDownDiff2,2,TRUE)</f>
        <v>Low</v>
      </c>
      <c r="C125" t="str">
        <f>VLOOKUP(NFLDataSet!C126,TotalYardDiff2,2,TRUE)</f>
        <v>Medium</v>
      </c>
      <c r="D125" t="str">
        <f>VLOOKUP(NFLDataSet!D126,PassYardsDiff2,2,TRUE)</f>
        <v>High</v>
      </c>
      <c r="E125" t="str">
        <f>VLOOKUP(NFLDataSet!E126,RushYards2,2,TRUE)</f>
        <v>Low</v>
      </c>
      <c r="F125" t="str">
        <f>VLOOKUP(NFLDataSet!F126,TurnOverDiff2,2,TRUE)</f>
        <v>Medium</v>
      </c>
      <c r="G125" t="str">
        <f>NFLDataSet!G126</f>
        <v>L</v>
      </c>
    </row>
    <row r="126" spans="1:7" x14ac:dyDescent="0.35">
      <c r="A126" t="str">
        <f>NFLDataSet!A127</f>
        <v>A</v>
      </c>
      <c r="B126" t="str">
        <f>VLOOKUP(NFLDataSet!B127,FirstDownDiff2,2,TRUE)</f>
        <v>Low</v>
      </c>
      <c r="C126" t="str">
        <f>VLOOKUP(NFLDataSet!C127,TotalYardDiff2,2,TRUE)</f>
        <v>Medium</v>
      </c>
      <c r="D126" t="str">
        <f>VLOOKUP(NFLDataSet!D127,PassYardsDiff2,2,TRUE)</f>
        <v>Medium</v>
      </c>
      <c r="E126" t="str">
        <f>VLOOKUP(NFLDataSet!E127,RushYards2,2,TRUE)</f>
        <v>Low</v>
      </c>
      <c r="F126" t="str">
        <f>VLOOKUP(NFLDataSet!F127,TurnOverDiff2,2,TRUE)</f>
        <v>Medium</v>
      </c>
      <c r="G126" t="str">
        <f>NFLDataSet!G127</f>
        <v>L</v>
      </c>
    </row>
    <row r="127" spans="1:7" x14ac:dyDescent="0.35">
      <c r="A127" t="str">
        <f>NFLDataSet!A128</f>
        <v>A</v>
      </c>
      <c r="B127" t="str">
        <f>VLOOKUP(NFLDataSet!B128,FirstDownDiff2,2,TRUE)</f>
        <v>Low</v>
      </c>
      <c r="C127" t="str">
        <f>VLOOKUP(NFLDataSet!C128,TotalYardDiff2,2,TRUE)</f>
        <v>Low</v>
      </c>
      <c r="D127" t="str">
        <f>VLOOKUP(NFLDataSet!D128,PassYardsDiff2,2,TRUE)</f>
        <v>Medium</v>
      </c>
      <c r="E127" t="str">
        <f>VLOOKUP(NFLDataSet!E128,RushYards2,2,TRUE)</f>
        <v>Low</v>
      </c>
      <c r="F127" t="str">
        <f>VLOOKUP(NFLDataSet!F128,TurnOverDiff2,2,TRUE)</f>
        <v>Medium</v>
      </c>
      <c r="G127" t="str">
        <f>NFLDataSet!G128</f>
        <v>L</v>
      </c>
    </row>
    <row r="128" spans="1:7" x14ac:dyDescent="0.35">
      <c r="A128" t="str">
        <f>NFLDataSet!A129</f>
        <v>H</v>
      </c>
      <c r="B128" t="str">
        <f>VLOOKUP(NFLDataSet!B129,FirstDownDiff2,2,TRUE)</f>
        <v>Medium</v>
      </c>
      <c r="C128" t="str">
        <f>VLOOKUP(NFLDataSet!C129,TotalYardDiff2,2,TRUE)</f>
        <v>Medium</v>
      </c>
      <c r="D128" t="str">
        <f>VLOOKUP(NFLDataSet!D129,PassYardsDiff2,2,TRUE)</f>
        <v>Low</v>
      </c>
      <c r="E128" t="str">
        <f>VLOOKUP(NFLDataSet!E129,RushYards2,2,TRUE)</f>
        <v>Medium</v>
      </c>
      <c r="F128" t="str">
        <f>VLOOKUP(NFLDataSet!F129,TurnOverDiff2,2,TRUE)</f>
        <v>Medium</v>
      </c>
      <c r="G128" t="str">
        <f>NFLDataSet!G129</f>
        <v>W</v>
      </c>
    </row>
    <row r="129" spans="1:7" x14ac:dyDescent="0.35">
      <c r="A129" t="str">
        <f>NFLDataSet!A130</f>
        <v>A</v>
      </c>
      <c r="B129" t="str">
        <f>VLOOKUP(NFLDataSet!B130,FirstDownDiff2,2,TRUE)</f>
        <v>Low</v>
      </c>
      <c r="C129" t="str">
        <f>VLOOKUP(NFLDataSet!C130,TotalYardDiff2,2,TRUE)</f>
        <v>Low</v>
      </c>
      <c r="D129" t="str">
        <f>VLOOKUP(NFLDataSet!D130,PassYardsDiff2,2,TRUE)</f>
        <v>Low</v>
      </c>
      <c r="E129" t="str">
        <f>VLOOKUP(NFLDataSet!E130,RushYards2,2,TRUE)</f>
        <v>High</v>
      </c>
      <c r="F129" t="str">
        <f>VLOOKUP(NFLDataSet!F130,TurnOverDiff2,2,TRUE)</f>
        <v>Medium</v>
      </c>
      <c r="G129" t="str">
        <f>NFLDataSet!G130</f>
        <v>W</v>
      </c>
    </row>
    <row r="130" spans="1:7" x14ac:dyDescent="0.35">
      <c r="A130" t="str">
        <f>NFLDataSet!A131</f>
        <v>H</v>
      </c>
      <c r="B130" t="str">
        <f>VLOOKUP(NFLDataSet!B131,FirstDownDiff2,2,TRUE)</f>
        <v>Medium</v>
      </c>
      <c r="C130" t="str">
        <f>VLOOKUP(NFLDataSet!C131,TotalYardDiff2,2,TRUE)</f>
        <v>High</v>
      </c>
      <c r="D130" t="str">
        <f>VLOOKUP(NFLDataSet!D131,PassYardsDiff2,2,TRUE)</f>
        <v>High</v>
      </c>
      <c r="E130" t="str">
        <f>VLOOKUP(NFLDataSet!E131,RushYards2,2,TRUE)</f>
        <v>Medium</v>
      </c>
      <c r="F130" t="str">
        <f>VLOOKUP(NFLDataSet!F131,TurnOverDiff2,2,TRUE)</f>
        <v>Medium</v>
      </c>
      <c r="G130" t="str">
        <f>NFLDataSet!G131</f>
        <v>W</v>
      </c>
    </row>
    <row r="131" spans="1:7" x14ac:dyDescent="0.35">
      <c r="A131" t="str">
        <f>NFLDataSet!A132</f>
        <v>A</v>
      </c>
      <c r="B131" t="str">
        <f>VLOOKUP(NFLDataSet!B132,FirstDownDiff2,2,TRUE)</f>
        <v>High</v>
      </c>
      <c r="C131" t="str">
        <f>VLOOKUP(NFLDataSet!C132,TotalYardDiff2,2,TRUE)</f>
        <v>High</v>
      </c>
      <c r="D131" t="str">
        <f>VLOOKUP(NFLDataSet!D132,PassYardsDiff2,2,TRUE)</f>
        <v>Medium</v>
      </c>
      <c r="E131" t="str">
        <f>VLOOKUP(NFLDataSet!E132,RushYards2,2,TRUE)</f>
        <v>High</v>
      </c>
      <c r="F131" t="str">
        <f>VLOOKUP(NFLDataSet!F132,TurnOverDiff2,2,TRUE)</f>
        <v>Medium</v>
      </c>
      <c r="G131" t="str">
        <f>NFLDataSet!G132</f>
        <v>W</v>
      </c>
    </row>
    <row r="132" spans="1:7" x14ac:dyDescent="0.35">
      <c r="A132" t="str">
        <f>NFLDataSet!A133</f>
        <v>H</v>
      </c>
      <c r="B132" t="str">
        <f>VLOOKUP(NFLDataSet!B133,FirstDownDiff2,2,TRUE)</f>
        <v>Low</v>
      </c>
      <c r="C132" t="str">
        <f>VLOOKUP(NFLDataSet!C133,TotalYardDiff2,2,TRUE)</f>
        <v>Medium</v>
      </c>
      <c r="D132" t="str">
        <f>VLOOKUP(NFLDataSet!D133,PassYardsDiff2,2,TRUE)</f>
        <v>Medium</v>
      </c>
      <c r="E132" t="str">
        <f>VLOOKUP(NFLDataSet!E133,RushYards2,2,TRUE)</f>
        <v>Low</v>
      </c>
      <c r="F132" t="str">
        <f>VLOOKUP(NFLDataSet!F133,TurnOverDiff2,2,TRUE)</f>
        <v>Medium</v>
      </c>
      <c r="G132" t="str">
        <f>NFLDataSet!G133</f>
        <v>W</v>
      </c>
    </row>
    <row r="133" spans="1:7" x14ac:dyDescent="0.35">
      <c r="A133" t="str">
        <f>NFLDataSet!A134</f>
        <v>A</v>
      </c>
      <c r="B133" t="str">
        <f>VLOOKUP(NFLDataSet!B134,FirstDownDiff2,2,TRUE)</f>
        <v>Medium</v>
      </c>
      <c r="C133" t="str">
        <f>VLOOKUP(NFLDataSet!C134,TotalYardDiff2,2,TRUE)</f>
        <v>Medium</v>
      </c>
      <c r="D133" t="str">
        <f>VLOOKUP(NFLDataSet!D134,PassYardsDiff2,2,TRUE)</f>
        <v>Medium</v>
      </c>
      <c r="E133" t="str">
        <f>VLOOKUP(NFLDataSet!E134,RushYards2,2,TRUE)</f>
        <v>Medium</v>
      </c>
      <c r="F133" t="str">
        <f>VLOOKUP(NFLDataSet!F134,TurnOverDiff2,2,TRUE)</f>
        <v>Medium</v>
      </c>
      <c r="G133" t="str">
        <f>NFLDataSet!G134</f>
        <v>W</v>
      </c>
    </row>
    <row r="134" spans="1:7" x14ac:dyDescent="0.35">
      <c r="A134" t="str">
        <f>NFLDataSet!A135</f>
        <v>H</v>
      </c>
      <c r="B134" t="str">
        <f>VLOOKUP(NFLDataSet!B135,FirstDownDiff2,2,TRUE)</f>
        <v>High</v>
      </c>
      <c r="C134" t="str">
        <f>VLOOKUP(NFLDataSet!C135,TotalYardDiff2,2,TRUE)</f>
        <v>High</v>
      </c>
      <c r="D134" t="str">
        <f>VLOOKUP(NFLDataSet!D135,PassYardsDiff2,2,TRUE)</f>
        <v>High</v>
      </c>
      <c r="E134" t="str">
        <f>VLOOKUP(NFLDataSet!E135,RushYards2,2,TRUE)</f>
        <v>High</v>
      </c>
      <c r="F134" t="str">
        <f>VLOOKUP(NFLDataSet!F135,TurnOverDiff2,2,TRUE)</f>
        <v>Medium</v>
      </c>
      <c r="G134" t="str">
        <f>NFLDataSet!G135</f>
        <v>W</v>
      </c>
    </row>
    <row r="135" spans="1:7" x14ac:dyDescent="0.35">
      <c r="A135" t="str">
        <f>NFLDataSet!A136</f>
        <v>H</v>
      </c>
      <c r="B135" t="str">
        <f>VLOOKUP(NFLDataSet!B136,FirstDownDiff2,2,TRUE)</f>
        <v>Medium</v>
      </c>
      <c r="C135" t="str">
        <f>VLOOKUP(NFLDataSet!C136,TotalYardDiff2,2,TRUE)</f>
        <v>Medium</v>
      </c>
      <c r="D135" t="str">
        <f>VLOOKUP(NFLDataSet!D136,PassYardsDiff2,2,TRUE)</f>
        <v>Medium</v>
      </c>
      <c r="E135" t="str">
        <f>VLOOKUP(NFLDataSet!E136,RushYards2,2,TRUE)</f>
        <v>Medium</v>
      </c>
      <c r="F135" t="str">
        <f>VLOOKUP(NFLDataSet!F136,TurnOverDiff2,2,TRUE)</f>
        <v>Low</v>
      </c>
      <c r="G135" t="str">
        <f>NFLDataSet!G136</f>
        <v>W</v>
      </c>
    </row>
    <row r="136" spans="1:7" x14ac:dyDescent="0.35">
      <c r="A136" t="str">
        <f>NFLDataSet!A137</f>
        <v>A</v>
      </c>
      <c r="B136" t="str">
        <f>VLOOKUP(NFLDataSet!B137,FirstDownDiff2,2,TRUE)</f>
        <v>Low</v>
      </c>
      <c r="C136" t="str">
        <f>VLOOKUP(NFLDataSet!C137,TotalYardDiff2,2,TRUE)</f>
        <v>Low</v>
      </c>
      <c r="D136" t="str">
        <f>VLOOKUP(NFLDataSet!D137,PassYardsDiff2,2,TRUE)</f>
        <v>Low</v>
      </c>
      <c r="E136" t="str">
        <f>VLOOKUP(NFLDataSet!E137,RushYards2,2,TRUE)</f>
        <v>Low</v>
      </c>
      <c r="F136" t="str">
        <f>VLOOKUP(NFLDataSet!F137,TurnOverDiff2,2,TRUE)</f>
        <v>Medium</v>
      </c>
      <c r="G136" t="str">
        <f>NFLDataSet!G137</f>
        <v>L</v>
      </c>
    </row>
    <row r="137" spans="1:7" x14ac:dyDescent="0.35">
      <c r="A137" t="str">
        <f>NFLDataSet!A138</f>
        <v>A</v>
      </c>
      <c r="B137" t="str">
        <f>VLOOKUP(NFLDataSet!B138,FirstDownDiff2,2,TRUE)</f>
        <v>Low</v>
      </c>
      <c r="C137" t="str">
        <f>VLOOKUP(NFLDataSet!C138,TotalYardDiff2,2,TRUE)</f>
        <v>Medium</v>
      </c>
      <c r="D137" t="str">
        <f>VLOOKUP(NFLDataSet!D138,PassYardsDiff2,2,TRUE)</f>
        <v>Low</v>
      </c>
      <c r="E137" t="str">
        <f>VLOOKUP(NFLDataSet!E138,RushYards2,2,TRUE)</f>
        <v>High</v>
      </c>
      <c r="F137" t="str">
        <f>VLOOKUP(NFLDataSet!F138,TurnOverDiff2,2,TRUE)</f>
        <v>Medium</v>
      </c>
      <c r="G137" t="str">
        <f>NFLDataSet!G138</f>
        <v>W</v>
      </c>
    </row>
    <row r="138" spans="1:7" x14ac:dyDescent="0.35">
      <c r="A138" t="str">
        <f>NFLDataSet!A139</f>
        <v>H</v>
      </c>
      <c r="B138" t="str">
        <f>VLOOKUP(NFLDataSet!B139,FirstDownDiff2,2,TRUE)</f>
        <v>Low</v>
      </c>
      <c r="C138" t="str">
        <f>VLOOKUP(NFLDataSet!C139,TotalYardDiff2,2,TRUE)</f>
        <v>Low</v>
      </c>
      <c r="D138" t="str">
        <f>VLOOKUP(NFLDataSet!D139,PassYardsDiff2,2,TRUE)</f>
        <v>Low</v>
      </c>
      <c r="E138" t="str">
        <f>VLOOKUP(NFLDataSet!E139,RushYards2,2,TRUE)</f>
        <v>High</v>
      </c>
      <c r="F138" t="str">
        <f>VLOOKUP(NFLDataSet!F139,TurnOverDiff2,2,TRUE)</f>
        <v>Medium</v>
      </c>
      <c r="G138" t="str">
        <f>NFLDataSet!G139</f>
        <v>W</v>
      </c>
    </row>
    <row r="139" spans="1:7" x14ac:dyDescent="0.35">
      <c r="A139" t="str">
        <f>NFLDataSet!A140</f>
        <v>A</v>
      </c>
      <c r="B139" t="str">
        <f>VLOOKUP(NFLDataSet!B140,FirstDownDiff2,2,TRUE)</f>
        <v>Low</v>
      </c>
      <c r="C139" t="str">
        <f>VLOOKUP(NFLDataSet!C140,TotalYardDiff2,2,TRUE)</f>
        <v>Medium</v>
      </c>
      <c r="D139" t="str">
        <f>VLOOKUP(NFLDataSet!D140,PassYardsDiff2,2,TRUE)</f>
        <v>Medium</v>
      </c>
      <c r="E139" t="str">
        <f>VLOOKUP(NFLDataSet!E140,RushYards2,2,TRUE)</f>
        <v>Medium</v>
      </c>
      <c r="F139" t="str">
        <f>VLOOKUP(NFLDataSet!F140,TurnOverDiff2,2,TRUE)</f>
        <v>Medium</v>
      </c>
      <c r="G139" t="str">
        <f>NFLDataSet!G140</f>
        <v>L</v>
      </c>
    </row>
    <row r="140" spans="1:7" x14ac:dyDescent="0.35">
      <c r="A140" t="str">
        <f>NFLDataSet!A141</f>
        <v>A</v>
      </c>
      <c r="B140" t="str">
        <f>VLOOKUP(NFLDataSet!B141,FirstDownDiff2,2,TRUE)</f>
        <v>High</v>
      </c>
      <c r="C140" t="str">
        <f>VLOOKUP(NFLDataSet!C141,TotalYardDiff2,2,TRUE)</f>
        <v>Medium</v>
      </c>
      <c r="D140" t="str">
        <f>VLOOKUP(NFLDataSet!D141,PassYardsDiff2,2,TRUE)</f>
        <v>Medium</v>
      </c>
      <c r="E140" t="str">
        <f>VLOOKUP(NFLDataSet!E141,RushYards2,2,TRUE)</f>
        <v>High</v>
      </c>
      <c r="F140" t="str">
        <f>VLOOKUP(NFLDataSet!F141,TurnOverDiff2,2,TRUE)</f>
        <v>High</v>
      </c>
      <c r="G140" t="str">
        <f>NFLDataSet!G141</f>
        <v>L</v>
      </c>
    </row>
    <row r="141" spans="1:7" x14ac:dyDescent="0.35">
      <c r="A141" t="str">
        <f>NFLDataSet!A142</f>
        <v>A</v>
      </c>
      <c r="B141" t="str">
        <f>VLOOKUP(NFLDataSet!B142,FirstDownDiff2,2,TRUE)</f>
        <v>High</v>
      </c>
      <c r="C141" t="str">
        <f>VLOOKUP(NFLDataSet!C142,TotalYardDiff2,2,TRUE)</f>
        <v>High</v>
      </c>
      <c r="D141" t="str">
        <f>VLOOKUP(NFLDataSet!D142,PassYardsDiff2,2,TRUE)</f>
        <v>High</v>
      </c>
      <c r="E141" t="str">
        <f>VLOOKUP(NFLDataSet!E142,RushYards2,2,TRUE)</f>
        <v>Medium</v>
      </c>
      <c r="F141" t="str">
        <f>VLOOKUP(NFLDataSet!F142,TurnOverDiff2,2,TRUE)</f>
        <v>Medium</v>
      </c>
      <c r="G141" t="str">
        <f>NFLDataSet!G142</f>
        <v>W</v>
      </c>
    </row>
    <row r="142" spans="1:7" x14ac:dyDescent="0.35">
      <c r="A142" t="str">
        <f>NFLDataSet!A143</f>
        <v>H</v>
      </c>
      <c r="B142" t="str">
        <f>VLOOKUP(NFLDataSet!B143,FirstDownDiff2,2,TRUE)</f>
        <v>Medium</v>
      </c>
      <c r="C142" t="str">
        <f>VLOOKUP(NFLDataSet!C143,TotalYardDiff2,2,TRUE)</f>
        <v>High</v>
      </c>
      <c r="D142" t="str">
        <f>VLOOKUP(NFLDataSet!D143,PassYardsDiff2,2,TRUE)</f>
        <v>High</v>
      </c>
      <c r="E142" t="str">
        <f>VLOOKUP(NFLDataSet!E143,RushYards2,2,TRUE)</f>
        <v>Low</v>
      </c>
      <c r="F142" t="str">
        <f>VLOOKUP(NFLDataSet!F143,TurnOverDiff2,2,TRUE)</f>
        <v>Medium</v>
      </c>
      <c r="G142" t="str">
        <f>NFLDataSet!G143</f>
        <v>W</v>
      </c>
    </row>
    <row r="143" spans="1:7" x14ac:dyDescent="0.35">
      <c r="A143" t="str">
        <f>NFLDataSet!A144</f>
        <v>A</v>
      </c>
      <c r="B143" t="str">
        <f>VLOOKUP(NFLDataSet!B144,FirstDownDiff2,2,TRUE)</f>
        <v>Medium</v>
      </c>
      <c r="C143" t="str">
        <f>VLOOKUP(NFLDataSet!C144,TotalYardDiff2,2,TRUE)</f>
        <v>Medium</v>
      </c>
      <c r="D143" t="str">
        <f>VLOOKUP(NFLDataSet!D144,PassYardsDiff2,2,TRUE)</f>
        <v>Medium</v>
      </c>
      <c r="E143" t="str">
        <f>VLOOKUP(NFLDataSet!E144,RushYards2,2,TRUE)</f>
        <v>Low</v>
      </c>
      <c r="F143" t="str">
        <f>VLOOKUP(NFLDataSet!F144,TurnOverDiff2,2,TRUE)</f>
        <v>Medium</v>
      </c>
      <c r="G143" t="str">
        <f>NFLDataSet!G144</f>
        <v>L</v>
      </c>
    </row>
    <row r="144" spans="1:7" x14ac:dyDescent="0.35">
      <c r="A144" t="str">
        <f>NFLDataSet!A145</f>
        <v>H</v>
      </c>
      <c r="B144" t="str">
        <f>VLOOKUP(NFLDataSet!B145,FirstDownDiff2,2,TRUE)</f>
        <v>Low</v>
      </c>
      <c r="C144" t="str">
        <f>VLOOKUP(NFLDataSet!C145,TotalYardDiff2,2,TRUE)</f>
        <v>Low</v>
      </c>
      <c r="D144" t="str">
        <f>VLOOKUP(NFLDataSet!D145,PassYardsDiff2,2,TRUE)</f>
        <v>Low</v>
      </c>
      <c r="E144" t="str">
        <f>VLOOKUP(NFLDataSet!E145,RushYards2,2,TRUE)</f>
        <v>Low</v>
      </c>
      <c r="F144" t="str">
        <f>VLOOKUP(NFLDataSet!F145,TurnOverDiff2,2,TRUE)</f>
        <v>High</v>
      </c>
      <c r="G144" t="str">
        <f>NFLDataSet!G145</f>
        <v>L</v>
      </c>
    </row>
    <row r="145" spans="1:7" x14ac:dyDescent="0.35">
      <c r="A145" t="str">
        <f>NFLDataSet!A146</f>
        <v>H</v>
      </c>
      <c r="B145" t="str">
        <f>VLOOKUP(NFLDataSet!B146,FirstDownDiff2,2,TRUE)</f>
        <v>Low</v>
      </c>
      <c r="C145" t="str">
        <f>VLOOKUP(NFLDataSet!C146,TotalYardDiff2,2,TRUE)</f>
        <v>Low</v>
      </c>
      <c r="D145" t="str">
        <f>VLOOKUP(NFLDataSet!D146,PassYardsDiff2,2,TRUE)</f>
        <v>Low</v>
      </c>
      <c r="E145" t="str">
        <f>VLOOKUP(NFLDataSet!E146,RushYards2,2,TRUE)</f>
        <v>Medium</v>
      </c>
      <c r="F145" t="str">
        <f>VLOOKUP(NFLDataSet!F146,TurnOverDiff2,2,TRUE)</f>
        <v>Medium</v>
      </c>
      <c r="G145" t="str">
        <f>NFLDataSet!G146</f>
        <v>W</v>
      </c>
    </row>
    <row r="146" spans="1:7" x14ac:dyDescent="0.35">
      <c r="A146" t="str">
        <f>NFLDataSet!A147</f>
        <v>A</v>
      </c>
      <c r="B146" t="str">
        <f>VLOOKUP(NFLDataSet!B147,FirstDownDiff2,2,TRUE)</f>
        <v>Medium</v>
      </c>
      <c r="C146" t="str">
        <f>VLOOKUP(NFLDataSet!C147,TotalYardDiff2,2,TRUE)</f>
        <v>Medium</v>
      </c>
      <c r="D146" t="str">
        <f>VLOOKUP(NFLDataSet!D147,PassYardsDiff2,2,TRUE)</f>
        <v>Medium</v>
      </c>
      <c r="E146" t="str">
        <f>VLOOKUP(NFLDataSet!E147,RushYards2,2,TRUE)</f>
        <v>Medium</v>
      </c>
      <c r="F146" t="str">
        <f>VLOOKUP(NFLDataSet!F147,TurnOverDiff2,2,TRUE)</f>
        <v>Medium</v>
      </c>
      <c r="G146" t="str">
        <f>NFLDataSet!G147</f>
        <v>L</v>
      </c>
    </row>
    <row r="147" spans="1:7" x14ac:dyDescent="0.35">
      <c r="A147" t="str">
        <f>NFLDataSet!A148</f>
        <v>H</v>
      </c>
      <c r="B147" t="str">
        <f>VLOOKUP(NFLDataSet!B148,FirstDownDiff2,2,TRUE)</f>
        <v>Medium</v>
      </c>
      <c r="C147" t="str">
        <f>VLOOKUP(NFLDataSet!C148,TotalYardDiff2,2,TRUE)</f>
        <v>Low</v>
      </c>
      <c r="D147" t="str">
        <f>VLOOKUP(NFLDataSet!D148,PassYardsDiff2,2,TRUE)</f>
        <v>Medium</v>
      </c>
      <c r="E147" t="str">
        <f>VLOOKUP(NFLDataSet!E148,RushYards2,2,TRUE)</f>
        <v>Low</v>
      </c>
      <c r="F147" t="str">
        <f>VLOOKUP(NFLDataSet!F148,TurnOverDiff2,2,TRUE)</f>
        <v>Medium</v>
      </c>
      <c r="G147" t="str">
        <f>NFLDataSet!G148</f>
        <v>L</v>
      </c>
    </row>
    <row r="148" spans="1:7" x14ac:dyDescent="0.35">
      <c r="A148" t="str">
        <f>NFLDataSet!A149</f>
        <v>A</v>
      </c>
      <c r="B148" t="str">
        <f>VLOOKUP(NFLDataSet!B149,FirstDownDiff2,2,TRUE)</f>
        <v>Medium</v>
      </c>
      <c r="C148" t="str">
        <f>VLOOKUP(NFLDataSet!C149,TotalYardDiff2,2,TRUE)</f>
        <v>Low</v>
      </c>
      <c r="D148" t="str">
        <f>VLOOKUP(NFLDataSet!D149,PassYardsDiff2,2,TRUE)</f>
        <v>Low</v>
      </c>
      <c r="E148" t="str">
        <f>VLOOKUP(NFLDataSet!E149,RushYards2,2,TRUE)</f>
        <v>Medium</v>
      </c>
      <c r="F148" t="str">
        <f>VLOOKUP(NFLDataSet!F149,TurnOverDiff2,2,TRUE)</f>
        <v>Medium</v>
      </c>
      <c r="G148" t="str">
        <f>NFLDataSet!G149</f>
        <v>W</v>
      </c>
    </row>
    <row r="149" spans="1:7" x14ac:dyDescent="0.35">
      <c r="A149" t="str">
        <f>NFLDataSet!A150</f>
        <v>A</v>
      </c>
      <c r="B149" t="str">
        <f>VLOOKUP(NFLDataSet!B150,FirstDownDiff2,2,TRUE)</f>
        <v>Low</v>
      </c>
      <c r="C149" t="str">
        <f>VLOOKUP(NFLDataSet!C150,TotalYardDiff2,2,TRUE)</f>
        <v>Low</v>
      </c>
      <c r="D149" t="str">
        <f>VLOOKUP(NFLDataSet!D150,PassYardsDiff2,2,TRUE)</f>
        <v>Low</v>
      </c>
      <c r="E149" t="str">
        <f>VLOOKUP(NFLDataSet!E150,RushYards2,2,TRUE)</f>
        <v>Low</v>
      </c>
      <c r="F149" t="str">
        <f>VLOOKUP(NFLDataSet!F150,TurnOverDiff2,2,TRUE)</f>
        <v>Medium</v>
      </c>
      <c r="G149" t="str">
        <f>NFLDataSet!G150</f>
        <v>L</v>
      </c>
    </row>
    <row r="150" spans="1:7" x14ac:dyDescent="0.35">
      <c r="A150" t="str">
        <f>NFLDataSet!A151</f>
        <v>A</v>
      </c>
      <c r="B150" t="str">
        <f>VLOOKUP(NFLDataSet!B151,FirstDownDiff2,2,TRUE)</f>
        <v>Medium</v>
      </c>
      <c r="C150" t="str">
        <f>VLOOKUP(NFLDataSet!C151,TotalYardDiff2,2,TRUE)</f>
        <v>Medium</v>
      </c>
      <c r="D150" t="str">
        <f>VLOOKUP(NFLDataSet!D151,PassYardsDiff2,2,TRUE)</f>
        <v>Medium</v>
      </c>
      <c r="E150" t="str">
        <f>VLOOKUP(NFLDataSet!E151,RushYards2,2,TRUE)</f>
        <v>Medium</v>
      </c>
      <c r="F150" t="str">
        <f>VLOOKUP(NFLDataSet!F151,TurnOverDiff2,2,TRUE)</f>
        <v>Medium</v>
      </c>
      <c r="G150" t="str">
        <f>NFLDataSet!G151</f>
        <v>L</v>
      </c>
    </row>
    <row r="151" spans="1:7" x14ac:dyDescent="0.35">
      <c r="A151" t="str">
        <f>NFLDataSet!A152</f>
        <v>A</v>
      </c>
      <c r="B151" t="str">
        <f>VLOOKUP(NFLDataSet!B152,FirstDownDiff2,2,TRUE)</f>
        <v>Medium</v>
      </c>
      <c r="C151" t="str">
        <f>VLOOKUP(NFLDataSet!C152,TotalYardDiff2,2,TRUE)</f>
        <v>Medium</v>
      </c>
      <c r="D151" t="str">
        <f>VLOOKUP(NFLDataSet!D152,PassYardsDiff2,2,TRUE)</f>
        <v>Low</v>
      </c>
      <c r="E151" t="str">
        <f>VLOOKUP(NFLDataSet!E152,RushYards2,2,TRUE)</f>
        <v>High</v>
      </c>
      <c r="F151" t="str">
        <f>VLOOKUP(NFLDataSet!F152,TurnOverDiff2,2,TRUE)</f>
        <v>High</v>
      </c>
      <c r="G151" t="str">
        <f>NFLDataSet!G152</f>
        <v>L</v>
      </c>
    </row>
    <row r="152" spans="1:7" x14ac:dyDescent="0.35">
      <c r="A152" t="str">
        <f>NFLDataSet!A153</f>
        <v>H</v>
      </c>
      <c r="B152" t="str">
        <f>VLOOKUP(NFLDataSet!B153,FirstDownDiff2,2,TRUE)</f>
        <v>Medium</v>
      </c>
      <c r="C152" t="str">
        <f>VLOOKUP(NFLDataSet!C153,TotalYardDiff2,2,TRUE)</f>
        <v>Medium</v>
      </c>
      <c r="D152" t="str">
        <f>VLOOKUP(NFLDataSet!D153,PassYardsDiff2,2,TRUE)</f>
        <v>Medium</v>
      </c>
      <c r="E152" t="str">
        <f>VLOOKUP(NFLDataSet!E153,RushYards2,2,TRUE)</f>
        <v>Medium</v>
      </c>
      <c r="F152" t="str">
        <f>VLOOKUP(NFLDataSet!F153,TurnOverDiff2,2,TRUE)</f>
        <v>Medium</v>
      </c>
      <c r="G152" t="str">
        <f>NFLDataSet!G153</f>
        <v>L</v>
      </c>
    </row>
    <row r="153" spans="1:7" x14ac:dyDescent="0.35">
      <c r="A153" t="str">
        <f>NFLDataSet!A154</f>
        <v>A</v>
      </c>
      <c r="B153" t="str">
        <f>VLOOKUP(NFLDataSet!B154,FirstDownDiff2,2,TRUE)</f>
        <v>Low</v>
      </c>
      <c r="C153" t="str">
        <f>VLOOKUP(NFLDataSet!C154,TotalYardDiff2,2,TRUE)</f>
        <v>Low</v>
      </c>
      <c r="D153" t="str">
        <f>VLOOKUP(NFLDataSet!D154,PassYardsDiff2,2,TRUE)</f>
        <v>Low</v>
      </c>
      <c r="E153" t="str">
        <f>VLOOKUP(NFLDataSet!E154,RushYards2,2,TRUE)</f>
        <v>Medium</v>
      </c>
      <c r="F153" t="str">
        <f>VLOOKUP(NFLDataSet!F154,TurnOverDiff2,2,TRUE)</f>
        <v>Medium</v>
      </c>
      <c r="G153" t="str">
        <f>NFLDataSet!G154</f>
        <v>L</v>
      </c>
    </row>
    <row r="154" spans="1:7" x14ac:dyDescent="0.35">
      <c r="A154" t="str">
        <f>NFLDataSet!A155</f>
        <v>H</v>
      </c>
      <c r="B154" t="str">
        <f>VLOOKUP(NFLDataSet!B155,FirstDownDiff2,2,TRUE)</f>
        <v>Low</v>
      </c>
      <c r="C154" t="str">
        <f>VLOOKUP(NFLDataSet!C155,TotalYardDiff2,2,TRUE)</f>
        <v>Medium</v>
      </c>
      <c r="D154" t="str">
        <f>VLOOKUP(NFLDataSet!D155,PassYardsDiff2,2,TRUE)</f>
        <v>Low</v>
      </c>
      <c r="E154" t="str">
        <f>VLOOKUP(NFLDataSet!E155,RushYards2,2,TRUE)</f>
        <v>High</v>
      </c>
      <c r="F154" t="str">
        <f>VLOOKUP(NFLDataSet!F155,TurnOverDiff2,2,TRUE)</f>
        <v>Medium</v>
      </c>
      <c r="G154" t="str">
        <f>NFLDataSet!G155</f>
        <v>W</v>
      </c>
    </row>
    <row r="155" spans="1:7" x14ac:dyDescent="0.35">
      <c r="A155" t="str">
        <f>NFLDataSet!A156</f>
        <v>H</v>
      </c>
      <c r="B155" t="str">
        <f>VLOOKUP(NFLDataSet!B156,FirstDownDiff2,2,TRUE)</f>
        <v>Medium</v>
      </c>
      <c r="C155" t="str">
        <f>VLOOKUP(NFLDataSet!C156,TotalYardDiff2,2,TRUE)</f>
        <v>Medium</v>
      </c>
      <c r="D155" t="str">
        <f>VLOOKUP(NFLDataSet!D156,PassYardsDiff2,2,TRUE)</f>
        <v>Low</v>
      </c>
      <c r="E155" t="str">
        <f>VLOOKUP(NFLDataSet!E156,RushYards2,2,TRUE)</f>
        <v>Medium</v>
      </c>
      <c r="F155" t="str">
        <f>VLOOKUP(NFLDataSet!F156,TurnOverDiff2,2,TRUE)</f>
        <v>Medium</v>
      </c>
      <c r="G155" t="str">
        <f>NFLDataSet!G156</f>
        <v>L</v>
      </c>
    </row>
    <row r="156" spans="1:7" x14ac:dyDescent="0.35">
      <c r="A156" t="str">
        <f>NFLDataSet!A157</f>
        <v>A</v>
      </c>
      <c r="B156" t="str">
        <f>VLOOKUP(NFLDataSet!B157,FirstDownDiff2,2,TRUE)</f>
        <v>Low</v>
      </c>
      <c r="C156" t="str">
        <f>VLOOKUP(NFLDataSet!C157,TotalYardDiff2,2,TRUE)</f>
        <v>Low</v>
      </c>
      <c r="D156" t="str">
        <f>VLOOKUP(NFLDataSet!D157,PassYardsDiff2,2,TRUE)</f>
        <v>Low</v>
      </c>
      <c r="E156" t="str">
        <f>VLOOKUP(NFLDataSet!E157,RushYards2,2,TRUE)</f>
        <v>Medium</v>
      </c>
      <c r="F156" t="str">
        <f>VLOOKUP(NFLDataSet!F157,TurnOverDiff2,2,TRUE)</f>
        <v>Medium</v>
      </c>
      <c r="G156" t="str">
        <f>NFLDataSet!G157</f>
        <v>L</v>
      </c>
    </row>
    <row r="157" spans="1:7" x14ac:dyDescent="0.35">
      <c r="A157" t="str">
        <f>NFLDataSet!A158</f>
        <v>H</v>
      </c>
      <c r="B157" t="str">
        <f>VLOOKUP(NFLDataSet!B158,FirstDownDiff2,2,TRUE)</f>
        <v>Medium</v>
      </c>
      <c r="C157" t="str">
        <f>VLOOKUP(NFLDataSet!C158,TotalYardDiff2,2,TRUE)</f>
        <v>Medium</v>
      </c>
      <c r="D157" t="str">
        <f>VLOOKUP(NFLDataSet!D158,PassYardsDiff2,2,TRUE)</f>
        <v>High</v>
      </c>
      <c r="E157" t="str">
        <f>VLOOKUP(NFLDataSet!E158,RushYards2,2,TRUE)</f>
        <v>Low</v>
      </c>
      <c r="F157" t="str">
        <f>VLOOKUP(NFLDataSet!F158,TurnOverDiff2,2,TRUE)</f>
        <v>High</v>
      </c>
      <c r="G157" t="str">
        <f>NFLDataSet!G158</f>
        <v>L</v>
      </c>
    </row>
    <row r="158" spans="1:7" x14ac:dyDescent="0.35">
      <c r="A158" t="str">
        <f>NFLDataSet!A159</f>
        <v>H</v>
      </c>
      <c r="B158" t="str">
        <f>VLOOKUP(NFLDataSet!B159,FirstDownDiff2,2,TRUE)</f>
        <v>Low</v>
      </c>
      <c r="C158" t="str">
        <f>VLOOKUP(NFLDataSet!C159,TotalYardDiff2,2,TRUE)</f>
        <v>Medium</v>
      </c>
      <c r="D158" t="str">
        <f>VLOOKUP(NFLDataSet!D159,PassYardsDiff2,2,TRUE)</f>
        <v>Low</v>
      </c>
      <c r="E158" t="str">
        <f>VLOOKUP(NFLDataSet!E159,RushYards2,2,TRUE)</f>
        <v>High</v>
      </c>
      <c r="F158" t="str">
        <f>VLOOKUP(NFLDataSet!F159,TurnOverDiff2,2,TRUE)</f>
        <v>Medium</v>
      </c>
      <c r="G158" t="str">
        <f>NFLDataSet!G159</f>
        <v>W</v>
      </c>
    </row>
    <row r="159" spans="1:7" x14ac:dyDescent="0.35">
      <c r="A159" t="str">
        <f>NFLDataSet!A160</f>
        <v>A</v>
      </c>
      <c r="B159" t="str">
        <f>VLOOKUP(NFLDataSet!B160,FirstDownDiff2,2,TRUE)</f>
        <v>Medium</v>
      </c>
      <c r="C159" t="str">
        <f>VLOOKUP(NFLDataSet!C160,TotalYardDiff2,2,TRUE)</f>
        <v>Medium</v>
      </c>
      <c r="D159" t="str">
        <f>VLOOKUP(NFLDataSet!D160,PassYardsDiff2,2,TRUE)</f>
        <v>Medium</v>
      </c>
      <c r="E159" t="str">
        <f>VLOOKUP(NFLDataSet!E160,RushYards2,2,TRUE)</f>
        <v>Medium</v>
      </c>
      <c r="F159" t="str">
        <f>VLOOKUP(NFLDataSet!F160,TurnOverDiff2,2,TRUE)</f>
        <v>Medium</v>
      </c>
      <c r="G159" t="str">
        <f>NFLDataSet!G160</f>
        <v>W</v>
      </c>
    </row>
    <row r="160" spans="1:7" x14ac:dyDescent="0.35">
      <c r="A160" t="str">
        <f>NFLDataSet!A161</f>
        <v>A</v>
      </c>
      <c r="B160" t="str">
        <f>VLOOKUP(NFLDataSet!B161,FirstDownDiff2,2,TRUE)</f>
        <v>Medium</v>
      </c>
      <c r="C160" t="str">
        <f>VLOOKUP(NFLDataSet!C161,TotalYardDiff2,2,TRUE)</f>
        <v>Medium</v>
      </c>
      <c r="D160" t="str">
        <f>VLOOKUP(NFLDataSet!D161,PassYardsDiff2,2,TRUE)</f>
        <v>Medium</v>
      </c>
      <c r="E160" t="str">
        <f>VLOOKUP(NFLDataSet!E161,RushYards2,2,TRUE)</f>
        <v>Medium</v>
      </c>
      <c r="F160" t="str">
        <f>VLOOKUP(NFLDataSet!F161,TurnOverDiff2,2,TRUE)</f>
        <v>Medium</v>
      </c>
      <c r="G160" t="str">
        <f>NFLDataSet!G161</f>
        <v>L</v>
      </c>
    </row>
    <row r="161" spans="1:7" x14ac:dyDescent="0.35">
      <c r="A161" t="str">
        <f>NFLDataSet!A162</f>
        <v>H</v>
      </c>
      <c r="B161" t="str">
        <f>VLOOKUP(NFLDataSet!B162,FirstDownDiff2,2,TRUE)</f>
        <v>High</v>
      </c>
      <c r="C161" t="str">
        <f>VLOOKUP(NFLDataSet!C162,TotalYardDiff2,2,TRUE)</f>
        <v>High</v>
      </c>
      <c r="D161" t="str">
        <f>VLOOKUP(NFLDataSet!D162,PassYardsDiff2,2,TRUE)</f>
        <v>High</v>
      </c>
      <c r="E161" t="str">
        <f>VLOOKUP(NFLDataSet!E162,RushYards2,2,TRUE)</f>
        <v>Medium</v>
      </c>
      <c r="F161" t="str">
        <f>VLOOKUP(NFLDataSet!F162,TurnOverDiff2,2,TRUE)</f>
        <v>High</v>
      </c>
      <c r="G161" t="str">
        <f>NFLDataSet!G162</f>
        <v>L</v>
      </c>
    </row>
    <row r="162" spans="1:7" x14ac:dyDescent="0.35">
      <c r="A162" t="str">
        <f>NFLDataSet!A163</f>
        <v>H</v>
      </c>
      <c r="B162" t="str">
        <f>VLOOKUP(NFLDataSet!B163,FirstDownDiff2,2,TRUE)</f>
        <v>High</v>
      </c>
      <c r="C162" t="str">
        <f>VLOOKUP(NFLDataSet!C163,TotalYardDiff2,2,TRUE)</f>
        <v>High</v>
      </c>
      <c r="D162" t="str">
        <f>VLOOKUP(NFLDataSet!D163,PassYardsDiff2,2,TRUE)</f>
        <v>High</v>
      </c>
      <c r="E162" t="str">
        <f>VLOOKUP(NFLDataSet!E163,RushYards2,2,TRUE)</f>
        <v>Low</v>
      </c>
      <c r="F162" t="str">
        <f>VLOOKUP(NFLDataSet!F163,TurnOverDiff2,2,TRUE)</f>
        <v>Medium</v>
      </c>
      <c r="G162" t="str">
        <f>NFLDataSet!G163</f>
        <v>L</v>
      </c>
    </row>
    <row r="163" spans="1:7" x14ac:dyDescent="0.35">
      <c r="A163" t="str">
        <f>NFLDataSet!A164</f>
        <v>H</v>
      </c>
      <c r="B163" t="str">
        <f>VLOOKUP(NFLDataSet!B164,FirstDownDiff2,2,TRUE)</f>
        <v>Medium</v>
      </c>
      <c r="C163" t="str">
        <f>VLOOKUP(NFLDataSet!C164,TotalYardDiff2,2,TRUE)</f>
        <v>Medium</v>
      </c>
      <c r="D163" t="str">
        <f>VLOOKUP(NFLDataSet!D164,PassYardsDiff2,2,TRUE)</f>
        <v>Medium</v>
      </c>
      <c r="E163" t="str">
        <f>VLOOKUP(NFLDataSet!E164,RushYards2,2,TRUE)</f>
        <v>Medium</v>
      </c>
      <c r="F163" t="str">
        <f>VLOOKUP(NFLDataSet!F164,TurnOverDiff2,2,TRUE)</f>
        <v>Medium</v>
      </c>
      <c r="G163" t="str">
        <f>NFLDataSet!G164</f>
        <v>L</v>
      </c>
    </row>
    <row r="164" spans="1:7" x14ac:dyDescent="0.35">
      <c r="A164" t="str">
        <f>NFLDataSet!A165</f>
        <v>H</v>
      </c>
      <c r="B164" t="str">
        <f>VLOOKUP(NFLDataSet!B165,FirstDownDiff2,2,TRUE)</f>
        <v>Medium</v>
      </c>
      <c r="C164" t="str">
        <f>VLOOKUP(NFLDataSet!C165,TotalYardDiff2,2,TRUE)</f>
        <v>Low</v>
      </c>
      <c r="D164" t="str">
        <f>VLOOKUP(NFLDataSet!D165,PassYardsDiff2,2,TRUE)</f>
        <v>Low</v>
      </c>
      <c r="E164" t="str">
        <f>VLOOKUP(NFLDataSet!E165,RushYards2,2,TRUE)</f>
        <v>Medium</v>
      </c>
      <c r="F164" t="str">
        <f>VLOOKUP(NFLDataSet!F165,TurnOverDiff2,2,TRUE)</f>
        <v>Medium</v>
      </c>
      <c r="G164" t="str">
        <f>NFLDataSet!G165</f>
        <v>L</v>
      </c>
    </row>
    <row r="165" spans="1:7" x14ac:dyDescent="0.35">
      <c r="A165" t="str">
        <f>NFLDataSet!A166</f>
        <v>A</v>
      </c>
      <c r="B165" t="str">
        <f>VLOOKUP(NFLDataSet!B166,FirstDownDiff2,2,TRUE)</f>
        <v>High</v>
      </c>
      <c r="C165" t="str">
        <f>VLOOKUP(NFLDataSet!C166,TotalYardDiff2,2,TRUE)</f>
        <v>High</v>
      </c>
      <c r="D165" t="str">
        <f>VLOOKUP(NFLDataSet!D166,PassYardsDiff2,2,TRUE)</f>
        <v>Medium</v>
      </c>
      <c r="E165" t="str">
        <f>VLOOKUP(NFLDataSet!E166,RushYards2,2,TRUE)</f>
        <v>High</v>
      </c>
      <c r="F165" t="str">
        <f>VLOOKUP(NFLDataSet!F166,TurnOverDiff2,2,TRUE)</f>
        <v>Medium</v>
      </c>
      <c r="G165" t="str">
        <f>NFLDataSet!G166</f>
        <v>L</v>
      </c>
    </row>
    <row r="166" spans="1:7" x14ac:dyDescent="0.35">
      <c r="A166" t="str">
        <f>NFLDataSet!A167</f>
        <v>A</v>
      </c>
      <c r="B166" t="str">
        <f>VLOOKUP(NFLDataSet!B167,FirstDownDiff2,2,TRUE)</f>
        <v>Low</v>
      </c>
      <c r="C166" t="str">
        <f>VLOOKUP(NFLDataSet!C167,TotalYardDiff2,2,TRUE)</f>
        <v>Low</v>
      </c>
      <c r="D166" t="str">
        <f>VLOOKUP(NFLDataSet!D167,PassYardsDiff2,2,TRUE)</f>
        <v>Low</v>
      </c>
      <c r="E166" t="str">
        <f>VLOOKUP(NFLDataSet!E167,RushYards2,2,TRUE)</f>
        <v>Low</v>
      </c>
      <c r="F166" t="str">
        <f>VLOOKUP(NFLDataSet!F167,TurnOverDiff2,2,TRUE)</f>
        <v>Medium</v>
      </c>
      <c r="G166" t="str">
        <f>NFLDataSet!G167</f>
        <v>L</v>
      </c>
    </row>
    <row r="167" spans="1:7" x14ac:dyDescent="0.35">
      <c r="A167" t="str">
        <f>NFLDataSet!A168</f>
        <v>H</v>
      </c>
      <c r="B167" t="str">
        <f>VLOOKUP(NFLDataSet!B168,FirstDownDiff2,2,TRUE)</f>
        <v>Medium</v>
      </c>
      <c r="C167" t="str">
        <f>VLOOKUP(NFLDataSet!C168,TotalYardDiff2,2,TRUE)</f>
        <v>Medium</v>
      </c>
      <c r="D167" t="str">
        <f>VLOOKUP(NFLDataSet!D168,PassYardsDiff2,2,TRUE)</f>
        <v>Medium</v>
      </c>
      <c r="E167" t="str">
        <f>VLOOKUP(NFLDataSet!E168,RushYards2,2,TRUE)</f>
        <v>Medium</v>
      </c>
      <c r="F167" t="str">
        <f>VLOOKUP(NFLDataSet!F168,TurnOverDiff2,2,TRUE)</f>
        <v>Medium</v>
      </c>
      <c r="G167" t="str">
        <f>NFLDataSet!G168</f>
        <v>W</v>
      </c>
    </row>
    <row r="168" spans="1:7" x14ac:dyDescent="0.35">
      <c r="A168" t="str">
        <f>NFLDataSet!A169</f>
        <v>A</v>
      </c>
      <c r="B168" t="str">
        <f>VLOOKUP(NFLDataSet!B169,FirstDownDiff2,2,TRUE)</f>
        <v>Low</v>
      </c>
      <c r="C168" t="str">
        <f>VLOOKUP(NFLDataSet!C169,TotalYardDiff2,2,TRUE)</f>
        <v>Medium</v>
      </c>
      <c r="D168" t="str">
        <f>VLOOKUP(NFLDataSet!D169,PassYardsDiff2,2,TRUE)</f>
        <v>Medium</v>
      </c>
      <c r="E168" t="str">
        <f>VLOOKUP(NFLDataSet!E169,RushYards2,2,TRUE)</f>
        <v>Medium</v>
      </c>
      <c r="F168" t="str">
        <f>VLOOKUP(NFLDataSet!F169,TurnOverDiff2,2,TRUE)</f>
        <v>Medium</v>
      </c>
      <c r="G168" t="str">
        <f>NFLDataSet!G169</f>
        <v>L</v>
      </c>
    </row>
    <row r="169" spans="1:7" x14ac:dyDescent="0.35">
      <c r="A169" t="str">
        <f>NFLDataSet!A170</f>
        <v>A</v>
      </c>
      <c r="B169" t="str">
        <f>VLOOKUP(NFLDataSet!B170,FirstDownDiff2,2,TRUE)</f>
        <v>Medium</v>
      </c>
      <c r="C169" t="str">
        <f>VLOOKUP(NFLDataSet!C170,TotalYardDiff2,2,TRUE)</f>
        <v>Medium</v>
      </c>
      <c r="D169" t="str">
        <f>VLOOKUP(NFLDataSet!D170,PassYardsDiff2,2,TRUE)</f>
        <v>High</v>
      </c>
      <c r="E169" t="str">
        <f>VLOOKUP(NFLDataSet!E170,RushYards2,2,TRUE)</f>
        <v>Medium</v>
      </c>
      <c r="F169" t="str">
        <f>VLOOKUP(NFLDataSet!F170,TurnOverDiff2,2,TRUE)</f>
        <v>Medium</v>
      </c>
      <c r="G169" t="str">
        <f>NFLDataSet!G170</f>
        <v>W</v>
      </c>
    </row>
    <row r="170" spans="1:7" x14ac:dyDescent="0.35">
      <c r="A170" t="str">
        <f>NFLDataSet!A171</f>
        <v>H</v>
      </c>
      <c r="B170" t="str">
        <f>VLOOKUP(NFLDataSet!B171,FirstDownDiff2,2,TRUE)</f>
        <v>Medium</v>
      </c>
      <c r="C170" t="str">
        <f>VLOOKUP(NFLDataSet!C171,TotalYardDiff2,2,TRUE)</f>
        <v>Medium</v>
      </c>
      <c r="D170" t="str">
        <f>VLOOKUP(NFLDataSet!D171,PassYardsDiff2,2,TRUE)</f>
        <v>Medium</v>
      </c>
      <c r="E170" t="str">
        <f>VLOOKUP(NFLDataSet!E171,RushYards2,2,TRUE)</f>
        <v>Medium</v>
      </c>
      <c r="F170" t="str">
        <f>VLOOKUP(NFLDataSet!F171,TurnOverDiff2,2,TRUE)</f>
        <v>High</v>
      </c>
      <c r="G170" t="str">
        <f>NFLDataSet!G171</f>
        <v>L</v>
      </c>
    </row>
    <row r="171" spans="1:7" x14ac:dyDescent="0.35">
      <c r="A171" t="str">
        <f>NFLDataSet!A172</f>
        <v>H</v>
      </c>
      <c r="B171" t="str">
        <f>VLOOKUP(NFLDataSet!B172,FirstDownDiff2,2,TRUE)</f>
        <v>Medium</v>
      </c>
      <c r="C171" t="str">
        <f>VLOOKUP(NFLDataSet!C172,TotalYardDiff2,2,TRUE)</f>
        <v>Medium</v>
      </c>
      <c r="D171" t="str">
        <f>VLOOKUP(NFLDataSet!D172,PassYardsDiff2,2,TRUE)</f>
        <v>Medium</v>
      </c>
      <c r="E171" t="str">
        <f>VLOOKUP(NFLDataSet!E172,RushYards2,2,TRUE)</f>
        <v>Medium</v>
      </c>
      <c r="F171" t="str">
        <f>VLOOKUP(NFLDataSet!F172,TurnOverDiff2,2,TRUE)</f>
        <v>Medium</v>
      </c>
      <c r="G171" t="str">
        <f>NFLDataSet!G172</f>
        <v>W</v>
      </c>
    </row>
    <row r="172" spans="1:7" x14ac:dyDescent="0.35">
      <c r="A172" t="str">
        <f>NFLDataSet!A173</f>
        <v>H</v>
      </c>
      <c r="B172" t="str">
        <f>VLOOKUP(NFLDataSet!B173,FirstDownDiff2,2,TRUE)</f>
        <v>Medium</v>
      </c>
      <c r="C172" t="str">
        <f>VLOOKUP(NFLDataSet!C173,TotalYardDiff2,2,TRUE)</f>
        <v>Medium</v>
      </c>
      <c r="D172" t="str">
        <f>VLOOKUP(NFLDataSet!D173,PassYardsDiff2,2,TRUE)</f>
        <v>Medium</v>
      </c>
      <c r="E172" t="str">
        <f>VLOOKUP(NFLDataSet!E173,RushYards2,2,TRUE)</f>
        <v>Medium</v>
      </c>
      <c r="F172" t="str">
        <f>VLOOKUP(NFLDataSet!F173,TurnOverDiff2,2,TRUE)</f>
        <v>Medium</v>
      </c>
      <c r="G172" t="str">
        <f>NFLDataSet!G173</f>
        <v>L</v>
      </c>
    </row>
    <row r="173" spans="1:7" x14ac:dyDescent="0.35">
      <c r="A173" t="str">
        <f>NFLDataSet!A174</f>
        <v>A</v>
      </c>
      <c r="B173" t="str">
        <f>VLOOKUP(NFLDataSet!B174,FirstDownDiff2,2,TRUE)</f>
        <v>Medium</v>
      </c>
      <c r="C173" t="str">
        <f>VLOOKUP(NFLDataSet!C174,TotalYardDiff2,2,TRUE)</f>
        <v>Medium</v>
      </c>
      <c r="D173" t="str">
        <f>VLOOKUP(NFLDataSet!D174,PassYardsDiff2,2,TRUE)</f>
        <v>Low</v>
      </c>
      <c r="E173" t="str">
        <f>VLOOKUP(NFLDataSet!E174,RushYards2,2,TRUE)</f>
        <v>High</v>
      </c>
      <c r="F173" t="str">
        <f>VLOOKUP(NFLDataSet!F174,TurnOverDiff2,2,TRUE)</f>
        <v>Medium</v>
      </c>
      <c r="G173" t="str">
        <f>NFLDataSet!G174</f>
        <v>W</v>
      </c>
    </row>
    <row r="174" spans="1:7" x14ac:dyDescent="0.35">
      <c r="A174" t="str">
        <f>NFLDataSet!A175</f>
        <v>H</v>
      </c>
      <c r="B174" t="str">
        <f>VLOOKUP(NFLDataSet!B175,FirstDownDiff2,2,TRUE)</f>
        <v>High</v>
      </c>
      <c r="C174" t="str">
        <f>VLOOKUP(NFLDataSet!C175,TotalYardDiff2,2,TRUE)</f>
        <v>High</v>
      </c>
      <c r="D174" t="str">
        <f>VLOOKUP(NFLDataSet!D175,PassYardsDiff2,2,TRUE)</f>
        <v>High</v>
      </c>
      <c r="E174" t="str">
        <f>VLOOKUP(NFLDataSet!E175,RushYards2,2,TRUE)</f>
        <v>Medium</v>
      </c>
      <c r="F174" t="str">
        <f>VLOOKUP(NFLDataSet!F175,TurnOverDiff2,2,TRUE)</f>
        <v>High</v>
      </c>
      <c r="G174" t="str">
        <f>NFLDataSet!G175</f>
        <v>W</v>
      </c>
    </row>
    <row r="175" spans="1:7" x14ac:dyDescent="0.35">
      <c r="A175" t="str">
        <f>NFLDataSet!A176</f>
        <v>H</v>
      </c>
      <c r="B175" t="str">
        <f>VLOOKUP(NFLDataSet!B176,FirstDownDiff2,2,TRUE)</f>
        <v>Medium</v>
      </c>
      <c r="C175" t="str">
        <f>VLOOKUP(NFLDataSet!C176,TotalYardDiff2,2,TRUE)</f>
        <v>Medium</v>
      </c>
      <c r="D175" t="str">
        <f>VLOOKUP(NFLDataSet!D176,PassYardsDiff2,2,TRUE)</f>
        <v>Medium</v>
      </c>
      <c r="E175" t="str">
        <f>VLOOKUP(NFLDataSet!E176,RushYards2,2,TRUE)</f>
        <v>Medium</v>
      </c>
      <c r="F175" t="str">
        <f>VLOOKUP(NFLDataSet!F176,TurnOverDiff2,2,TRUE)</f>
        <v>Medium</v>
      </c>
      <c r="G175" t="str">
        <f>NFLDataSet!G176</f>
        <v>W</v>
      </c>
    </row>
    <row r="176" spans="1:7" x14ac:dyDescent="0.35">
      <c r="A176" t="str">
        <f>NFLDataSet!A177</f>
        <v>H</v>
      </c>
      <c r="B176" t="str">
        <f>VLOOKUP(NFLDataSet!B177,FirstDownDiff2,2,TRUE)</f>
        <v>Medium</v>
      </c>
      <c r="C176" t="str">
        <f>VLOOKUP(NFLDataSet!C177,TotalYardDiff2,2,TRUE)</f>
        <v>Medium</v>
      </c>
      <c r="D176" t="str">
        <f>VLOOKUP(NFLDataSet!D177,PassYardsDiff2,2,TRUE)</f>
        <v>Medium</v>
      </c>
      <c r="E176" t="str">
        <f>VLOOKUP(NFLDataSet!E177,RushYards2,2,TRUE)</f>
        <v>Medium</v>
      </c>
      <c r="F176" t="str">
        <f>VLOOKUP(NFLDataSet!F177,TurnOverDiff2,2,TRUE)</f>
        <v>Medium</v>
      </c>
      <c r="G176" t="str">
        <f>NFLDataSet!G177</f>
        <v>L</v>
      </c>
    </row>
    <row r="177" spans="1:7" x14ac:dyDescent="0.35">
      <c r="A177" t="str">
        <f>NFLDataSet!A178</f>
        <v>A</v>
      </c>
      <c r="B177" t="str">
        <f>VLOOKUP(NFLDataSet!B178,FirstDownDiff2,2,TRUE)</f>
        <v>Low</v>
      </c>
      <c r="C177" t="str">
        <f>VLOOKUP(NFLDataSet!C178,TotalYardDiff2,2,TRUE)</f>
        <v>Low</v>
      </c>
      <c r="D177" t="str">
        <f>VLOOKUP(NFLDataSet!D178,PassYardsDiff2,2,TRUE)</f>
        <v>Medium</v>
      </c>
      <c r="E177" t="str">
        <f>VLOOKUP(NFLDataSet!E178,RushYards2,2,TRUE)</f>
        <v>Low</v>
      </c>
      <c r="F177" t="str">
        <f>VLOOKUP(NFLDataSet!F178,TurnOverDiff2,2,TRUE)</f>
        <v>Medium</v>
      </c>
      <c r="G177" t="str">
        <f>NFLDataSet!G178</f>
        <v>W</v>
      </c>
    </row>
    <row r="178" spans="1:7" x14ac:dyDescent="0.35">
      <c r="A178" t="str">
        <f>NFLDataSet!A179</f>
        <v>H</v>
      </c>
      <c r="B178" t="str">
        <f>VLOOKUP(NFLDataSet!B179,FirstDownDiff2,2,TRUE)</f>
        <v>Medium</v>
      </c>
      <c r="C178" t="str">
        <f>VLOOKUP(NFLDataSet!C179,TotalYardDiff2,2,TRUE)</f>
        <v>Medium</v>
      </c>
      <c r="D178" t="str">
        <f>VLOOKUP(NFLDataSet!D179,PassYardsDiff2,2,TRUE)</f>
        <v>Medium</v>
      </c>
      <c r="E178" t="str">
        <f>VLOOKUP(NFLDataSet!E179,RushYards2,2,TRUE)</f>
        <v>Medium</v>
      </c>
      <c r="F178" t="str">
        <f>VLOOKUP(NFLDataSet!F179,TurnOverDiff2,2,TRUE)</f>
        <v>Medium</v>
      </c>
      <c r="G178" t="str">
        <f>NFLDataSet!G179</f>
        <v>W</v>
      </c>
    </row>
    <row r="179" spans="1:7" x14ac:dyDescent="0.35">
      <c r="A179" t="str">
        <f>NFLDataSet!A180</f>
        <v>H</v>
      </c>
      <c r="B179" t="str">
        <f>VLOOKUP(NFLDataSet!B180,FirstDownDiff2,2,TRUE)</f>
        <v>High</v>
      </c>
      <c r="C179" t="str">
        <f>VLOOKUP(NFLDataSet!C180,TotalYardDiff2,2,TRUE)</f>
        <v>High</v>
      </c>
      <c r="D179" t="str">
        <f>VLOOKUP(NFLDataSet!D180,PassYardsDiff2,2,TRUE)</f>
        <v>Medium</v>
      </c>
      <c r="E179" t="str">
        <f>VLOOKUP(NFLDataSet!E180,RushYards2,2,TRUE)</f>
        <v>High</v>
      </c>
      <c r="F179" t="str">
        <f>VLOOKUP(NFLDataSet!F180,TurnOverDiff2,2,TRUE)</f>
        <v>Medium</v>
      </c>
      <c r="G179" t="str">
        <f>NFLDataSet!G180</f>
        <v>W</v>
      </c>
    </row>
    <row r="180" spans="1:7" x14ac:dyDescent="0.35">
      <c r="A180" t="str">
        <f>NFLDataSet!A181</f>
        <v>A</v>
      </c>
      <c r="B180" t="str">
        <f>VLOOKUP(NFLDataSet!B181,FirstDownDiff2,2,TRUE)</f>
        <v>Medium</v>
      </c>
      <c r="C180" t="str">
        <f>VLOOKUP(NFLDataSet!C181,TotalYardDiff2,2,TRUE)</f>
        <v>High</v>
      </c>
      <c r="D180" t="str">
        <f>VLOOKUP(NFLDataSet!D181,PassYardsDiff2,2,TRUE)</f>
        <v>Medium</v>
      </c>
      <c r="E180" t="str">
        <f>VLOOKUP(NFLDataSet!E181,RushYards2,2,TRUE)</f>
        <v>High</v>
      </c>
      <c r="F180" t="str">
        <f>VLOOKUP(NFLDataSet!F181,TurnOverDiff2,2,TRUE)</f>
        <v>Medium</v>
      </c>
      <c r="G180" t="str">
        <f>NFLDataSet!G181</f>
        <v>W</v>
      </c>
    </row>
    <row r="181" spans="1:7" x14ac:dyDescent="0.35">
      <c r="A181" t="str">
        <f>NFLDataSet!A182</f>
        <v>H</v>
      </c>
      <c r="B181" t="str">
        <f>VLOOKUP(NFLDataSet!B182,FirstDownDiff2,2,TRUE)</f>
        <v>High</v>
      </c>
      <c r="C181" t="str">
        <f>VLOOKUP(NFLDataSet!C182,TotalYardDiff2,2,TRUE)</f>
        <v>High</v>
      </c>
      <c r="D181" t="str">
        <f>VLOOKUP(NFLDataSet!D182,PassYardsDiff2,2,TRUE)</f>
        <v>High</v>
      </c>
      <c r="E181" t="str">
        <f>VLOOKUP(NFLDataSet!E182,RushYards2,2,TRUE)</f>
        <v>Medium</v>
      </c>
      <c r="F181" t="str">
        <f>VLOOKUP(NFLDataSet!F182,TurnOverDiff2,2,TRUE)</f>
        <v>Medium</v>
      </c>
      <c r="G181" t="str">
        <f>NFLDataSet!G182</f>
        <v>W</v>
      </c>
    </row>
    <row r="182" spans="1:7" x14ac:dyDescent="0.35">
      <c r="A182" t="str">
        <f>NFLDataSet!A183</f>
        <v>A</v>
      </c>
      <c r="B182" t="str">
        <f>VLOOKUP(NFLDataSet!B183,FirstDownDiff2,2,TRUE)</f>
        <v>Medium</v>
      </c>
      <c r="C182" t="str">
        <f>VLOOKUP(NFLDataSet!C183,TotalYardDiff2,2,TRUE)</f>
        <v>High</v>
      </c>
      <c r="D182" t="str">
        <f>VLOOKUP(NFLDataSet!D183,PassYardsDiff2,2,TRUE)</f>
        <v>Medium</v>
      </c>
      <c r="E182" t="str">
        <f>VLOOKUP(NFLDataSet!E183,RushYards2,2,TRUE)</f>
        <v>High</v>
      </c>
      <c r="F182" t="str">
        <f>VLOOKUP(NFLDataSet!F183,TurnOverDiff2,2,TRUE)</f>
        <v>Medium</v>
      </c>
      <c r="G182" t="str">
        <f>NFLDataSet!G183</f>
        <v>L</v>
      </c>
    </row>
    <row r="183" spans="1:7" x14ac:dyDescent="0.35">
      <c r="A183" t="str">
        <f>NFLDataSet!A184</f>
        <v>H</v>
      </c>
      <c r="B183" t="str">
        <f>VLOOKUP(NFLDataSet!B184,FirstDownDiff2,2,TRUE)</f>
        <v>Medium</v>
      </c>
      <c r="C183" t="str">
        <f>VLOOKUP(NFLDataSet!C184,TotalYardDiff2,2,TRUE)</f>
        <v>Medium</v>
      </c>
      <c r="D183" t="str">
        <f>VLOOKUP(NFLDataSet!D184,PassYardsDiff2,2,TRUE)</f>
        <v>Low</v>
      </c>
      <c r="E183" t="str">
        <f>VLOOKUP(NFLDataSet!E184,RushYards2,2,TRUE)</f>
        <v>Medium</v>
      </c>
      <c r="F183" t="str">
        <f>VLOOKUP(NFLDataSet!F184,TurnOverDiff2,2,TRUE)</f>
        <v>Medium</v>
      </c>
      <c r="G183" t="str">
        <f>NFLDataSet!G184</f>
        <v>W</v>
      </c>
    </row>
    <row r="184" spans="1:7" x14ac:dyDescent="0.35">
      <c r="A184" t="str">
        <f>NFLDataSet!A185</f>
        <v>A</v>
      </c>
      <c r="B184" t="str">
        <f>VLOOKUP(NFLDataSet!B185,FirstDownDiff2,2,TRUE)</f>
        <v>High</v>
      </c>
      <c r="C184" t="str">
        <f>VLOOKUP(NFLDataSet!C185,TotalYardDiff2,2,TRUE)</f>
        <v>High</v>
      </c>
      <c r="D184" t="str">
        <f>VLOOKUP(NFLDataSet!D185,PassYardsDiff2,2,TRUE)</f>
        <v>High</v>
      </c>
      <c r="E184" t="str">
        <f>VLOOKUP(NFLDataSet!E185,RushYards2,2,TRUE)</f>
        <v>Medium</v>
      </c>
      <c r="F184" t="str">
        <f>VLOOKUP(NFLDataSet!F185,TurnOverDiff2,2,TRUE)</f>
        <v>Medium</v>
      </c>
      <c r="G184" t="str">
        <f>NFLDataSet!G185</f>
        <v>W</v>
      </c>
    </row>
    <row r="185" spans="1:7" x14ac:dyDescent="0.35">
      <c r="A185" t="str">
        <f>NFLDataSet!A186</f>
        <v>H</v>
      </c>
      <c r="B185" t="str">
        <f>VLOOKUP(NFLDataSet!B186,FirstDownDiff2,2,TRUE)</f>
        <v>High</v>
      </c>
      <c r="C185" t="str">
        <f>VLOOKUP(NFLDataSet!C186,TotalYardDiff2,2,TRUE)</f>
        <v>High</v>
      </c>
      <c r="D185" t="str">
        <f>VLOOKUP(NFLDataSet!D186,PassYardsDiff2,2,TRUE)</f>
        <v>High</v>
      </c>
      <c r="E185" t="str">
        <f>VLOOKUP(NFLDataSet!E186,RushYards2,2,TRUE)</f>
        <v>Medium</v>
      </c>
      <c r="F185" t="str">
        <f>VLOOKUP(NFLDataSet!F186,TurnOverDiff2,2,TRUE)</f>
        <v>High</v>
      </c>
      <c r="G185" t="str">
        <f>NFLDataSet!G186</f>
        <v>L</v>
      </c>
    </row>
    <row r="186" spans="1:7" x14ac:dyDescent="0.35">
      <c r="A186" t="str">
        <f>NFLDataSet!A187</f>
        <v>A</v>
      </c>
      <c r="B186" t="str">
        <f>VLOOKUP(NFLDataSet!B187,FirstDownDiff2,2,TRUE)</f>
        <v>Medium</v>
      </c>
      <c r="C186" t="str">
        <f>VLOOKUP(NFLDataSet!C187,TotalYardDiff2,2,TRUE)</f>
        <v>Medium</v>
      </c>
      <c r="D186" t="str">
        <f>VLOOKUP(NFLDataSet!D187,PassYardsDiff2,2,TRUE)</f>
        <v>High</v>
      </c>
      <c r="E186" t="str">
        <f>VLOOKUP(NFLDataSet!E187,RushYards2,2,TRUE)</f>
        <v>Medium</v>
      </c>
      <c r="F186" t="str">
        <f>VLOOKUP(NFLDataSet!F187,TurnOverDiff2,2,TRUE)</f>
        <v>Medium</v>
      </c>
      <c r="G186" t="str">
        <f>NFLDataSet!G187</f>
        <v>W</v>
      </c>
    </row>
    <row r="187" spans="1:7" x14ac:dyDescent="0.35">
      <c r="A187" t="str">
        <f>NFLDataSet!A188</f>
        <v>H</v>
      </c>
      <c r="B187" t="str">
        <f>VLOOKUP(NFLDataSet!B188,FirstDownDiff2,2,TRUE)</f>
        <v>High</v>
      </c>
      <c r="C187" t="str">
        <f>VLOOKUP(NFLDataSet!C188,TotalYardDiff2,2,TRUE)</f>
        <v>High</v>
      </c>
      <c r="D187" t="str">
        <f>VLOOKUP(NFLDataSet!D188,PassYardsDiff2,2,TRUE)</f>
        <v>High</v>
      </c>
      <c r="E187" t="str">
        <f>VLOOKUP(NFLDataSet!E188,RushYards2,2,TRUE)</f>
        <v>Medium</v>
      </c>
      <c r="F187" t="str">
        <f>VLOOKUP(NFLDataSet!F188,TurnOverDiff2,2,TRUE)</f>
        <v>Medium</v>
      </c>
      <c r="G187" t="str">
        <f>NFLDataSet!G188</f>
        <v>W</v>
      </c>
    </row>
    <row r="188" spans="1:7" x14ac:dyDescent="0.35">
      <c r="A188" t="str">
        <f>NFLDataSet!A189</f>
        <v>H</v>
      </c>
      <c r="B188" t="str">
        <f>VLOOKUP(NFLDataSet!B189,FirstDownDiff2,2,TRUE)</f>
        <v>Medium</v>
      </c>
      <c r="C188" t="str">
        <f>VLOOKUP(NFLDataSet!C189,TotalYardDiff2,2,TRUE)</f>
        <v>Medium</v>
      </c>
      <c r="D188" t="str">
        <f>VLOOKUP(NFLDataSet!D189,PassYardsDiff2,2,TRUE)</f>
        <v>Medium</v>
      </c>
      <c r="E188" t="str">
        <f>VLOOKUP(NFLDataSet!E189,RushYards2,2,TRUE)</f>
        <v>Medium</v>
      </c>
      <c r="F188" t="str">
        <f>VLOOKUP(NFLDataSet!F189,TurnOverDiff2,2,TRUE)</f>
        <v>Medium</v>
      </c>
      <c r="G188" t="str">
        <f>NFLDataSet!G189</f>
        <v>W</v>
      </c>
    </row>
    <row r="189" spans="1:7" x14ac:dyDescent="0.35">
      <c r="A189" t="str">
        <f>NFLDataSet!A190</f>
        <v>A</v>
      </c>
      <c r="B189" t="str">
        <f>VLOOKUP(NFLDataSet!B190,FirstDownDiff2,2,TRUE)</f>
        <v>Medium</v>
      </c>
      <c r="C189" t="str">
        <f>VLOOKUP(NFLDataSet!C190,TotalYardDiff2,2,TRUE)</f>
        <v>Medium</v>
      </c>
      <c r="D189" t="str">
        <f>VLOOKUP(NFLDataSet!D190,PassYardsDiff2,2,TRUE)</f>
        <v>Medium</v>
      </c>
      <c r="E189" t="str">
        <f>VLOOKUP(NFLDataSet!E190,RushYards2,2,TRUE)</f>
        <v>Medium</v>
      </c>
      <c r="F189" t="str">
        <f>VLOOKUP(NFLDataSet!F190,TurnOverDiff2,2,TRUE)</f>
        <v>High</v>
      </c>
      <c r="G189" t="str">
        <f>NFLDataSet!G190</f>
        <v>L</v>
      </c>
    </row>
    <row r="190" spans="1:7" x14ac:dyDescent="0.35">
      <c r="A190" t="str">
        <f>NFLDataSet!A191</f>
        <v>A</v>
      </c>
      <c r="B190" t="str">
        <f>VLOOKUP(NFLDataSet!B191,FirstDownDiff2,2,TRUE)</f>
        <v>Low</v>
      </c>
      <c r="C190" t="str">
        <f>VLOOKUP(NFLDataSet!C191,TotalYardDiff2,2,TRUE)</f>
        <v>Low</v>
      </c>
      <c r="D190" t="str">
        <f>VLOOKUP(NFLDataSet!D191,PassYardsDiff2,2,TRUE)</f>
        <v>Low</v>
      </c>
      <c r="E190" t="str">
        <f>VLOOKUP(NFLDataSet!E191,RushYards2,2,TRUE)</f>
        <v>Low</v>
      </c>
      <c r="F190" t="str">
        <f>VLOOKUP(NFLDataSet!F191,TurnOverDiff2,2,TRUE)</f>
        <v>Medium</v>
      </c>
      <c r="G190" t="str">
        <f>NFLDataSet!G191</f>
        <v>L</v>
      </c>
    </row>
    <row r="191" spans="1:7" x14ac:dyDescent="0.35">
      <c r="A191" t="str">
        <f>NFLDataSet!A192</f>
        <v>H</v>
      </c>
      <c r="B191" t="str">
        <f>VLOOKUP(NFLDataSet!B192,FirstDownDiff2,2,TRUE)</f>
        <v>Low</v>
      </c>
      <c r="C191" t="str">
        <f>VLOOKUP(NFLDataSet!C192,TotalYardDiff2,2,TRUE)</f>
        <v>Low</v>
      </c>
      <c r="D191" t="str">
        <f>VLOOKUP(NFLDataSet!D192,PassYardsDiff2,2,TRUE)</f>
        <v>Low</v>
      </c>
      <c r="E191" t="str">
        <f>VLOOKUP(NFLDataSet!E192,RushYards2,2,TRUE)</f>
        <v>Medium</v>
      </c>
      <c r="F191" t="str">
        <f>VLOOKUP(NFLDataSet!F192,TurnOverDiff2,2,TRUE)</f>
        <v>Medium</v>
      </c>
      <c r="G191" t="str">
        <f>NFLDataSet!G192</f>
        <v>W</v>
      </c>
    </row>
    <row r="192" spans="1:7" x14ac:dyDescent="0.35">
      <c r="A192" t="str">
        <f>NFLDataSet!A193</f>
        <v>A</v>
      </c>
      <c r="B192" t="str">
        <f>VLOOKUP(NFLDataSet!B193,FirstDownDiff2,2,TRUE)</f>
        <v>Medium</v>
      </c>
      <c r="C192" t="str">
        <f>VLOOKUP(NFLDataSet!C193,TotalYardDiff2,2,TRUE)</f>
        <v>Medium</v>
      </c>
      <c r="D192" t="str">
        <f>VLOOKUP(NFLDataSet!D193,PassYardsDiff2,2,TRUE)</f>
        <v>Medium</v>
      </c>
      <c r="E192" t="str">
        <f>VLOOKUP(NFLDataSet!E193,RushYards2,2,TRUE)</f>
        <v>Medium</v>
      </c>
      <c r="F192" t="str">
        <f>VLOOKUP(NFLDataSet!F193,TurnOverDiff2,2,TRUE)</f>
        <v>Medium</v>
      </c>
      <c r="G192" t="str">
        <f>NFLDataSet!G193</f>
        <v>L</v>
      </c>
    </row>
    <row r="193" spans="1:7" x14ac:dyDescent="0.35">
      <c r="A193" t="str">
        <f>NFLDataSet!A194</f>
        <v>H</v>
      </c>
      <c r="B193" t="str">
        <f>VLOOKUP(NFLDataSet!B194,FirstDownDiff2,2,TRUE)</f>
        <v>Medium</v>
      </c>
      <c r="C193" t="str">
        <f>VLOOKUP(NFLDataSet!C194,TotalYardDiff2,2,TRUE)</f>
        <v>High</v>
      </c>
      <c r="D193" t="str">
        <f>VLOOKUP(NFLDataSet!D194,PassYardsDiff2,2,TRUE)</f>
        <v>Medium</v>
      </c>
      <c r="E193" t="str">
        <f>VLOOKUP(NFLDataSet!E194,RushYards2,2,TRUE)</f>
        <v>High</v>
      </c>
      <c r="F193" t="str">
        <f>VLOOKUP(NFLDataSet!F194,TurnOverDiff2,2,TRUE)</f>
        <v>Medium</v>
      </c>
      <c r="G193" t="str">
        <f>NFLDataSet!G194</f>
        <v>W</v>
      </c>
    </row>
    <row r="194" spans="1:7" x14ac:dyDescent="0.35">
      <c r="A194" t="str">
        <f>NFLDataSet!A195</f>
        <v>A</v>
      </c>
      <c r="B194" t="str">
        <f>VLOOKUP(NFLDataSet!B195,FirstDownDiff2,2,TRUE)</f>
        <v>High</v>
      </c>
      <c r="C194" t="str">
        <f>VLOOKUP(NFLDataSet!C195,TotalYardDiff2,2,TRUE)</f>
        <v>Medium</v>
      </c>
      <c r="D194" t="str">
        <f>VLOOKUP(NFLDataSet!D195,PassYardsDiff2,2,TRUE)</f>
        <v>High</v>
      </c>
      <c r="E194" t="str">
        <f>VLOOKUP(NFLDataSet!E195,RushYards2,2,TRUE)</f>
        <v>Medium</v>
      </c>
      <c r="F194" t="str">
        <f>VLOOKUP(NFLDataSet!F195,TurnOverDiff2,2,TRUE)</f>
        <v>Medium</v>
      </c>
      <c r="G194" t="str">
        <f>NFLDataSet!G195</f>
        <v>L</v>
      </c>
    </row>
    <row r="195" spans="1:7" x14ac:dyDescent="0.35">
      <c r="A195" t="str">
        <f>NFLDataSet!A196</f>
        <v>A</v>
      </c>
      <c r="B195" t="str">
        <f>VLOOKUP(NFLDataSet!B196,FirstDownDiff2,2,TRUE)</f>
        <v>High</v>
      </c>
      <c r="C195" t="str">
        <f>VLOOKUP(NFLDataSet!C196,TotalYardDiff2,2,TRUE)</f>
        <v>Medium</v>
      </c>
      <c r="D195" t="str">
        <f>VLOOKUP(NFLDataSet!D196,PassYardsDiff2,2,TRUE)</f>
        <v>Low</v>
      </c>
      <c r="E195" t="str">
        <f>VLOOKUP(NFLDataSet!E196,RushYards2,2,TRUE)</f>
        <v>High</v>
      </c>
      <c r="F195" t="str">
        <f>VLOOKUP(NFLDataSet!F196,TurnOverDiff2,2,TRUE)</f>
        <v>Medium</v>
      </c>
      <c r="G195" t="str">
        <f>NFLDataSet!G196</f>
        <v>W</v>
      </c>
    </row>
    <row r="196" spans="1:7" x14ac:dyDescent="0.35">
      <c r="A196" t="str">
        <f>NFLDataSet!A197</f>
        <v>H</v>
      </c>
      <c r="B196" t="str">
        <f>VLOOKUP(NFLDataSet!B197,FirstDownDiff2,2,TRUE)</f>
        <v>High</v>
      </c>
      <c r="C196" t="str">
        <f>VLOOKUP(NFLDataSet!C197,TotalYardDiff2,2,TRUE)</f>
        <v>High</v>
      </c>
      <c r="D196" t="str">
        <f>VLOOKUP(NFLDataSet!D197,PassYardsDiff2,2,TRUE)</f>
        <v>High</v>
      </c>
      <c r="E196" t="str">
        <f>VLOOKUP(NFLDataSet!E197,RushYards2,2,TRUE)</f>
        <v>Medium</v>
      </c>
      <c r="F196" t="str">
        <f>VLOOKUP(NFLDataSet!F197,TurnOverDiff2,2,TRUE)</f>
        <v>Medium</v>
      </c>
      <c r="G196" t="str">
        <f>NFLDataSet!G197</f>
        <v>W</v>
      </c>
    </row>
    <row r="197" spans="1:7" x14ac:dyDescent="0.35">
      <c r="A197" t="str">
        <f>NFLDataSet!A198</f>
        <v>H</v>
      </c>
      <c r="B197" t="str">
        <f>VLOOKUP(NFLDataSet!B198,FirstDownDiff2,2,TRUE)</f>
        <v>High</v>
      </c>
      <c r="C197" t="str">
        <f>VLOOKUP(NFLDataSet!C198,TotalYardDiff2,2,TRUE)</f>
        <v>Medium</v>
      </c>
      <c r="D197" t="str">
        <f>VLOOKUP(NFLDataSet!D198,PassYardsDiff2,2,TRUE)</f>
        <v>Medium</v>
      </c>
      <c r="E197" t="str">
        <f>VLOOKUP(NFLDataSet!E198,RushYards2,2,TRUE)</f>
        <v>High</v>
      </c>
      <c r="F197" t="str">
        <f>VLOOKUP(NFLDataSet!F198,TurnOverDiff2,2,TRUE)</f>
        <v>Medium</v>
      </c>
      <c r="G197" t="str">
        <f>NFLDataSet!G198</f>
        <v>W</v>
      </c>
    </row>
    <row r="198" spans="1:7" x14ac:dyDescent="0.35">
      <c r="A198" t="str">
        <f>NFLDataSet!A199</f>
        <v>A</v>
      </c>
      <c r="B198" t="str">
        <f>VLOOKUP(NFLDataSet!B199,FirstDownDiff2,2,TRUE)</f>
        <v>High</v>
      </c>
      <c r="C198" t="str">
        <f>VLOOKUP(NFLDataSet!C199,TotalYardDiff2,2,TRUE)</f>
        <v>High</v>
      </c>
      <c r="D198" t="str">
        <f>VLOOKUP(NFLDataSet!D199,PassYardsDiff2,2,TRUE)</f>
        <v>High</v>
      </c>
      <c r="E198" t="str">
        <f>VLOOKUP(NFLDataSet!E199,RushYards2,2,TRUE)</f>
        <v>Medium</v>
      </c>
      <c r="F198" t="str">
        <f>VLOOKUP(NFLDataSet!F199,TurnOverDiff2,2,TRUE)</f>
        <v>Medium</v>
      </c>
      <c r="G198" t="str">
        <f>NFLDataSet!G199</f>
        <v>W</v>
      </c>
    </row>
    <row r="199" spans="1:7" x14ac:dyDescent="0.35">
      <c r="A199" t="str">
        <f>NFLDataSet!A200</f>
        <v>A</v>
      </c>
      <c r="B199" t="str">
        <f>VLOOKUP(NFLDataSet!B200,FirstDownDiff2,2,TRUE)</f>
        <v>Medium</v>
      </c>
      <c r="C199" t="str">
        <f>VLOOKUP(NFLDataSet!C200,TotalYardDiff2,2,TRUE)</f>
        <v>High</v>
      </c>
      <c r="D199" t="str">
        <f>VLOOKUP(NFLDataSet!D200,PassYardsDiff2,2,TRUE)</f>
        <v>Low</v>
      </c>
      <c r="E199" t="str">
        <f>VLOOKUP(NFLDataSet!E200,RushYards2,2,TRUE)</f>
        <v>High</v>
      </c>
      <c r="F199" t="str">
        <f>VLOOKUP(NFLDataSet!F200,TurnOverDiff2,2,TRUE)</f>
        <v>Medium</v>
      </c>
      <c r="G199" t="str">
        <f>NFLDataSet!G200</f>
        <v>W</v>
      </c>
    </row>
    <row r="200" spans="1:7" x14ac:dyDescent="0.35">
      <c r="A200" t="str">
        <f>NFLDataSet!A201</f>
        <v>H</v>
      </c>
      <c r="B200" t="str">
        <f>VLOOKUP(NFLDataSet!B201,FirstDownDiff2,2,TRUE)</f>
        <v>Medium</v>
      </c>
      <c r="C200" t="str">
        <f>VLOOKUP(NFLDataSet!C201,TotalYardDiff2,2,TRUE)</f>
        <v>Medium</v>
      </c>
      <c r="D200" t="str">
        <f>VLOOKUP(NFLDataSet!D201,PassYardsDiff2,2,TRUE)</f>
        <v>Medium</v>
      </c>
      <c r="E200" t="str">
        <f>VLOOKUP(NFLDataSet!E201,RushYards2,2,TRUE)</f>
        <v>Low</v>
      </c>
      <c r="F200" t="str">
        <f>VLOOKUP(NFLDataSet!F201,TurnOverDiff2,2,TRUE)</f>
        <v>Medium</v>
      </c>
      <c r="G200" t="str">
        <f>NFLDataSet!G201</f>
        <v>L</v>
      </c>
    </row>
    <row r="201" spans="1:7" x14ac:dyDescent="0.35">
      <c r="A201" t="str">
        <f>NFLDataSet!A202</f>
        <v>A</v>
      </c>
      <c r="B201" t="str">
        <f>VLOOKUP(NFLDataSet!B202,FirstDownDiff2,2,TRUE)</f>
        <v>High</v>
      </c>
      <c r="C201" t="str">
        <f>VLOOKUP(NFLDataSet!C202,TotalYardDiff2,2,TRUE)</f>
        <v>High</v>
      </c>
      <c r="D201" t="str">
        <f>VLOOKUP(NFLDataSet!D202,PassYardsDiff2,2,TRUE)</f>
        <v>High</v>
      </c>
      <c r="E201" t="str">
        <f>VLOOKUP(NFLDataSet!E202,RushYards2,2,TRUE)</f>
        <v>High</v>
      </c>
      <c r="F201" t="str">
        <f>VLOOKUP(NFLDataSet!F202,TurnOverDiff2,2,TRUE)</f>
        <v>Medium</v>
      </c>
      <c r="G201" t="str">
        <f>NFLDataSet!G202</f>
        <v>W</v>
      </c>
    </row>
    <row r="202" spans="1:7" x14ac:dyDescent="0.35">
      <c r="A202" t="str">
        <f>NFLDataSet!A203</f>
        <v>H</v>
      </c>
      <c r="B202" t="str">
        <f>VLOOKUP(NFLDataSet!B203,FirstDownDiff2,2,TRUE)</f>
        <v>Medium</v>
      </c>
      <c r="C202" t="str">
        <f>VLOOKUP(NFLDataSet!C203,TotalYardDiff2,2,TRUE)</f>
        <v>Medium</v>
      </c>
      <c r="D202" t="str">
        <f>VLOOKUP(NFLDataSet!D203,PassYardsDiff2,2,TRUE)</f>
        <v>High</v>
      </c>
      <c r="E202" t="str">
        <f>VLOOKUP(NFLDataSet!E203,RushYards2,2,TRUE)</f>
        <v>Medium</v>
      </c>
      <c r="F202" t="str">
        <f>VLOOKUP(NFLDataSet!F203,TurnOverDiff2,2,TRUE)</f>
        <v>High</v>
      </c>
      <c r="G202" t="str">
        <f>NFLDataSet!G203</f>
        <v>L</v>
      </c>
    </row>
    <row r="203" spans="1:7" x14ac:dyDescent="0.35">
      <c r="A203" t="str">
        <f>NFLDataSet!A204</f>
        <v>H</v>
      </c>
      <c r="B203" t="str">
        <f>VLOOKUP(NFLDataSet!B204,FirstDownDiff2,2,TRUE)</f>
        <v>Medium</v>
      </c>
      <c r="C203" t="str">
        <f>VLOOKUP(NFLDataSet!C204,TotalYardDiff2,2,TRUE)</f>
        <v>Medium</v>
      </c>
      <c r="D203" t="str">
        <f>VLOOKUP(NFLDataSet!D204,PassYardsDiff2,2,TRUE)</f>
        <v>Medium</v>
      </c>
      <c r="E203" t="str">
        <f>VLOOKUP(NFLDataSet!E204,RushYards2,2,TRUE)</f>
        <v>Medium</v>
      </c>
      <c r="F203" t="str">
        <f>VLOOKUP(NFLDataSet!F204,TurnOverDiff2,2,TRUE)</f>
        <v>Medium</v>
      </c>
      <c r="G203" t="str">
        <f>NFLDataSet!G204</f>
        <v>L</v>
      </c>
    </row>
    <row r="204" spans="1:7" x14ac:dyDescent="0.35">
      <c r="A204" t="str">
        <f>NFLDataSet!A205</f>
        <v>H</v>
      </c>
      <c r="B204" t="str">
        <f>VLOOKUP(NFLDataSet!B205,FirstDownDiff2,2,TRUE)</f>
        <v>Medium</v>
      </c>
      <c r="C204" t="str">
        <f>VLOOKUP(NFLDataSet!C205,TotalYardDiff2,2,TRUE)</f>
        <v>Medium</v>
      </c>
      <c r="D204" t="str">
        <f>VLOOKUP(NFLDataSet!D205,PassYardsDiff2,2,TRUE)</f>
        <v>Medium</v>
      </c>
      <c r="E204" t="str">
        <f>VLOOKUP(NFLDataSet!E205,RushYards2,2,TRUE)</f>
        <v>Medium</v>
      </c>
      <c r="F204" t="str">
        <f>VLOOKUP(NFLDataSet!F205,TurnOverDiff2,2,TRUE)</f>
        <v>Medium</v>
      </c>
      <c r="G204" t="str">
        <f>NFLDataSet!G205</f>
        <v>L</v>
      </c>
    </row>
    <row r="205" spans="1:7" x14ac:dyDescent="0.35">
      <c r="A205" t="str">
        <f>NFLDataSet!A206</f>
        <v>A</v>
      </c>
      <c r="B205" t="str">
        <f>VLOOKUP(NFLDataSet!B206,FirstDownDiff2,2,TRUE)</f>
        <v>High</v>
      </c>
      <c r="C205" t="str">
        <f>VLOOKUP(NFLDataSet!C206,TotalYardDiff2,2,TRUE)</f>
        <v>Medium</v>
      </c>
      <c r="D205" t="str">
        <f>VLOOKUP(NFLDataSet!D206,PassYardsDiff2,2,TRUE)</f>
        <v>High</v>
      </c>
      <c r="E205" t="str">
        <f>VLOOKUP(NFLDataSet!E206,RushYards2,2,TRUE)</f>
        <v>Medium</v>
      </c>
      <c r="F205" t="str">
        <f>VLOOKUP(NFLDataSet!F206,TurnOverDiff2,2,TRUE)</f>
        <v>Medium</v>
      </c>
      <c r="G205" t="str">
        <f>NFLDataSet!G206</f>
        <v>L</v>
      </c>
    </row>
    <row r="206" spans="1:7" x14ac:dyDescent="0.35">
      <c r="A206" t="str">
        <f>NFLDataSet!A207</f>
        <v>H</v>
      </c>
      <c r="B206" t="str">
        <f>VLOOKUP(NFLDataSet!B207,FirstDownDiff2,2,TRUE)</f>
        <v>Medium</v>
      </c>
      <c r="C206" t="str">
        <f>VLOOKUP(NFLDataSet!C207,TotalYardDiff2,2,TRUE)</f>
        <v>Low</v>
      </c>
      <c r="D206" t="str">
        <f>VLOOKUP(NFLDataSet!D207,PassYardsDiff2,2,TRUE)</f>
        <v>Low</v>
      </c>
      <c r="E206" t="str">
        <f>VLOOKUP(NFLDataSet!E207,RushYards2,2,TRUE)</f>
        <v>Low</v>
      </c>
      <c r="F206" t="str">
        <f>VLOOKUP(NFLDataSet!F207,TurnOverDiff2,2,TRUE)</f>
        <v>Medium</v>
      </c>
      <c r="G206" t="str">
        <f>NFLDataSet!G207</f>
        <v>L</v>
      </c>
    </row>
    <row r="207" spans="1:7" x14ac:dyDescent="0.35">
      <c r="A207" t="str">
        <f>NFLDataSet!A208</f>
        <v>H</v>
      </c>
      <c r="B207" t="str">
        <f>VLOOKUP(NFLDataSet!B208,FirstDownDiff2,2,TRUE)</f>
        <v>Medium</v>
      </c>
      <c r="C207" t="str">
        <f>VLOOKUP(NFLDataSet!C208,TotalYardDiff2,2,TRUE)</f>
        <v>Medium</v>
      </c>
      <c r="D207" t="str">
        <f>VLOOKUP(NFLDataSet!D208,PassYardsDiff2,2,TRUE)</f>
        <v>Medium</v>
      </c>
      <c r="E207" t="str">
        <f>VLOOKUP(NFLDataSet!E208,RushYards2,2,TRUE)</f>
        <v>Medium</v>
      </c>
      <c r="F207" t="str">
        <f>VLOOKUP(NFLDataSet!F208,TurnOverDiff2,2,TRUE)</f>
        <v>High</v>
      </c>
      <c r="G207" t="str">
        <f>NFLDataSet!G208</f>
        <v>L</v>
      </c>
    </row>
    <row r="208" spans="1:7" x14ac:dyDescent="0.35">
      <c r="A208" t="str">
        <f>NFLDataSet!A209</f>
        <v>A</v>
      </c>
      <c r="B208" t="str">
        <f>VLOOKUP(NFLDataSet!B209,FirstDownDiff2,2,TRUE)</f>
        <v>Medium</v>
      </c>
      <c r="C208" t="str">
        <f>VLOOKUP(NFLDataSet!C209,TotalYardDiff2,2,TRUE)</f>
        <v>Medium</v>
      </c>
      <c r="D208" t="str">
        <f>VLOOKUP(NFLDataSet!D209,PassYardsDiff2,2,TRUE)</f>
        <v>Medium</v>
      </c>
      <c r="E208" t="str">
        <f>VLOOKUP(NFLDataSet!E209,RushYards2,2,TRUE)</f>
        <v>Medium</v>
      </c>
      <c r="F208" t="str">
        <f>VLOOKUP(NFLDataSet!F209,TurnOverDiff2,2,TRUE)</f>
        <v>Medium</v>
      </c>
      <c r="G208" t="str">
        <f>NFLDataSet!G209</f>
        <v>W</v>
      </c>
    </row>
    <row r="209" spans="1:7" x14ac:dyDescent="0.35">
      <c r="A209" t="str">
        <f>NFLDataSet!A210</f>
        <v>H</v>
      </c>
      <c r="B209" t="str">
        <f>VLOOKUP(NFLDataSet!B210,FirstDownDiff2,2,TRUE)</f>
        <v>Low</v>
      </c>
      <c r="C209" t="str">
        <f>VLOOKUP(NFLDataSet!C210,TotalYardDiff2,2,TRUE)</f>
        <v>Low</v>
      </c>
      <c r="D209" t="str">
        <f>VLOOKUP(NFLDataSet!D210,PassYardsDiff2,2,TRUE)</f>
        <v>Low</v>
      </c>
      <c r="E209" t="str">
        <f>VLOOKUP(NFLDataSet!E210,RushYards2,2,TRUE)</f>
        <v>Medium</v>
      </c>
      <c r="F209" t="str">
        <f>VLOOKUP(NFLDataSet!F210,TurnOverDiff2,2,TRUE)</f>
        <v>Medium</v>
      </c>
      <c r="G209" t="str">
        <f>NFLDataSet!G210</f>
        <v>L</v>
      </c>
    </row>
    <row r="210" spans="1:7" x14ac:dyDescent="0.35">
      <c r="A210" t="str">
        <f>NFLDataSet!A211</f>
        <v>H</v>
      </c>
      <c r="B210" t="str">
        <f>VLOOKUP(NFLDataSet!B211,FirstDownDiff2,2,TRUE)</f>
        <v>Medium</v>
      </c>
      <c r="C210" t="str">
        <f>VLOOKUP(NFLDataSet!C211,TotalYardDiff2,2,TRUE)</f>
        <v>Medium</v>
      </c>
      <c r="D210" t="str">
        <f>VLOOKUP(NFLDataSet!D211,PassYardsDiff2,2,TRUE)</f>
        <v>High</v>
      </c>
      <c r="E210" t="str">
        <f>VLOOKUP(NFLDataSet!E211,RushYards2,2,TRUE)</f>
        <v>Medium</v>
      </c>
      <c r="F210" t="str">
        <f>VLOOKUP(NFLDataSet!F211,TurnOverDiff2,2,TRUE)</f>
        <v>Medium</v>
      </c>
      <c r="G210" t="str">
        <f>NFLDataSet!G211</f>
        <v>W</v>
      </c>
    </row>
    <row r="211" spans="1:7" x14ac:dyDescent="0.35">
      <c r="A211" t="str">
        <f>NFLDataSet!A212</f>
        <v>A</v>
      </c>
      <c r="B211" t="str">
        <f>VLOOKUP(NFLDataSet!B212,FirstDownDiff2,2,TRUE)</f>
        <v>Medium</v>
      </c>
      <c r="C211" t="str">
        <f>VLOOKUP(NFLDataSet!C212,TotalYardDiff2,2,TRUE)</f>
        <v>Medium</v>
      </c>
      <c r="D211" t="str">
        <f>VLOOKUP(NFLDataSet!D212,PassYardsDiff2,2,TRUE)</f>
        <v>Medium</v>
      </c>
      <c r="E211" t="str">
        <f>VLOOKUP(NFLDataSet!E212,RushYards2,2,TRUE)</f>
        <v>Medium</v>
      </c>
      <c r="F211" t="str">
        <f>VLOOKUP(NFLDataSet!F212,TurnOverDiff2,2,TRUE)</f>
        <v>Medium</v>
      </c>
      <c r="G211" t="str">
        <f>NFLDataSet!G212</f>
        <v>W</v>
      </c>
    </row>
    <row r="212" spans="1:7" x14ac:dyDescent="0.35">
      <c r="A212" t="str">
        <f>NFLDataSet!A213</f>
        <v>H</v>
      </c>
      <c r="B212" t="str">
        <f>VLOOKUP(NFLDataSet!B213,FirstDownDiff2,2,TRUE)</f>
        <v>Medium</v>
      </c>
      <c r="C212" t="str">
        <f>VLOOKUP(NFLDataSet!C213,TotalYardDiff2,2,TRUE)</f>
        <v>Medium</v>
      </c>
      <c r="D212" t="str">
        <f>VLOOKUP(NFLDataSet!D213,PassYardsDiff2,2,TRUE)</f>
        <v>Medium</v>
      </c>
      <c r="E212" t="str">
        <f>VLOOKUP(NFLDataSet!E213,RushYards2,2,TRUE)</f>
        <v>Medium</v>
      </c>
      <c r="F212" t="str">
        <f>VLOOKUP(NFLDataSet!F213,TurnOverDiff2,2,TRUE)</f>
        <v>Medium</v>
      </c>
      <c r="G212" t="str">
        <f>NFLDataSet!G213</f>
        <v>W</v>
      </c>
    </row>
    <row r="213" spans="1:7" x14ac:dyDescent="0.35">
      <c r="A213" t="str">
        <f>NFLDataSet!A214</f>
        <v>H</v>
      </c>
      <c r="B213" t="str">
        <f>VLOOKUP(NFLDataSet!B214,FirstDownDiff2,2,TRUE)</f>
        <v>Medium</v>
      </c>
      <c r="C213" t="str">
        <f>VLOOKUP(NFLDataSet!C214,TotalYardDiff2,2,TRUE)</f>
        <v>Medium</v>
      </c>
      <c r="D213" t="str">
        <f>VLOOKUP(NFLDataSet!D214,PassYardsDiff2,2,TRUE)</f>
        <v>Low</v>
      </c>
      <c r="E213" t="str">
        <f>VLOOKUP(NFLDataSet!E214,RushYards2,2,TRUE)</f>
        <v>Medium</v>
      </c>
      <c r="F213" t="str">
        <f>VLOOKUP(NFLDataSet!F214,TurnOverDiff2,2,TRUE)</f>
        <v>Medium</v>
      </c>
      <c r="G213" t="str">
        <f>NFLDataSet!G214</f>
        <v>L</v>
      </c>
    </row>
    <row r="214" spans="1:7" x14ac:dyDescent="0.35">
      <c r="A214" t="str">
        <f>NFLDataSet!A215</f>
        <v>A</v>
      </c>
      <c r="B214" t="str">
        <f>VLOOKUP(NFLDataSet!B215,FirstDownDiff2,2,TRUE)</f>
        <v>Low</v>
      </c>
      <c r="C214" t="str">
        <f>VLOOKUP(NFLDataSet!C215,TotalYardDiff2,2,TRUE)</f>
        <v>Low</v>
      </c>
      <c r="D214" t="str">
        <f>VLOOKUP(NFLDataSet!D215,PassYardsDiff2,2,TRUE)</f>
        <v>Medium</v>
      </c>
      <c r="E214" t="str">
        <f>VLOOKUP(NFLDataSet!E215,RushYards2,2,TRUE)</f>
        <v>Medium</v>
      </c>
      <c r="F214" t="str">
        <f>VLOOKUP(NFLDataSet!F215,TurnOverDiff2,2,TRUE)</f>
        <v>Medium</v>
      </c>
      <c r="G214" t="str">
        <f>NFLDataSet!G215</f>
        <v>W</v>
      </c>
    </row>
    <row r="215" spans="1:7" x14ac:dyDescent="0.35">
      <c r="A215" t="str">
        <f>NFLDataSet!A216</f>
        <v>A</v>
      </c>
      <c r="B215" t="str">
        <f>VLOOKUP(NFLDataSet!B216,FirstDownDiff2,2,TRUE)</f>
        <v>High</v>
      </c>
      <c r="C215" t="str">
        <f>VLOOKUP(NFLDataSet!C216,TotalYardDiff2,2,TRUE)</f>
        <v>Medium</v>
      </c>
      <c r="D215" t="str">
        <f>VLOOKUP(NFLDataSet!D216,PassYardsDiff2,2,TRUE)</f>
        <v>High</v>
      </c>
      <c r="E215" t="str">
        <f>VLOOKUP(NFLDataSet!E216,RushYards2,2,TRUE)</f>
        <v>Low</v>
      </c>
      <c r="F215" t="str">
        <f>VLOOKUP(NFLDataSet!F216,TurnOverDiff2,2,TRUE)</f>
        <v>High</v>
      </c>
      <c r="G215" t="str">
        <f>NFLDataSet!G216</f>
        <v>L</v>
      </c>
    </row>
    <row r="216" spans="1:7" x14ac:dyDescent="0.35">
      <c r="A216" t="str">
        <f>NFLDataSet!A217</f>
        <v>H</v>
      </c>
      <c r="B216" t="str">
        <f>VLOOKUP(NFLDataSet!B217,FirstDownDiff2,2,TRUE)</f>
        <v>High</v>
      </c>
      <c r="C216" t="str">
        <f>VLOOKUP(NFLDataSet!C217,TotalYardDiff2,2,TRUE)</f>
        <v>High</v>
      </c>
      <c r="D216" t="str">
        <f>VLOOKUP(NFLDataSet!D217,PassYardsDiff2,2,TRUE)</f>
        <v>High</v>
      </c>
      <c r="E216" t="str">
        <f>VLOOKUP(NFLDataSet!E217,RushYards2,2,TRUE)</f>
        <v>Medium</v>
      </c>
      <c r="F216" t="str">
        <f>VLOOKUP(NFLDataSet!F217,TurnOverDiff2,2,TRUE)</f>
        <v>Medium</v>
      </c>
      <c r="G216" t="str">
        <f>NFLDataSet!G217</f>
        <v>W</v>
      </c>
    </row>
    <row r="217" spans="1:7" x14ac:dyDescent="0.35">
      <c r="A217" t="str">
        <f>NFLDataSet!A218</f>
        <v>A</v>
      </c>
      <c r="B217" t="str">
        <f>VLOOKUP(NFLDataSet!B218,FirstDownDiff2,2,TRUE)</f>
        <v>Medium</v>
      </c>
      <c r="C217" t="str">
        <f>VLOOKUP(NFLDataSet!C218,TotalYardDiff2,2,TRUE)</f>
        <v>Low</v>
      </c>
      <c r="D217" t="str">
        <f>VLOOKUP(NFLDataSet!D218,PassYardsDiff2,2,TRUE)</f>
        <v>Low</v>
      </c>
      <c r="E217" t="str">
        <f>VLOOKUP(NFLDataSet!E218,RushYards2,2,TRUE)</f>
        <v>Medium</v>
      </c>
      <c r="F217" t="str">
        <f>VLOOKUP(NFLDataSet!F218,TurnOverDiff2,2,TRUE)</f>
        <v>Medium</v>
      </c>
      <c r="G217" t="str">
        <f>NFLDataSet!G218</f>
        <v>L</v>
      </c>
    </row>
    <row r="218" spans="1:7" x14ac:dyDescent="0.35">
      <c r="A218" t="str">
        <f>NFLDataSet!A219</f>
        <v>A</v>
      </c>
      <c r="B218" t="str">
        <f>VLOOKUP(NFLDataSet!B219,FirstDownDiff2,2,TRUE)</f>
        <v>Medium</v>
      </c>
      <c r="C218" t="str">
        <f>VLOOKUP(NFLDataSet!C219,TotalYardDiff2,2,TRUE)</f>
        <v>Medium</v>
      </c>
      <c r="D218" t="str">
        <f>VLOOKUP(NFLDataSet!D219,PassYardsDiff2,2,TRUE)</f>
        <v>Medium</v>
      </c>
      <c r="E218" t="str">
        <f>VLOOKUP(NFLDataSet!E219,RushYards2,2,TRUE)</f>
        <v>Medium</v>
      </c>
      <c r="F218" t="str">
        <f>VLOOKUP(NFLDataSet!F219,TurnOverDiff2,2,TRUE)</f>
        <v>Medium</v>
      </c>
      <c r="G218" t="str">
        <f>NFLDataSet!G219</f>
        <v>L</v>
      </c>
    </row>
    <row r="219" spans="1:7" x14ac:dyDescent="0.35">
      <c r="A219" t="str">
        <f>NFLDataSet!A220</f>
        <v>H</v>
      </c>
      <c r="B219" t="str">
        <f>VLOOKUP(NFLDataSet!B220,FirstDownDiff2,2,TRUE)</f>
        <v>Medium</v>
      </c>
      <c r="C219" t="str">
        <f>VLOOKUP(NFLDataSet!C220,TotalYardDiff2,2,TRUE)</f>
        <v>Low</v>
      </c>
      <c r="D219" t="str">
        <f>VLOOKUP(NFLDataSet!D220,PassYardsDiff2,2,TRUE)</f>
        <v>Medium</v>
      </c>
      <c r="E219" t="str">
        <f>VLOOKUP(NFLDataSet!E220,RushYards2,2,TRUE)</f>
        <v>Low</v>
      </c>
      <c r="F219" t="str">
        <f>VLOOKUP(NFLDataSet!F220,TurnOverDiff2,2,TRUE)</f>
        <v>Medium</v>
      </c>
      <c r="G219" t="str">
        <f>NFLDataSet!G220</f>
        <v>L</v>
      </c>
    </row>
    <row r="220" spans="1:7" x14ac:dyDescent="0.35">
      <c r="A220" t="str">
        <f>NFLDataSet!A221</f>
        <v>A</v>
      </c>
      <c r="B220" t="str">
        <f>VLOOKUP(NFLDataSet!B221,FirstDownDiff2,2,TRUE)</f>
        <v>Medium</v>
      </c>
      <c r="C220" t="str">
        <f>VLOOKUP(NFLDataSet!C221,TotalYardDiff2,2,TRUE)</f>
        <v>Medium</v>
      </c>
      <c r="D220" t="str">
        <f>VLOOKUP(NFLDataSet!D221,PassYardsDiff2,2,TRUE)</f>
        <v>Medium</v>
      </c>
      <c r="E220" t="str">
        <f>VLOOKUP(NFLDataSet!E221,RushYards2,2,TRUE)</f>
        <v>High</v>
      </c>
      <c r="F220" t="str">
        <f>VLOOKUP(NFLDataSet!F221,TurnOverDiff2,2,TRUE)</f>
        <v>Medium</v>
      </c>
      <c r="G220" t="str">
        <f>NFLDataSet!G221</f>
        <v>W</v>
      </c>
    </row>
    <row r="221" spans="1:7" x14ac:dyDescent="0.35">
      <c r="A221" t="str">
        <f>NFLDataSet!A222</f>
        <v>A</v>
      </c>
      <c r="B221" t="str">
        <f>VLOOKUP(NFLDataSet!B222,FirstDownDiff2,2,TRUE)</f>
        <v>High</v>
      </c>
      <c r="C221" t="str">
        <f>VLOOKUP(NFLDataSet!C222,TotalYardDiff2,2,TRUE)</f>
        <v>High</v>
      </c>
      <c r="D221" t="str">
        <f>VLOOKUP(NFLDataSet!D222,PassYardsDiff2,2,TRUE)</f>
        <v>High</v>
      </c>
      <c r="E221" t="str">
        <f>VLOOKUP(NFLDataSet!E222,RushYards2,2,TRUE)</f>
        <v>Medium</v>
      </c>
      <c r="F221" t="str">
        <f>VLOOKUP(NFLDataSet!F222,TurnOverDiff2,2,TRUE)</f>
        <v>Medium</v>
      </c>
      <c r="G221" t="str">
        <f>NFLDataSet!G222</f>
        <v>W</v>
      </c>
    </row>
    <row r="222" spans="1:7" x14ac:dyDescent="0.35">
      <c r="A222" t="str">
        <f>NFLDataSet!A223</f>
        <v>A</v>
      </c>
      <c r="B222" t="str">
        <f>VLOOKUP(NFLDataSet!B223,FirstDownDiff2,2,TRUE)</f>
        <v>Medium</v>
      </c>
      <c r="C222" t="str">
        <f>VLOOKUP(NFLDataSet!C223,TotalYardDiff2,2,TRUE)</f>
        <v>Medium</v>
      </c>
      <c r="D222" t="str">
        <f>VLOOKUP(NFLDataSet!D223,PassYardsDiff2,2,TRUE)</f>
        <v>Medium</v>
      </c>
      <c r="E222" t="str">
        <f>VLOOKUP(NFLDataSet!E223,RushYards2,2,TRUE)</f>
        <v>Medium</v>
      </c>
      <c r="F222" t="str">
        <f>VLOOKUP(NFLDataSet!F223,TurnOverDiff2,2,TRUE)</f>
        <v>Medium</v>
      </c>
      <c r="G222" t="str">
        <f>NFLDataSet!G223</f>
        <v>W</v>
      </c>
    </row>
    <row r="223" spans="1:7" x14ac:dyDescent="0.35">
      <c r="A223" t="str">
        <f>NFLDataSet!A224</f>
        <v>H</v>
      </c>
      <c r="B223" t="str">
        <f>VLOOKUP(NFLDataSet!B224,FirstDownDiff2,2,TRUE)</f>
        <v>High</v>
      </c>
      <c r="C223" t="str">
        <f>VLOOKUP(NFLDataSet!C224,TotalYardDiff2,2,TRUE)</f>
        <v>High</v>
      </c>
      <c r="D223" t="str">
        <f>VLOOKUP(NFLDataSet!D224,PassYardsDiff2,2,TRUE)</f>
        <v>High</v>
      </c>
      <c r="E223" t="str">
        <f>VLOOKUP(NFLDataSet!E224,RushYards2,2,TRUE)</f>
        <v>High</v>
      </c>
      <c r="F223" t="str">
        <f>VLOOKUP(NFLDataSet!F224,TurnOverDiff2,2,TRUE)</f>
        <v>Medium</v>
      </c>
      <c r="G223" t="str">
        <f>NFLDataSet!G224</f>
        <v>W</v>
      </c>
    </row>
    <row r="224" spans="1:7" x14ac:dyDescent="0.35">
      <c r="A224" t="str">
        <f>NFLDataSet!A225</f>
        <v>H</v>
      </c>
      <c r="B224" t="str">
        <f>VLOOKUP(NFLDataSet!B225,FirstDownDiff2,2,TRUE)</f>
        <v>High</v>
      </c>
      <c r="C224" t="str">
        <f>VLOOKUP(NFLDataSet!C225,TotalYardDiff2,2,TRUE)</f>
        <v>Medium</v>
      </c>
      <c r="D224" t="str">
        <f>VLOOKUP(NFLDataSet!D225,PassYardsDiff2,2,TRUE)</f>
        <v>High</v>
      </c>
      <c r="E224" t="str">
        <f>VLOOKUP(NFLDataSet!E225,RushYards2,2,TRUE)</f>
        <v>Low</v>
      </c>
      <c r="F224" t="str">
        <f>VLOOKUP(NFLDataSet!F225,TurnOverDiff2,2,TRUE)</f>
        <v>Medium</v>
      </c>
      <c r="G224" t="str">
        <f>NFLDataSet!G225</f>
        <v>W</v>
      </c>
    </row>
    <row r="225" spans="1:7" x14ac:dyDescent="0.35">
      <c r="A225" t="str">
        <f>NFLDataSet!A226</f>
        <v>H</v>
      </c>
      <c r="B225" t="str">
        <f>VLOOKUP(NFLDataSet!B226,FirstDownDiff2,2,TRUE)</f>
        <v>Medium</v>
      </c>
      <c r="C225" t="str">
        <f>VLOOKUP(NFLDataSet!C226,TotalYardDiff2,2,TRUE)</f>
        <v>Medium</v>
      </c>
      <c r="D225" t="str">
        <f>VLOOKUP(NFLDataSet!D226,PassYardsDiff2,2,TRUE)</f>
        <v>High</v>
      </c>
      <c r="E225" t="str">
        <f>VLOOKUP(NFLDataSet!E226,RushYards2,2,TRUE)</f>
        <v>Low</v>
      </c>
      <c r="F225" t="str">
        <f>VLOOKUP(NFLDataSet!F226,TurnOverDiff2,2,TRUE)</f>
        <v>Medium</v>
      </c>
      <c r="G225" t="str">
        <f>NFLDataSet!G226</f>
        <v>W</v>
      </c>
    </row>
    <row r="226" spans="1:7" x14ac:dyDescent="0.35">
      <c r="A226" t="str">
        <f>NFLDataSet!A227</f>
        <v>A</v>
      </c>
      <c r="B226" t="str">
        <f>VLOOKUP(NFLDataSet!B227,FirstDownDiff2,2,TRUE)</f>
        <v>Low</v>
      </c>
      <c r="C226" t="str">
        <f>VLOOKUP(NFLDataSet!C227,TotalYardDiff2,2,TRUE)</f>
        <v>Medium</v>
      </c>
      <c r="D226" t="str">
        <f>VLOOKUP(NFLDataSet!D227,PassYardsDiff2,2,TRUE)</f>
        <v>Medium</v>
      </c>
      <c r="E226" t="str">
        <f>VLOOKUP(NFLDataSet!E227,RushYards2,2,TRUE)</f>
        <v>Medium</v>
      </c>
      <c r="F226" t="str">
        <f>VLOOKUP(NFLDataSet!F227,TurnOverDiff2,2,TRUE)</f>
        <v>Medium</v>
      </c>
      <c r="G226" t="str">
        <f>NFLDataSet!G227</f>
        <v>L</v>
      </c>
    </row>
    <row r="227" spans="1:7" x14ac:dyDescent="0.35">
      <c r="A227" t="str">
        <f>NFLDataSet!A228</f>
        <v>A</v>
      </c>
      <c r="B227" t="str">
        <f>VLOOKUP(NFLDataSet!B228,FirstDownDiff2,2,TRUE)</f>
        <v>Medium</v>
      </c>
      <c r="C227" t="str">
        <f>VLOOKUP(NFLDataSet!C228,TotalYardDiff2,2,TRUE)</f>
        <v>Low</v>
      </c>
      <c r="D227" t="str">
        <f>VLOOKUP(NFLDataSet!D228,PassYardsDiff2,2,TRUE)</f>
        <v>Medium</v>
      </c>
      <c r="E227" t="str">
        <f>VLOOKUP(NFLDataSet!E228,RushYards2,2,TRUE)</f>
        <v>Medium</v>
      </c>
      <c r="F227" t="str">
        <f>VLOOKUP(NFLDataSet!F228,TurnOverDiff2,2,TRUE)</f>
        <v>Medium</v>
      </c>
      <c r="G227" t="str">
        <f>NFLDataSet!G228</f>
        <v>L</v>
      </c>
    </row>
    <row r="228" spans="1:7" x14ac:dyDescent="0.35">
      <c r="A228" t="str">
        <f>NFLDataSet!A229</f>
        <v>A</v>
      </c>
      <c r="B228" t="str">
        <f>VLOOKUP(NFLDataSet!B229,FirstDownDiff2,2,TRUE)</f>
        <v>Medium</v>
      </c>
      <c r="C228" t="str">
        <f>VLOOKUP(NFLDataSet!C229,TotalYardDiff2,2,TRUE)</f>
        <v>Medium</v>
      </c>
      <c r="D228" t="str">
        <f>VLOOKUP(NFLDataSet!D229,PassYardsDiff2,2,TRUE)</f>
        <v>Medium</v>
      </c>
      <c r="E228" t="str">
        <f>VLOOKUP(NFLDataSet!E229,RushYards2,2,TRUE)</f>
        <v>Medium</v>
      </c>
      <c r="F228" t="str">
        <f>VLOOKUP(NFLDataSet!F229,TurnOverDiff2,2,TRUE)</f>
        <v>Medium</v>
      </c>
      <c r="G228" t="str">
        <f>NFLDataSet!G229</f>
        <v>L</v>
      </c>
    </row>
    <row r="229" spans="1:7" x14ac:dyDescent="0.35">
      <c r="A229" t="str">
        <f>NFLDataSet!A230</f>
        <v>A</v>
      </c>
      <c r="B229" t="str">
        <f>VLOOKUP(NFLDataSet!B230,FirstDownDiff2,2,TRUE)</f>
        <v>Medium</v>
      </c>
      <c r="C229" t="str">
        <f>VLOOKUP(NFLDataSet!C230,TotalYardDiff2,2,TRUE)</f>
        <v>Medium</v>
      </c>
      <c r="D229" t="str">
        <f>VLOOKUP(NFLDataSet!D230,PassYardsDiff2,2,TRUE)</f>
        <v>Medium</v>
      </c>
      <c r="E229" t="str">
        <f>VLOOKUP(NFLDataSet!E230,RushYards2,2,TRUE)</f>
        <v>Medium</v>
      </c>
      <c r="F229" t="str">
        <f>VLOOKUP(NFLDataSet!F230,TurnOverDiff2,2,TRUE)</f>
        <v>Medium</v>
      </c>
      <c r="G229" t="str">
        <f>NFLDataSet!G230</f>
        <v>L</v>
      </c>
    </row>
    <row r="230" spans="1:7" x14ac:dyDescent="0.35">
      <c r="A230" t="str">
        <f>NFLDataSet!A231</f>
        <v>A</v>
      </c>
      <c r="B230" t="str">
        <f>VLOOKUP(NFLDataSet!B231,FirstDownDiff2,2,TRUE)</f>
        <v>Low</v>
      </c>
      <c r="C230" t="str">
        <f>VLOOKUP(NFLDataSet!C231,TotalYardDiff2,2,TRUE)</f>
        <v>Low</v>
      </c>
      <c r="D230" t="str">
        <f>VLOOKUP(NFLDataSet!D231,PassYardsDiff2,2,TRUE)</f>
        <v>Medium</v>
      </c>
      <c r="E230" t="str">
        <f>VLOOKUP(NFLDataSet!E231,RushYards2,2,TRUE)</f>
        <v>Low</v>
      </c>
      <c r="F230" t="str">
        <f>VLOOKUP(NFLDataSet!F231,TurnOverDiff2,2,TRUE)</f>
        <v>High</v>
      </c>
      <c r="G230" t="str">
        <f>NFLDataSet!G231</f>
        <v>L</v>
      </c>
    </row>
    <row r="231" spans="1:7" x14ac:dyDescent="0.35">
      <c r="A231" t="str">
        <f>NFLDataSet!A232</f>
        <v>A</v>
      </c>
      <c r="B231" t="str">
        <f>VLOOKUP(NFLDataSet!B232,FirstDownDiff2,2,TRUE)</f>
        <v>Low</v>
      </c>
      <c r="C231" t="str">
        <f>VLOOKUP(NFLDataSet!C232,TotalYardDiff2,2,TRUE)</f>
        <v>Low</v>
      </c>
      <c r="D231" t="str">
        <f>VLOOKUP(NFLDataSet!D232,PassYardsDiff2,2,TRUE)</f>
        <v>Low</v>
      </c>
      <c r="E231" t="str">
        <f>VLOOKUP(NFLDataSet!E232,RushYards2,2,TRUE)</f>
        <v>Medium</v>
      </c>
      <c r="F231" t="str">
        <f>VLOOKUP(NFLDataSet!F232,TurnOverDiff2,2,TRUE)</f>
        <v>Medium</v>
      </c>
      <c r="G231" t="str">
        <f>NFLDataSet!G232</f>
        <v>L</v>
      </c>
    </row>
    <row r="232" spans="1:7" x14ac:dyDescent="0.35">
      <c r="A232" t="str">
        <f>NFLDataSet!A233</f>
        <v>A</v>
      </c>
      <c r="B232" t="str">
        <f>VLOOKUP(NFLDataSet!B233,FirstDownDiff2,2,TRUE)</f>
        <v>Medium</v>
      </c>
      <c r="C232" t="str">
        <f>VLOOKUP(NFLDataSet!C233,TotalYardDiff2,2,TRUE)</f>
        <v>High</v>
      </c>
      <c r="D232" t="str">
        <f>VLOOKUP(NFLDataSet!D233,PassYardsDiff2,2,TRUE)</f>
        <v>Medium</v>
      </c>
      <c r="E232" t="str">
        <f>VLOOKUP(NFLDataSet!E233,RushYards2,2,TRUE)</f>
        <v>High</v>
      </c>
      <c r="F232" t="str">
        <f>VLOOKUP(NFLDataSet!F233,TurnOverDiff2,2,TRUE)</f>
        <v>Medium</v>
      </c>
      <c r="G232" t="str">
        <f>NFLDataSet!G233</f>
        <v>W</v>
      </c>
    </row>
    <row r="233" spans="1:7" x14ac:dyDescent="0.35">
      <c r="A233" t="str">
        <f>NFLDataSet!A234</f>
        <v>H</v>
      </c>
      <c r="B233" t="str">
        <f>VLOOKUP(NFLDataSet!B234,FirstDownDiff2,2,TRUE)</f>
        <v>High</v>
      </c>
      <c r="C233" t="str">
        <f>VLOOKUP(NFLDataSet!C234,TotalYardDiff2,2,TRUE)</f>
        <v>High</v>
      </c>
      <c r="D233" t="str">
        <f>VLOOKUP(NFLDataSet!D234,PassYardsDiff2,2,TRUE)</f>
        <v>High</v>
      </c>
      <c r="E233" t="str">
        <f>VLOOKUP(NFLDataSet!E234,RushYards2,2,TRUE)</f>
        <v>Medium</v>
      </c>
      <c r="F233" t="str">
        <f>VLOOKUP(NFLDataSet!F234,TurnOverDiff2,2,TRUE)</f>
        <v>Medium</v>
      </c>
      <c r="G233" t="str">
        <f>NFLDataSet!G234</f>
        <v>W</v>
      </c>
    </row>
    <row r="234" spans="1:7" x14ac:dyDescent="0.35">
      <c r="A234" t="str">
        <f>NFLDataSet!A235</f>
        <v>H</v>
      </c>
      <c r="B234" t="str">
        <f>VLOOKUP(NFLDataSet!B235,FirstDownDiff2,2,TRUE)</f>
        <v>Medium</v>
      </c>
      <c r="C234" t="str">
        <f>VLOOKUP(NFLDataSet!C235,TotalYardDiff2,2,TRUE)</f>
        <v>Medium</v>
      </c>
      <c r="D234" t="str">
        <f>VLOOKUP(NFLDataSet!D235,PassYardsDiff2,2,TRUE)</f>
        <v>Low</v>
      </c>
      <c r="E234" t="str">
        <f>VLOOKUP(NFLDataSet!E235,RushYards2,2,TRUE)</f>
        <v>High</v>
      </c>
      <c r="F234" t="str">
        <f>VLOOKUP(NFLDataSet!F235,TurnOverDiff2,2,TRUE)</f>
        <v>Medium</v>
      </c>
      <c r="G234" t="str">
        <f>NFLDataSet!G235</f>
        <v>W</v>
      </c>
    </row>
    <row r="235" spans="1:7" x14ac:dyDescent="0.35">
      <c r="A235" t="str">
        <f>NFLDataSet!A236</f>
        <v>H</v>
      </c>
      <c r="B235" t="str">
        <f>VLOOKUP(NFLDataSet!B236,FirstDownDiff2,2,TRUE)</f>
        <v>Medium</v>
      </c>
      <c r="C235" t="str">
        <f>VLOOKUP(NFLDataSet!C236,TotalYardDiff2,2,TRUE)</f>
        <v>Medium</v>
      </c>
      <c r="D235" t="str">
        <f>VLOOKUP(NFLDataSet!D236,PassYardsDiff2,2,TRUE)</f>
        <v>Medium</v>
      </c>
      <c r="E235" t="str">
        <f>VLOOKUP(NFLDataSet!E236,RushYards2,2,TRUE)</f>
        <v>Medium</v>
      </c>
      <c r="F235" t="str">
        <f>VLOOKUP(NFLDataSet!F236,TurnOverDiff2,2,TRUE)</f>
        <v>Medium</v>
      </c>
      <c r="G235" t="str">
        <f>NFLDataSet!G236</f>
        <v>W</v>
      </c>
    </row>
    <row r="236" spans="1:7" x14ac:dyDescent="0.35">
      <c r="A236" t="str">
        <f>NFLDataSet!A237</f>
        <v>H</v>
      </c>
      <c r="B236" t="str">
        <f>VLOOKUP(NFLDataSet!B237,FirstDownDiff2,2,TRUE)</f>
        <v>Low</v>
      </c>
      <c r="C236" t="str">
        <f>VLOOKUP(NFLDataSet!C237,TotalYardDiff2,2,TRUE)</f>
        <v>Low</v>
      </c>
      <c r="D236" t="str">
        <f>VLOOKUP(NFLDataSet!D237,PassYardsDiff2,2,TRUE)</f>
        <v>Low</v>
      </c>
      <c r="E236" t="str">
        <f>VLOOKUP(NFLDataSet!E237,RushYards2,2,TRUE)</f>
        <v>Medium</v>
      </c>
      <c r="F236" t="str">
        <f>VLOOKUP(NFLDataSet!F237,TurnOverDiff2,2,TRUE)</f>
        <v>Medium</v>
      </c>
      <c r="G236" t="str">
        <f>NFLDataSet!G237</f>
        <v>L</v>
      </c>
    </row>
    <row r="237" spans="1:7" x14ac:dyDescent="0.35">
      <c r="A237" t="str">
        <f>NFLDataSet!A238</f>
        <v>A</v>
      </c>
      <c r="B237" t="str">
        <f>VLOOKUP(NFLDataSet!B238,FirstDownDiff2,2,TRUE)</f>
        <v>Low</v>
      </c>
      <c r="C237" t="str">
        <f>VLOOKUP(NFLDataSet!C238,TotalYardDiff2,2,TRUE)</f>
        <v>Low</v>
      </c>
      <c r="D237" t="str">
        <f>VLOOKUP(NFLDataSet!D238,PassYardsDiff2,2,TRUE)</f>
        <v>Low</v>
      </c>
      <c r="E237" t="str">
        <f>VLOOKUP(NFLDataSet!E238,RushYards2,2,TRUE)</f>
        <v>Low</v>
      </c>
      <c r="F237" t="str">
        <f>VLOOKUP(NFLDataSet!F238,TurnOverDiff2,2,TRUE)</f>
        <v>Medium</v>
      </c>
      <c r="G237" t="str">
        <f>NFLDataSet!G238</f>
        <v>L</v>
      </c>
    </row>
    <row r="238" spans="1:7" x14ac:dyDescent="0.35">
      <c r="A238" t="str">
        <f>NFLDataSet!A239</f>
        <v>A</v>
      </c>
      <c r="B238" t="str">
        <f>VLOOKUP(NFLDataSet!B239,FirstDownDiff2,2,TRUE)</f>
        <v>Medium</v>
      </c>
      <c r="C238" t="str">
        <f>VLOOKUP(NFLDataSet!C239,TotalYardDiff2,2,TRUE)</f>
        <v>Medium</v>
      </c>
      <c r="D238" t="str">
        <f>VLOOKUP(NFLDataSet!D239,PassYardsDiff2,2,TRUE)</f>
        <v>Medium</v>
      </c>
      <c r="E238" t="str">
        <f>VLOOKUP(NFLDataSet!E239,RushYards2,2,TRUE)</f>
        <v>Medium</v>
      </c>
      <c r="F238" t="str">
        <f>VLOOKUP(NFLDataSet!F239,TurnOverDiff2,2,TRUE)</f>
        <v>Medium</v>
      </c>
      <c r="G238" t="str">
        <f>NFLDataSet!G239</f>
        <v>W</v>
      </c>
    </row>
    <row r="239" spans="1:7" x14ac:dyDescent="0.35">
      <c r="A239" t="str">
        <f>NFLDataSet!A240</f>
        <v>H</v>
      </c>
      <c r="B239" t="str">
        <f>VLOOKUP(NFLDataSet!B240,FirstDownDiff2,2,TRUE)</f>
        <v>Medium</v>
      </c>
      <c r="C239" t="str">
        <f>VLOOKUP(NFLDataSet!C240,TotalYardDiff2,2,TRUE)</f>
        <v>High</v>
      </c>
      <c r="D239" t="str">
        <f>VLOOKUP(NFLDataSet!D240,PassYardsDiff2,2,TRUE)</f>
        <v>High</v>
      </c>
      <c r="E239" t="str">
        <f>VLOOKUP(NFLDataSet!E240,RushYards2,2,TRUE)</f>
        <v>Medium</v>
      </c>
      <c r="F239" t="str">
        <f>VLOOKUP(NFLDataSet!F240,TurnOverDiff2,2,TRUE)</f>
        <v>Medium</v>
      </c>
      <c r="G239" t="str">
        <f>NFLDataSet!G240</f>
        <v>W</v>
      </c>
    </row>
    <row r="240" spans="1:7" x14ac:dyDescent="0.35">
      <c r="A240" t="str">
        <f>NFLDataSet!A241</f>
        <v>A</v>
      </c>
      <c r="B240" t="str">
        <f>VLOOKUP(NFLDataSet!B241,FirstDownDiff2,2,TRUE)</f>
        <v>High</v>
      </c>
      <c r="C240" t="str">
        <f>VLOOKUP(NFLDataSet!C241,TotalYardDiff2,2,TRUE)</f>
        <v>Medium</v>
      </c>
      <c r="D240" t="str">
        <f>VLOOKUP(NFLDataSet!D241,PassYardsDiff2,2,TRUE)</f>
        <v>High</v>
      </c>
      <c r="E240" t="str">
        <f>VLOOKUP(NFLDataSet!E241,RushYards2,2,TRUE)</f>
        <v>Medium</v>
      </c>
      <c r="F240" t="str">
        <f>VLOOKUP(NFLDataSet!F241,TurnOverDiff2,2,TRUE)</f>
        <v>Medium</v>
      </c>
      <c r="G240" t="str">
        <f>NFLDataSet!G241</f>
        <v>L</v>
      </c>
    </row>
    <row r="241" spans="1:7" x14ac:dyDescent="0.35">
      <c r="A241" t="str">
        <f>NFLDataSet!A242</f>
        <v>A</v>
      </c>
      <c r="B241" t="str">
        <f>VLOOKUP(NFLDataSet!B242,FirstDownDiff2,2,TRUE)</f>
        <v>Medium</v>
      </c>
      <c r="C241" t="str">
        <f>VLOOKUP(NFLDataSet!C242,TotalYardDiff2,2,TRUE)</f>
        <v>Medium</v>
      </c>
      <c r="D241" t="str">
        <f>VLOOKUP(NFLDataSet!D242,PassYardsDiff2,2,TRUE)</f>
        <v>Low</v>
      </c>
      <c r="E241" t="str">
        <f>VLOOKUP(NFLDataSet!E242,RushYards2,2,TRUE)</f>
        <v>High</v>
      </c>
      <c r="F241" t="str">
        <f>VLOOKUP(NFLDataSet!F242,TurnOverDiff2,2,TRUE)</f>
        <v>Medium</v>
      </c>
      <c r="G241" t="str">
        <f>NFLDataSet!G242</f>
        <v>W</v>
      </c>
    </row>
    <row r="242" spans="1:7" x14ac:dyDescent="0.35">
      <c r="A242" t="str">
        <f>NFLDataSet!A243</f>
        <v>A</v>
      </c>
      <c r="B242" t="str">
        <f>VLOOKUP(NFLDataSet!B243,FirstDownDiff2,2,TRUE)</f>
        <v>Medium</v>
      </c>
      <c r="C242" t="str">
        <f>VLOOKUP(NFLDataSet!C243,TotalYardDiff2,2,TRUE)</f>
        <v>Medium</v>
      </c>
      <c r="D242" t="str">
        <f>VLOOKUP(NFLDataSet!D243,PassYardsDiff2,2,TRUE)</f>
        <v>Low</v>
      </c>
      <c r="E242" t="str">
        <f>VLOOKUP(NFLDataSet!E243,RushYards2,2,TRUE)</f>
        <v>High</v>
      </c>
      <c r="F242" t="str">
        <f>VLOOKUP(NFLDataSet!F243,TurnOverDiff2,2,TRUE)</f>
        <v>Medium</v>
      </c>
      <c r="G242" t="str">
        <f>NFLDataSet!G243</f>
        <v>L</v>
      </c>
    </row>
    <row r="243" spans="1:7" x14ac:dyDescent="0.35">
      <c r="A243" t="str">
        <f>NFLDataSet!A244</f>
        <v>A</v>
      </c>
      <c r="B243" t="str">
        <f>VLOOKUP(NFLDataSet!B244,FirstDownDiff2,2,TRUE)</f>
        <v>Low</v>
      </c>
      <c r="C243" t="str">
        <f>VLOOKUP(NFLDataSet!C244,TotalYardDiff2,2,TRUE)</f>
        <v>Low</v>
      </c>
      <c r="D243" t="str">
        <f>VLOOKUP(NFLDataSet!D244,PassYardsDiff2,2,TRUE)</f>
        <v>Low</v>
      </c>
      <c r="E243" t="str">
        <f>VLOOKUP(NFLDataSet!E244,RushYards2,2,TRUE)</f>
        <v>Low</v>
      </c>
      <c r="F243" t="str">
        <f>VLOOKUP(NFLDataSet!F244,TurnOverDiff2,2,TRUE)</f>
        <v>Medium</v>
      </c>
      <c r="G243" t="str">
        <f>NFLDataSet!G244</f>
        <v>L</v>
      </c>
    </row>
    <row r="244" spans="1:7" x14ac:dyDescent="0.35">
      <c r="A244" t="str">
        <f>NFLDataSet!A245</f>
        <v>A</v>
      </c>
      <c r="B244" t="str">
        <f>VLOOKUP(NFLDataSet!B245,FirstDownDiff2,2,TRUE)</f>
        <v>Medium</v>
      </c>
      <c r="C244" t="str">
        <f>VLOOKUP(NFLDataSet!C245,TotalYardDiff2,2,TRUE)</f>
        <v>Medium</v>
      </c>
      <c r="D244" t="str">
        <f>VLOOKUP(NFLDataSet!D245,PassYardsDiff2,2,TRUE)</f>
        <v>Low</v>
      </c>
      <c r="E244" t="str">
        <f>VLOOKUP(NFLDataSet!E245,RushYards2,2,TRUE)</f>
        <v>High</v>
      </c>
      <c r="F244" t="str">
        <f>VLOOKUP(NFLDataSet!F245,TurnOverDiff2,2,TRUE)</f>
        <v>Low</v>
      </c>
      <c r="G244" t="str">
        <f>NFLDataSet!G245</f>
        <v>W</v>
      </c>
    </row>
    <row r="245" spans="1:7" x14ac:dyDescent="0.35">
      <c r="A245" t="str">
        <f>NFLDataSet!A246</f>
        <v>H</v>
      </c>
      <c r="B245" t="str">
        <f>VLOOKUP(NFLDataSet!B246,FirstDownDiff2,2,TRUE)</f>
        <v>High</v>
      </c>
      <c r="C245" t="str">
        <f>VLOOKUP(NFLDataSet!C246,TotalYardDiff2,2,TRUE)</f>
        <v>High</v>
      </c>
      <c r="D245" t="str">
        <f>VLOOKUP(NFLDataSet!D246,PassYardsDiff2,2,TRUE)</f>
        <v>High</v>
      </c>
      <c r="E245" t="str">
        <f>VLOOKUP(NFLDataSet!E246,RushYards2,2,TRUE)</f>
        <v>High</v>
      </c>
      <c r="F245" t="str">
        <f>VLOOKUP(NFLDataSet!F246,TurnOverDiff2,2,TRUE)</f>
        <v>Medium</v>
      </c>
      <c r="G245" t="str">
        <f>NFLDataSet!G246</f>
        <v>W</v>
      </c>
    </row>
    <row r="246" spans="1:7" x14ac:dyDescent="0.35">
      <c r="A246" t="str">
        <f>NFLDataSet!A247</f>
        <v>A</v>
      </c>
      <c r="B246" t="str">
        <f>VLOOKUP(NFLDataSet!B247,FirstDownDiff2,2,TRUE)</f>
        <v>Medium</v>
      </c>
      <c r="C246" t="str">
        <f>VLOOKUP(NFLDataSet!C247,TotalYardDiff2,2,TRUE)</f>
        <v>Medium</v>
      </c>
      <c r="D246" t="str">
        <f>VLOOKUP(NFLDataSet!D247,PassYardsDiff2,2,TRUE)</f>
        <v>Medium</v>
      </c>
      <c r="E246" t="str">
        <f>VLOOKUP(NFLDataSet!E247,RushYards2,2,TRUE)</f>
        <v>Medium</v>
      </c>
      <c r="F246" t="str">
        <f>VLOOKUP(NFLDataSet!F247,TurnOverDiff2,2,TRUE)</f>
        <v>Medium</v>
      </c>
      <c r="G246" t="str">
        <f>NFLDataSet!G247</f>
        <v>W</v>
      </c>
    </row>
    <row r="247" spans="1:7" x14ac:dyDescent="0.35">
      <c r="A247" t="str">
        <f>NFLDataSet!A248</f>
        <v>A</v>
      </c>
      <c r="B247" t="str">
        <f>VLOOKUP(NFLDataSet!B248,FirstDownDiff2,2,TRUE)</f>
        <v>Medium</v>
      </c>
      <c r="C247" t="str">
        <f>VLOOKUP(NFLDataSet!C248,TotalYardDiff2,2,TRUE)</f>
        <v>Medium</v>
      </c>
      <c r="D247" t="str">
        <f>VLOOKUP(NFLDataSet!D248,PassYardsDiff2,2,TRUE)</f>
        <v>Medium</v>
      </c>
      <c r="E247" t="str">
        <f>VLOOKUP(NFLDataSet!E248,RushYards2,2,TRUE)</f>
        <v>Medium</v>
      </c>
      <c r="F247" t="str">
        <f>VLOOKUP(NFLDataSet!F248,TurnOverDiff2,2,TRUE)</f>
        <v>Medium</v>
      </c>
      <c r="G247" t="str">
        <f>NFLDataSet!G248</f>
        <v>W</v>
      </c>
    </row>
    <row r="248" spans="1:7" x14ac:dyDescent="0.35">
      <c r="A248" t="str">
        <f>NFLDataSet!A249</f>
        <v>H</v>
      </c>
      <c r="B248" t="str">
        <f>VLOOKUP(NFLDataSet!B249,FirstDownDiff2,2,TRUE)</f>
        <v>Medium</v>
      </c>
      <c r="C248" t="str">
        <f>VLOOKUP(NFLDataSet!C249,TotalYardDiff2,2,TRUE)</f>
        <v>Medium</v>
      </c>
      <c r="D248" t="str">
        <f>VLOOKUP(NFLDataSet!D249,PassYardsDiff2,2,TRUE)</f>
        <v>High</v>
      </c>
      <c r="E248" t="str">
        <f>VLOOKUP(NFLDataSet!E249,RushYards2,2,TRUE)</f>
        <v>Low</v>
      </c>
      <c r="F248" t="str">
        <f>VLOOKUP(NFLDataSet!F249,TurnOverDiff2,2,TRUE)</f>
        <v>Medium</v>
      </c>
      <c r="G248" t="str">
        <f>NFLDataSet!G249</f>
        <v>L</v>
      </c>
    </row>
    <row r="249" spans="1:7" x14ac:dyDescent="0.35">
      <c r="A249" t="str">
        <f>NFLDataSet!A250</f>
        <v>A</v>
      </c>
      <c r="B249" t="str">
        <f>VLOOKUP(NFLDataSet!B250,FirstDownDiff2,2,TRUE)</f>
        <v>High</v>
      </c>
      <c r="C249" t="str">
        <f>VLOOKUP(NFLDataSet!C250,TotalYardDiff2,2,TRUE)</f>
        <v>High</v>
      </c>
      <c r="D249" t="str">
        <f>VLOOKUP(NFLDataSet!D250,PassYardsDiff2,2,TRUE)</f>
        <v>Medium</v>
      </c>
      <c r="E249" t="str">
        <f>VLOOKUP(NFLDataSet!E250,RushYards2,2,TRUE)</f>
        <v>High</v>
      </c>
      <c r="F249" t="str">
        <f>VLOOKUP(NFLDataSet!F250,TurnOverDiff2,2,TRUE)</f>
        <v>Medium</v>
      </c>
      <c r="G249" t="str">
        <f>NFLDataSet!G250</f>
        <v>W</v>
      </c>
    </row>
    <row r="250" spans="1:7" x14ac:dyDescent="0.35">
      <c r="A250" t="str">
        <f>NFLDataSet!A251</f>
        <v>A</v>
      </c>
      <c r="B250" t="str">
        <f>VLOOKUP(NFLDataSet!B251,FirstDownDiff2,2,TRUE)</f>
        <v>High</v>
      </c>
      <c r="C250" t="str">
        <f>VLOOKUP(NFLDataSet!C251,TotalYardDiff2,2,TRUE)</f>
        <v>High</v>
      </c>
      <c r="D250" t="str">
        <f>VLOOKUP(NFLDataSet!D251,PassYardsDiff2,2,TRUE)</f>
        <v>High</v>
      </c>
      <c r="E250" t="str">
        <f>VLOOKUP(NFLDataSet!E251,RushYards2,2,TRUE)</f>
        <v>Medium</v>
      </c>
      <c r="F250" t="str">
        <f>VLOOKUP(NFLDataSet!F251,TurnOverDiff2,2,TRUE)</f>
        <v>Medium</v>
      </c>
      <c r="G250" t="str">
        <f>NFLDataSet!G251</f>
        <v>W</v>
      </c>
    </row>
    <row r="251" spans="1:7" x14ac:dyDescent="0.35">
      <c r="A251" t="str">
        <f>NFLDataSet!A252</f>
        <v>A</v>
      </c>
      <c r="B251" t="str">
        <f>VLOOKUP(NFLDataSet!B252,FirstDownDiff2,2,TRUE)</f>
        <v>Medium</v>
      </c>
      <c r="C251" t="str">
        <f>VLOOKUP(NFLDataSet!C252,TotalYardDiff2,2,TRUE)</f>
        <v>Medium</v>
      </c>
      <c r="D251" t="str">
        <f>VLOOKUP(NFLDataSet!D252,PassYardsDiff2,2,TRUE)</f>
        <v>Low</v>
      </c>
      <c r="E251" t="str">
        <f>VLOOKUP(NFLDataSet!E252,RushYards2,2,TRUE)</f>
        <v>Medium</v>
      </c>
      <c r="F251" t="str">
        <f>VLOOKUP(NFLDataSet!F252,TurnOverDiff2,2,TRUE)</f>
        <v>Medium</v>
      </c>
      <c r="G251" t="str">
        <f>NFLDataSet!G252</f>
        <v>L</v>
      </c>
    </row>
    <row r="252" spans="1:7" x14ac:dyDescent="0.35">
      <c r="A252" t="str">
        <f>NFLDataSet!A253</f>
        <v>A</v>
      </c>
      <c r="B252" t="str">
        <f>VLOOKUP(NFLDataSet!B253,FirstDownDiff2,2,TRUE)</f>
        <v>Medium</v>
      </c>
      <c r="C252" t="str">
        <f>VLOOKUP(NFLDataSet!C253,TotalYardDiff2,2,TRUE)</f>
        <v>Medium</v>
      </c>
      <c r="D252" t="str">
        <f>VLOOKUP(NFLDataSet!D253,PassYardsDiff2,2,TRUE)</f>
        <v>Low</v>
      </c>
      <c r="E252" t="str">
        <f>VLOOKUP(NFLDataSet!E253,RushYards2,2,TRUE)</f>
        <v>High</v>
      </c>
      <c r="F252" t="str">
        <f>VLOOKUP(NFLDataSet!F253,TurnOverDiff2,2,TRUE)</f>
        <v>Medium</v>
      </c>
      <c r="G252" t="str">
        <f>NFLDataSet!G253</f>
        <v>L</v>
      </c>
    </row>
    <row r="253" spans="1:7" x14ac:dyDescent="0.35">
      <c r="A253" t="str">
        <f>NFLDataSet!A254</f>
        <v>A</v>
      </c>
      <c r="B253" t="str">
        <f>VLOOKUP(NFLDataSet!B254,FirstDownDiff2,2,TRUE)</f>
        <v>High</v>
      </c>
      <c r="C253" t="str">
        <f>VLOOKUP(NFLDataSet!C254,TotalYardDiff2,2,TRUE)</f>
        <v>High</v>
      </c>
      <c r="D253" t="str">
        <f>VLOOKUP(NFLDataSet!D254,PassYardsDiff2,2,TRUE)</f>
        <v>High</v>
      </c>
      <c r="E253" t="str">
        <f>VLOOKUP(NFLDataSet!E254,RushYards2,2,TRUE)</f>
        <v>Medium</v>
      </c>
      <c r="F253" t="str">
        <f>VLOOKUP(NFLDataSet!F254,TurnOverDiff2,2,TRUE)</f>
        <v>High</v>
      </c>
      <c r="G253" t="str">
        <f>NFLDataSet!G254</f>
        <v>L</v>
      </c>
    </row>
    <row r="254" spans="1:7" x14ac:dyDescent="0.35">
      <c r="A254" t="str">
        <f>NFLDataSet!A255</f>
        <v>H</v>
      </c>
      <c r="B254" t="str">
        <f>VLOOKUP(NFLDataSet!B255,FirstDownDiff2,2,TRUE)</f>
        <v>Medium</v>
      </c>
      <c r="C254" t="str">
        <f>VLOOKUP(NFLDataSet!C255,TotalYardDiff2,2,TRUE)</f>
        <v>Low</v>
      </c>
      <c r="D254" t="str">
        <f>VLOOKUP(NFLDataSet!D255,PassYardsDiff2,2,TRUE)</f>
        <v>High</v>
      </c>
      <c r="E254" t="str">
        <f>VLOOKUP(NFLDataSet!E255,RushYards2,2,TRUE)</f>
        <v>Low</v>
      </c>
      <c r="F254" t="str">
        <f>VLOOKUP(NFLDataSet!F255,TurnOverDiff2,2,TRUE)</f>
        <v>Medium</v>
      </c>
      <c r="G254" t="str">
        <f>NFLDataSet!G255</f>
        <v>L</v>
      </c>
    </row>
    <row r="255" spans="1:7" x14ac:dyDescent="0.35">
      <c r="A255" t="str">
        <f>NFLDataSet!A256</f>
        <v>A</v>
      </c>
      <c r="B255" t="str">
        <f>VLOOKUP(NFLDataSet!B256,FirstDownDiff2,2,TRUE)</f>
        <v>High</v>
      </c>
      <c r="C255" t="str">
        <f>VLOOKUP(NFLDataSet!C256,TotalYardDiff2,2,TRUE)</f>
        <v>Medium</v>
      </c>
      <c r="D255" t="str">
        <f>VLOOKUP(NFLDataSet!D256,PassYardsDiff2,2,TRUE)</f>
        <v>Low</v>
      </c>
      <c r="E255" t="str">
        <f>VLOOKUP(NFLDataSet!E256,RushYards2,2,TRUE)</f>
        <v>High</v>
      </c>
      <c r="F255" t="str">
        <f>VLOOKUP(NFLDataSet!F256,TurnOverDiff2,2,TRUE)</f>
        <v>Medium</v>
      </c>
      <c r="G255" t="str">
        <f>NFLDataSet!G256</f>
        <v>W</v>
      </c>
    </row>
    <row r="256" spans="1:7" x14ac:dyDescent="0.35">
      <c r="A256" t="str">
        <f>NFLDataSet!A257</f>
        <v>H</v>
      </c>
      <c r="B256" t="str">
        <f>VLOOKUP(NFLDataSet!B257,FirstDownDiff2,2,TRUE)</f>
        <v>Medium</v>
      </c>
      <c r="C256" t="str">
        <f>VLOOKUP(NFLDataSet!C257,TotalYardDiff2,2,TRUE)</f>
        <v>Medium</v>
      </c>
      <c r="D256" t="str">
        <f>VLOOKUP(NFLDataSet!D257,PassYardsDiff2,2,TRUE)</f>
        <v>Medium</v>
      </c>
      <c r="E256" t="str">
        <f>VLOOKUP(NFLDataSet!E257,RushYards2,2,TRUE)</f>
        <v>Medium</v>
      </c>
      <c r="F256" t="str">
        <f>VLOOKUP(NFLDataSet!F257,TurnOverDiff2,2,TRUE)</f>
        <v>Medium</v>
      </c>
      <c r="G256" t="str">
        <f>NFLDataSet!G257</f>
        <v>W</v>
      </c>
    </row>
    <row r="257" spans="1:7" x14ac:dyDescent="0.35">
      <c r="A257" t="str">
        <f>NFLDataSet!A258</f>
        <v>A</v>
      </c>
      <c r="B257" t="str">
        <f>VLOOKUP(NFLDataSet!B258,FirstDownDiff2,2,TRUE)</f>
        <v>Medium</v>
      </c>
      <c r="C257" t="str">
        <f>VLOOKUP(NFLDataSet!C258,TotalYardDiff2,2,TRUE)</f>
        <v>Medium</v>
      </c>
      <c r="D257" t="str">
        <f>VLOOKUP(NFLDataSet!D258,PassYardsDiff2,2,TRUE)</f>
        <v>Medium</v>
      </c>
      <c r="E257" t="str">
        <f>VLOOKUP(NFLDataSet!E258,RushYards2,2,TRUE)</f>
        <v>Medium</v>
      </c>
      <c r="F257" t="str">
        <f>VLOOKUP(NFLDataSet!F258,TurnOverDiff2,2,TRUE)</f>
        <v>Medium</v>
      </c>
      <c r="G257" t="str">
        <f>NFLDataSet!G258</f>
        <v>L</v>
      </c>
    </row>
    <row r="258" spans="1:7" x14ac:dyDescent="0.35">
      <c r="A258" t="str">
        <f>NFLDataSet!A259</f>
        <v>H</v>
      </c>
      <c r="B258" t="str">
        <f>VLOOKUP(NFLDataSet!B259,FirstDownDiff2,2,TRUE)</f>
        <v>Medium</v>
      </c>
      <c r="C258" t="str">
        <f>VLOOKUP(NFLDataSet!C259,TotalYardDiff2,2,TRUE)</f>
        <v>Medium</v>
      </c>
      <c r="D258" t="str">
        <f>VLOOKUP(NFLDataSet!D259,PassYardsDiff2,2,TRUE)</f>
        <v>Medium</v>
      </c>
      <c r="E258" t="str">
        <f>VLOOKUP(NFLDataSet!E259,RushYards2,2,TRUE)</f>
        <v>High</v>
      </c>
      <c r="F258" t="str">
        <f>VLOOKUP(NFLDataSet!F259,TurnOverDiff2,2,TRUE)</f>
        <v>Medium</v>
      </c>
      <c r="G258" t="str">
        <f>NFLDataSet!G259</f>
        <v>W</v>
      </c>
    </row>
    <row r="259" spans="1:7" x14ac:dyDescent="0.35">
      <c r="A259" t="str">
        <f>NFLDataSet!A260</f>
        <v>H</v>
      </c>
      <c r="B259" t="str">
        <f>VLOOKUP(NFLDataSet!B260,FirstDownDiff2,2,TRUE)</f>
        <v>Medium</v>
      </c>
      <c r="C259" t="str">
        <f>VLOOKUP(NFLDataSet!C260,TotalYardDiff2,2,TRUE)</f>
        <v>High</v>
      </c>
      <c r="D259" t="str">
        <f>VLOOKUP(NFLDataSet!D260,PassYardsDiff2,2,TRUE)</f>
        <v>High</v>
      </c>
      <c r="E259" t="str">
        <f>VLOOKUP(NFLDataSet!E260,RushYards2,2,TRUE)</f>
        <v>Low</v>
      </c>
      <c r="F259" t="str">
        <f>VLOOKUP(NFLDataSet!F260,TurnOverDiff2,2,TRUE)</f>
        <v>Medium</v>
      </c>
      <c r="G259" t="str">
        <f>NFLDataSet!G260</f>
        <v>L</v>
      </c>
    </row>
    <row r="260" spans="1:7" x14ac:dyDescent="0.35">
      <c r="A260" t="str">
        <f>NFLDataSet!A261</f>
        <v>A</v>
      </c>
      <c r="B260" t="str">
        <f>VLOOKUP(NFLDataSet!B261,FirstDownDiff2,2,TRUE)</f>
        <v>Medium</v>
      </c>
      <c r="C260" t="str">
        <f>VLOOKUP(NFLDataSet!C261,TotalYardDiff2,2,TRUE)</f>
        <v>High</v>
      </c>
      <c r="D260" t="str">
        <f>VLOOKUP(NFLDataSet!D261,PassYardsDiff2,2,TRUE)</f>
        <v>Medium</v>
      </c>
      <c r="E260" t="str">
        <f>VLOOKUP(NFLDataSet!E261,RushYards2,2,TRUE)</f>
        <v>High</v>
      </c>
      <c r="F260" t="str">
        <f>VLOOKUP(NFLDataSet!F261,TurnOverDiff2,2,TRUE)</f>
        <v>Medium</v>
      </c>
      <c r="G260" t="str">
        <f>NFLDataSet!G261</f>
        <v>W</v>
      </c>
    </row>
    <row r="261" spans="1:7" x14ac:dyDescent="0.35">
      <c r="A261" t="str">
        <f>NFLDataSet!A262</f>
        <v>H</v>
      </c>
      <c r="B261" t="str">
        <f>VLOOKUP(NFLDataSet!B262,FirstDownDiff2,2,TRUE)</f>
        <v>High</v>
      </c>
      <c r="C261" t="str">
        <f>VLOOKUP(NFLDataSet!C262,TotalYardDiff2,2,TRUE)</f>
        <v>High</v>
      </c>
      <c r="D261" t="str">
        <f>VLOOKUP(NFLDataSet!D262,PassYardsDiff2,2,TRUE)</f>
        <v>High</v>
      </c>
      <c r="E261" t="str">
        <f>VLOOKUP(NFLDataSet!E262,RushYards2,2,TRUE)</f>
        <v>Low</v>
      </c>
      <c r="F261" t="str">
        <f>VLOOKUP(NFLDataSet!F262,TurnOverDiff2,2,TRUE)</f>
        <v>High</v>
      </c>
      <c r="G261" t="str">
        <f>NFLDataSet!G262</f>
        <v>L</v>
      </c>
    </row>
    <row r="262" spans="1:7" x14ac:dyDescent="0.35">
      <c r="A262" t="str">
        <f>NFLDataSet!A263</f>
        <v>A</v>
      </c>
      <c r="B262" t="str">
        <f>VLOOKUP(NFLDataSet!B263,FirstDownDiff2,2,TRUE)</f>
        <v>Medium</v>
      </c>
      <c r="C262" t="str">
        <f>VLOOKUP(NFLDataSet!C263,TotalYardDiff2,2,TRUE)</f>
        <v>Medium</v>
      </c>
      <c r="D262" t="str">
        <f>VLOOKUP(NFLDataSet!D263,PassYardsDiff2,2,TRUE)</f>
        <v>High</v>
      </c>
      <c r="E262" t="str">
        <f>VLOOKUP(NFLDataSet!E263,RushYards2,2,TRUE)</f>
        <v>Medium</v>
      </c>
      <c r="F262" t="str">
        <f>VLOOKUP(NFLDataSet!F263,TurnOverDiff2,2,TRUE)</f>
        <v>Medium</v>
      </c>
      <c r="G262" t="str">
        <f>NFLDataSet!G263</f>
        <v>W</v>
      </c>
    </row>
    <row r="263" spans="1:7" x14ac:dyDescent="0.35">
      <c r="A263" t="str">
        <f>NFLDataSet!A264</f>
        <v>H</v>
      </c>
      <c r="B263" t="str">
        <f>VLOOKUP(NFLDataSet!B264,FirstDownDiff2,2,TRUE)</f>
        <v>High</v>
      </c>
      <c r="C263" t="str">
        <f>VLOOKUP(NFLDataSet!C264,TotalYardDiff2,2,TRUE)</f>
        <v>High</v>
      </c>
      <c r="D263" t="str">
        <f>VLOOKUP(NFLDataSet!D264,PassYardsDiff2,2,TRUE)</f>
        <v>High</v>
      </c>
      <c r="E263" t="str">
        <f>VLOOKUP(NFLDataSet!E264,RushYards2,2,TRUE)</f>
        <v>High</v>
      </c>
      <c r="F263" t="str">
        <f>VLOOKUP(NFLDataSet!F264,TurnOverDiff2,2,TRUE)</f>
        <v>Medium</v>
      </c>
      <c r="G263" t="str">
        <f>NFLDataSet!G264</f>
        <v>W</v>
      </c>
    </row>
    <row r="264" spans="1:7" x14ac:dyDescent="0.35">
      <c r="A264" t="str">
        <f>NFLDataSet!A265</f>
        <v>H</v>
      </c>
      <c r="B264" t="str">
        <f>VLOOKUP(NFLDataSet!B265,FirstDownDiff2,2,TRUE)</f>
        <v>Low</v>
      </c>
      <c r="C264" t="str">
        <f>VLOOKUP(NFLDataSet!C265,TotalYardDiff2,2,TRUE)</f>
        <v>Low</v>
      </c>
      <c r="D264" t="str">
        <f>VLOOKUP(NFLDataSet!D265,PassYardsDiff2,2,TRUE)</f>
        <v>High</v>
      </c>
      <c r="E264" t="str">
        <f>VLOOKUP(NFLDataSet!E265,RushYards2,2,TRUE)</f>
        <v>Low</v>
      </c>
      <c r="F264" t="str">
        <f>VLOOKUP(NFLDataSet!F265,TurnOverDiff2,2,TRUE)</f>
        <v>Medium</v>
      </c>
      <c r="G264" t="str">
        <f>NFLDataSet!G265</f>
        <v>L</v>
      </c>
    </row>
    <row r="265" spans="1:7" x14ac:dyDescent="0.35">
      <c r="A265" t="str">
        <f>NFLDataSet!A266</f>
        <v>A</v>
      </c>
      <c r="B265" t="str">
        <f>VLOOKUP(NFLDataSet!B266,FirstDownDiff2,2,TRUE)</f>
        <v>High</v>
      </c>
      <c r="C265" t="str">
        <f>VLOOKUP(NFLDataSet!C266,TotalYardDiff2,2,TRUE)</f>
        <v>High</v>
      </c>
      <c r="D265" t="str">
        <f>VLOOKUP(NFLDataSet!D266,PassYardsDiff2,2,TRUE)</f>
        <v>High</v>
      </c>
      <c r="E265" t="str">
        <f>VLOOKUP(NFLDataSet!E266,RushYards2,2,TRUE)</f>
        <v>Medium</v>
      </c>
      <c r="F265" t="str">
        <f>VLOOKUP(NFLDataSet!F266,TurnOverDiff2,2,TRUE)</f>
        <v>Medium</v>
      </c>
      <c r="G265" t="str">
        <f>NFLDataSet!G266</f>
        <v>L</v>
      </c>
    </row>
    <row r="266" spans="1:7" x14ac:dyDescent="0.35">
      <c r="A266" t="str">
        <f>NFLDataSet!A267</f>
        <v>H</v>
      </c>
      <c r="B266" t="str">
        <f>VLOOKUP(NFLDataSet!B267,FirstDownDiff2,2,TRUE)</f>
        <v>High</v>
      </c>
      <c r="C266" t="str">
        <f>VLOOKUP(NFLDataSet!C267,TotalYardDiff2,2,TRUE)</f>
        <v>High</v>
      </c>
      <c r="D266" t="str">
        <f>VLOOKUP(NFLDataSet!D267,PassYardsDiff2,2,TRUE)</f>
        <v>High</v>
      </c>
      <c r="E266" t="str">
        <f>VLOOKUP(NFLDataSet!E267,RushYards2,2,TRUE)</f>
        <v>Low</v>
      </c>
      <c r="F266" t="str">
        <f>VLOOKUP(NFLDataSet!F267,TurnOverDiff2,2,TRUE)</f>
        <v>Medium</v>
      </c>
      <c r="G266" t="str">
        <f>NFLDataSet!G267</f>
        <v>L</v>
      </c>
    </row>
    <row r="267" spans="1:7" x14ac:dyDescent="0.35">
      <c r="A267" t="str">
        <f>NFLDataSet!A268</f>
        <v>A</v>
      </c>
      <c r="B267" t="str">
        <f>VLOOKUP(NFLDataSet!B268,FirstDownDiff2,2,TRUE)</f>
        <v>Medium</v>
      </c>
      <c r="C267" t="str">
        <f>VLOOKUP(NFLDataSet!C268,TotalYardDiff2,2,TRUE)</f>
        <v>Medium</v>
      </c>
      <c r="D267" t="str">
        <f>VLOOKUP(NFLDataSet!D268,PassYardsDiff2,2,TRUE)</f>
        <v>Medium</v>
      </c>
      <c r="E267" t="str">
        <f>VLOOKUP(NFLDataSet!E268,RushYards2,2,TRUE)</f>
        <v>Medium</v>
      </c>
      <c r="F267" t="str">
        <f>VLOOKUP(NFLDataSet!F268,TurnOverDiff2,2,TRUE)</f>
        <v>Medium</v>
      </c>
      <c r="G267" t="str">
        <f>NFLDataSet!G268</f>
        <v>L</v>
      </c>
    </row>
    <row r="268" spans="1:7" x14ac:dyDescent="0.35">
      <c r="A268" t="str">
        <f>NFLDataSet!A269</f>
        <v>H</v>
      </c>
      <c r="B268" t="str">
        <f>VLOOKUP(NFLDataSet!B269,FirstDownDiff2,2,TRUE)</f>
        <v>Low</v>
      </c>
      <c r="C268" t="str">
        <f>VLOOKUP(NFLDataSet!C269,TotalYardDiff2,2,TRUE)</f>
        <v>Low</v>
      </c>
      <c r="D268" t="str">
        <f>VLOOKUP(NFLDataSet!D269,PassYardsDiff2,2,TRUE)</f>
        <v>Medium</v>
      </c>
      <c r="E268" t="str">
        <f>VLOOKUP(NFLDataSet!E269,RushYards2,2,TRUE)</f>
        <v>Low</v>
      </c>
      <c r="F268" t="str">
        <f>VLOOKUP(NFLDataSet!F269,TurnOverDiff2,2,TRUE)</f>
        <v>Medium</v>
      </c>
      <c r="G268" t="str">
        <f>NFLDataSet!G269</f>
        <v>L</v>
      </c>
    </row>
    <row r="269" spans="1:7" x14ac:dyDescent="0.35">
      <c r="A269" t="str">
        <f>NFLDataSet!A270</f>
        <v>A</v>
      </c>
      <c r="B269" t="str">
        <f>VLOOKUP(NFLDataSet!B270,FirstDownDiff2,2,TRUE)</f>
        <v>Low</v>
      </c>
      <c r="C269" t="str">
        <f>VLOOKUP(NFLDataSet!C270,TotalYardDiff2,2,TRUE)</f>
        <v>Low</v>
      </c>
      <c r="D269" t="str">
        <f>VLOOKUP(NFLDataSet!D270,PassYardsDiff2,2,TRUE)</f>
        <v>Low</v>
      </c>
      <c r="E269" t="str">
        <f>VLOOKUP(NFLDataSet!E270,RushYards2,2,TRUE)</f>
        <v>Medium</v>
      </c>
      <c r="F269" t="str">
        <f>VLOOKUP(NFLDataSet!F270,TurnOverDiff2,2,TRUE)</f>
        <v>Medium</v>
      </c>
      <c r="G269" t="str">
        <f>NFLDataSet!G270</f>
        <v>L</v>
      </c>
    </row>
    <row r="270" spans="1:7" x14ac:dyDescent="0.35">
      <c r="A270" t="str">
        <f>NFLDataSet!A271</f>
        <v>A</v>
      </c>
      <c r="B270" t="str">
        <f>VLOOKUP(NFLDataSet!B271,FirstDownDiff2,2,TRUE)</f>
        <v>Low</v>
      </c>
      <c r="C270" t="str">
        <f>VLOOKUP(NFLDataSet!C271,TotalYardDiff2,2,TRUE)</f>
        <v>Low</v>
      </c>
      <c r="D270" t="str">
        <f>VLOOKUP(NFLDataSet!D271,PassYardsDiff2,2,TRUE)</f>
        <v>Low</v>
      </c>
      <c r="E270" t="str">
        <f>VLOOKUP(NFLDataSet!E271,RushYards2,2,TRUE)</f>
        <v>Medium</v>
      </c>
      <c r="F270" t="str">
        <f>VLOOKUP(NFLDataSet!F271,TurnOverDiff2,2,TRUE)</f>
        <v>Medium</v>
      </c>
      <c r="G270" t="str">
        <f>NFLDataSet!G271</f>
        <v>L</v>
      </c>
    </row>
    <row r="271" spans="1:7" x14ac:dyDescent="0.35">
      <c r="A271" t="str">
        <f>NFLDataSet!A272</f>
        <v>A</v>
      </c>
      <c r="B271" t="str">
        <f>VLOOKUP(NFLDataSet!B272,FirstDownDiff2,2,TRUE)</f>
        <v>Medium</v>
      </c>
      <c r="C271" t="str">
        <f>VLOOKUP(NFLDataSet!C272,TotalYardDiff2,2,TRUE)</f>
        <v>High</v>
      </c>
      <c r="D271" t="str">
        <f>VLOOKUP(NFLDataSet!D272,PassYardsDiff2,2,TRUE)</f>
        <v>Medium</v>
      </c>
      <c r="E271" t="str">
        <f>VLOOKUP(NFLDataSet!E272,RushYards2,2,TRUE)</f>
        <v>High</v>
      </c>
      <c r="F271" t="str">
        <f>VLOOKUP(NFLDataSet!F272,TurnOverDiff2,2,TRUE)</f>
        <v>Medium</v>
      </c>
      <c r="G271" t="str">
        <f>NFLDataSet!G272</f>
        <v>W</v>
      </c>
    </row>
    <row r="272" spans="1:7" x14ac:dyDescent="0.35">
      <c r="A272" t="str">
        <f>NFLDataSet!A273</f>
        <v>A</v>
      </c>
      <c r="B272" t="str">
        <f>VLOOKUP(NFLDataSet!B273,FirstDownDiff2,2,TRUE)</f>
        <v>High</v>
      </c>
      <c r="C272" t="str">
        <f>VLOOKUP(NFLDataSet!C273,TotalYardDiff2,2,TRUE)</f>
        <v>Medium</v>
      </c>
      <c r="D272" t="str">
        <f>VLOOKUP(NFLDataSet!D273,PassYardsDiff2,2,TRUE)</f>
        <v>Medium</v>
      </c>
      <c r="E272" t="str">
        <f>VLOOKUP(NFLDataSet!E273,RushYards2,2,TRUE)</f>
        <v>Medium</v>
      </c>
      <c r="F272" t="str">
        <f>VLOOKUP(NFLDataSet!F273,TurnOverDiff2,2,TRUE)</f>
        <v>Medium</v>
      </c>
      <c r="G272" t="str">
        <f>NFLDataSet!G273</f>
        <v>L</v>
      </c>
    </row>
    <row r="273" spans="1:7" x14ac:dyDescent="0.35">
      <c r="A273" t="str">
        <f>NFLDataSet!A274</f>
        <v>H</v>
      </c>
      <c r="B273" t="str">
        <f>VLOOKUP(NFLDataSet!B274,FirstDownDiff2,2,TRUE)</f>
        <v>Medium</v>
      </c>
      <c r="C273" t="str">
        <f>VLOOKUP(NFLDataSet!C274,TotalYardDiff2,2,TRUE)</f>
        <v>Medium</v>
      </c>
      <c r="D273" t="str">
        <f>VLOOKUP(NFLDataSet!D274,PassYardsDiff2,2,TRUE)</f>
        <v>Medium</v>
      </c>
      <c r="E273" t="str">
        <f>VLOOKUP(NFLDataSet!E274,RushYards2,2,TRUE)</f>
        <v>Medium</v>
      </c>
      <c r="F273" t="str">
        <f>VLOOKUP(NFLDataSet!F274,TurnOverDiff2,2,TRUE)</f>
        <v>Medium</v>
      </c>
      <c r="G273" t="str">
        <f>NFLDataSet!G274</f>
        <v>W</v>
      </c>
    </row>
    <row r="274" spans="1:7" x14ac:dyDescent="0.35">
      <c r="A274" t="str">
        <f>NFLDataSet!A275</f>
        <v>A</v>
      </c>
      <c r="B274" t="str">
        <f>VLOOKUP(NFLDataSet!B275,FirstDownDiff2,2,TRUE)</f>
        <v>High</v>
      </c>
      <c r="C274" t="str">
        <f>VLOOKUP(NFLDataSet!C275,TotalYardDiff2,2,TRUE)</f>
        <v>High</v>
      </c>
      <c r="D274" t="str">
        <f>VLOOKUP(NFLDataSet!D275,PassYardsDiff2,2,TRUE)</f>
        <v>High</v>
      </c>
      <c r="E274" t="str">
        <f>VLOOKUP(NFLDataSet!E275,RushYards2,2,TRUE)</f>
        <v>High</v>
      </c>
      <c r="F274" t="str">
        <f>VLOOKUP(NFLDataSet!F275,TurnOverDiff2,2,TRUE)</f>
        <v>Medium</v>
      </c>
      <c r="G274" t="str">
        <f>NFLDataSet!G275</f>
        <v>W</v>
      </c>
    </row>
    <row r="275" spans="1:7" x14ac:dyDescent="0.35">
      <c r="A275" t="str">
        <f>NFLDataSet!A276</f>
        <v>H</v>
      </c>
      <c r="B275" t="str">
        <f>VLOOKUP(NFLDataSet!B276,FirstDownDiff2,2,TRUE)</f>
        <v>Medium</v>
      </c>
      <c r="C275" t="str">
        <f>VLOOKUP(NFLDataSet!C276,TotalYardDiff2,2,TRUE)</f>
        <v>Medium</v>
      </c>
      <c r="D275" t="str">
        <f>VLOOKUP(NFLDataSet!D276,PassYardsDiff2,2,TRUE)</f>
        <v>Medium</v>
      </c>
      <c r="E275" t="str">
        <f>VLOOKUP(NFLDataSet!E276,RushYards2,2,TRUE)</f>
        <v>Medium</v>
      </c>
      <c r="F275" t="str">
        <f>VLOOKUP(NFLDataSet!F276,TurnOverDiff2,2,TRUE)</f>
        <v>Medium</v>
      </c>
      <c r="G275" t="str">
        <f>NFLDataSet!G276</f>
        <v>W</v>
      </c>
    </row>
    <row r="276" spans="1:7" x14ac:dyDescent="0.35">
      <c r="A276" t="str">
        <f>NFLDataSet!A277</f>
        <v>A</v>
      </c>
      <c r="B276" t="str">
        <f>VLOOKUP(NFLDataSet!B277,FirstDownDiff2,2,TRUE)</f>
        <v>High</v>
      </c>
      <c r="C276" t="str">
        <f>VLOOKUP(NFLDataSet!C277,TotalYardDiff2,2,TRUE)</f>
        <v>High</v>
      </c>
      <c r="D276" t="str">
        <f>VLOOKUP(NFLDataSet!D277,PassYardsDiff2,2,TRUE)</f>
        <v>High</v>
      </c>
      <c r="E276" t="str">
        <f>VLOOKUP(NFLDataSet!E277,RushYards2,2,TRUE)</f>
        <v>Medium</v>
      </c>
      <c r="F276" t="str">
        <f>VLOOKUP(NFLDataSet!F277,TurnOverDiff2,2,TRUE)</f>
        <v>Medium</v>
      </c>
      <c r="G276" t="str">
        <f>NFLDataSet!G277</f>
        <v>W</v>
      </c>
    </row>
    <row r="277" spans="1:7" x14ac:dyDescent="0.35">
      <c r="A277" t="str">
        <f>NFLDataSet!A278</f>
        <v>A</v>
      </c>
      <c r="B277" t="str">
        <f>VLOOKUP(NFLDataSet!B278,FirstDownDiff2,2,TRUE)</f>
        <v>Medium</v>
      </c>
      <c r="C277" t="str">
        <f>VLOOKUP(NFLDataSet!C278,TotalYardDiff2,2,TRUE)</f>
        <v>High</v>
      </c>
      <c r="D277" t="str">
        <f>VLOOKUP(NFLDataSet!D278,PassYardsDiff2,2,TRUE)</f>
        <v>Medium</v>
      </c>
      <c r="E277" t="str">
        <f>VLOOKUP(NFLDataSet!E278,RushYards2,2,TRUE)</f>
        <v>High</v>
      </c>
      <c r="F277" t="str">
        <f>VLOOKUP(NFLDataSet!F278,TurnOverDiff2,2,TRUE)</f>
        <v>Medium</v>
      </c>
      <c r="G277" t="str">
        <f>NFLDataSet!G278</f>
        <v>W</v>
      </c>
    </row>
    <row r="278" spans="1:7" x14ac:dyDescent="0.35">
      <c r="A278" t="str">
        <f>NFLDataSet!A279</f>
        <v>A</v>
      </c>
      <c r="B278" t="str">
        <f>VLOOKUP(NFLDataSet!B279,FirstDownDiff2,2,TRUE)</f>
        <v>Low</v>
      </c>
      <c r="C278" t="str">
        <f>VLOOKUP(NFLDataSet!C279,TotalYardDiff2,2,TRUE)</f>
        <v>Low</v>
      </c>
      <c r="D278" t="str">
        <f>VLOOKUP(NFLDataSet!D279,PassYardsDiff2,2,TRUE)</f>
        <v>Low</v>
      </c>
      <c r="E278" t="str">
        <f>VLOOKUP(NFLDataSet!E279,RushYards2,2,TRUE)</f>
        <v>Low</v>
      </c>
      <c r="F278" t="str">
        <f>VLOOKUP(NFLDataSet!F279,TurnOverDiff2,2,TRUE)</f>
        <v>High</v>
      </c>
      <c r="G278" t="str">
        <f>NFLDataSet!G279</f>
        <v>L</v>
      </c>
    </row>
    <row r="279" spans="1:7" x14ac:dyDescent="0.35">
      <c r="A279" t="str">
        <f>NFLDataSet!A280</f>
        <v>A</v>
      </c>
      <c r="B279" t="str">
        <f>VLOOKUP(NFLDataSet!B280,FirstDownDiff2,2,TRUE)</f>
        <v>Medium</v>
      </c>
      <c r="C279" t="str">
        <f>VLOOKUP(NFLDataSet!C280,TotalYardDiff2,2,TRUE)</f>
        <v>Medium</v>
      </c>
      <c r="D279" t="str">
        <f>VLOOKUP(NFLDataSet!D280,PassYardsDiff2,2,TRUE)</f>
        <v>Low</v>
      </c>
      <c r="E279" t="str">
        <f>VLOOKUP(NFLDataSet!E280,RushYards2,2,TRUE)</f>
        <v>High</v>
      </c>
      <c r="F279" t="str">
        <f>VLOOKUP(NFLDataSet!F280,TurnOverDiff2,2,TRUE)</f>
        <v>Medium</v>
      </c>
      <c r="G279" t="str">
        <f>NFLDataSet!G280</f>
        <v>L</v>
      </c>
    </row>
    <row r="280" spans="1:7" x14ac:dyDescent="0.35">
      <c r="A280" t="str">
        <f>NFLDataSet!A281</f>
        <v>A</v>
      </c>
      <c r="B280" t="str">
        <f>VLOOKUP(NFLDataSet!B281,FirstDownDiff2,2,TRUE)</f>
        <v>High</v>
      </c>
      <c r="C280" t="str">
        <f>VLOOKUP(NFLDataSet!C281,TotalYardDiff2,2,TRUE)</f>
        <v>High</v>
      </c>
      <c r="D280" t="str">
        <f>VLOOKUP(NFLDataSet!D281,PassYardsDiff2,2,TRUE)</f>
        <v>Medium</v>
      </c>
      <c r="E280" t="str">
        <f>VLOOKUP(NFLDataSet!E281,RushYards2,2,TRUE)</f>
        <v>High</v>
      </c>
      <c r="F280" t="str">
        <f>VLOOKUP(NFLDataSet!F281,TurnOverDiff2,2,TRUE)</f>
        <v>Medium</v>
      </c>
      <c r="G280" t="str">
        <f>NFLDataSet!G281</f>
        <v>W</v>
      </c>
    </row>
    <row r="281" spans="1:7" x14ac:dyDescent="0.35">
      <c r="A281" t="str">
        <f>NFLDataSet!A282</f>
        <v>A</v>
      </c>
      <c r="B281" t="str">
        <f>VLOOKUP(NFLDataSet!B282,FirstDownDiff2,2,TRUE)</f>
        <v>Medium</v>
      </c>
      <c r="C281" t="str">
        <f>VLOOKUP(NFLDataSet!C282,TotalYardDiff2,2,TRUE)</f>
        <v>Medium</v>
      </c>
      <c r="D281" t="str">
        <f>VLOOKUP(NFLDataSet!D282,PassYardsDiff2,2,TRUE)</f>
        <v>Medium</v>
      </c>
      <c r="E281" t="str">
        <f>VLOOKUP(NFLDataSet!E282,RushYards2,2,TRUE)</f>
        <v>Medium</v>
      </c>
      <c r="F281" t="str">
        <f>VLOOKUP(NFLDataSet!F282,TurnOverDiff2,2,TRUE)</f>
        <v>Medium</v>
      </c>
      <c r="G281" t="str">
        <f>NFLDataSet!G282</f>
        <v>W</v>
      </c>
    </row>
    <row r="282" spans="1:7" x14ac:dyDescent="0.35">
      <c r="A282" t="str">
        <f>NFLDataSet!A283</f>
        <v>H</v>
      </c>
      <c r="B282" t="str">
        <f>VLOOKUP(NFLDataSet!B283,FirstDownDiff2,2,TRUE)</f>
        <v>Medium</v>
      </c>
      <c r="C282" t="str">
        <f>VLOOKUP(NFLDataSet!C283,TotalYardDiff2,2,TRUE)</f>
        <v>Medium</v>
      </c>
      <c r="D282" t="str">
        <f>VLOOKUP(NFLDataSet!D283,PassYardsDiff2,2,TRUE)</f>
        <v>High</v>
      </c>
      <c r="E282" t="str">
        <f>VLOOKUP(NFLDataSet!E283,RushYards2,2,TRUE)</f>
        <v>Low</v>
      </c>
      <c r="F282" t="str">
        <f>VLOOKUP(NFLDataSet!F283,TurnOverDiff2,2,TRUE)</f>
        <v>Medium</v>
      </c>
      <c r="G282" t="str">
        <f>NFLDataSet!G283</f>
        <v>W</v>
      </c>
    </row>
    <row r="283" spans="1:7" x14ac:dyDescent="0.35">
      <c r="A283" t="str">
        <f>NFLDataSet!A284</f>
        <v>H</v>
      </c>
      <c r="B283" t="str">
        <f>VLOOKUP(NFLDataSet!B284,FirstDownDiff2,2,TRUE)</f>
        <v>Medium</v>
      </c>
      <c r="C283" t="str">
        <f>VLOOKUP(NFLDataSet!C284,TotalYardDiff2,2,TRUE)</f>
        <v>Low</v>
      </c>
      <c r="D283" t="str">
        <f>VLOOKUP(NFLDataSet!D284,PassYardsDiff2,2,TRUE)</f>
        <v>Medium</v>
      </c>
      <c r="E283" t="str">
        <f>VLOOKUP(NFLDataSet!E284,RushYards2,2,TRUE)</f>
        <v>Low</v>
      </c>
      <c r="F283" t="str">
        <f>VLOOKUP(NFLDataSet!F284,TurnOverDiff2,2,TRUE)</f>
        <v>Medium</v>
      </c>
      <c r="G283" t="str">
        <f>NFLDataSet!G284</f>
        <v>L</v>
      </c>
    </row>
    <row r="284" spans="1:7" x14ac:dyDescent="0.35">
      <c r="A284" t="str">
        <f>NFLDataSet!A285</f>
        <v>A</v>
      </c>
      <c r="B284" t="str">
        <f>VLOOKUP(NFLDataSet!B285,FirstDownDiff2,2,TRUE)</f>
        <v>High</v>
      </c>
      <c r="C284" t="str">
        <f>VLOOKUP(NFLDataSet!C285,TotalYardDiff2,2,TRUE)</f>
        <v>High</v>
      </c>
      <c r="D284" t="str">
        <f>VLOOKUP(NFLDataSet!D285,PassYardsDiff2,2,TRUE)</f>
        <v>Medium</v>
      </c>
      <c r="E284" t="str">
        <f>VLOOKUP(NFLDataSet!E285,RushYards2,2,TRUE)</f>
        <v>High</v>
      </c>
      <c r="F284" t="str">
        <f>VLOOKUP(NFLDataSet!F285,TurnOverDiff2,2,TRUE)</f>
        <v>Medium</v>
      </c>
      <c r="G284" t="str">
        <f>NFLDataSet!G285</f>
        <v>W</v>
      </c>
    </row>
    <row r="285" spans="1:7" x14ac:dyDescent="0.35">
      <c r="A285" t="str">
        <f>NFLDataSet!A286</f>
        <v>A</v>
      </c>
      <c r="B285" t="str">
        <f>VLOOKUP(NFLDataSet!B286,FirstDownDiff2,2,TRUE)</f>
        <v>Low</v>
      </c>
      <c r="C285" t="str">
        <f>VLOOKUP(NFLDataSet!C286,TotalYardDiff2,2,TRUE)</f>
        <v>Low</v>
      </c>
      <c r="D285" t="str">
        <f>VLOOKUP(NFLDataSet!D286,PassYardsDiff2,2,TRUE)</f>
        <v>Low</v>
      </c>
      <c r="E285" t="str">
        <f>VLOOKUP(NFLDataSet!E286,RushYards2,2,TRUE)</f>
        <v>Medium</v>
      </c>
      <c r="F285" t="str">
        <f>VLOOKUP(NFLDataSet!F286,TurnOverDiff2,2,TRUE)</f>
        <v>Medium</v>
      </c>
      <c r="G285" t="str">
        <f>NFLDataSet!G286</f>
        <v>W</v>
      </c>
    </row>
    <row r="286" spans="1:7" x14ac:dyDescent="0.35">
      <c r="A286" t="str">
        <f>NFLDataSet!A287</f>
        <v>H</v>
      </c>
      <c r="B286" t="str">
        <f>VLOOKUP(NFLDataSet!B287,FirstDownDiff2,2,TRUE)</f>
        <v>High</v>
      </c>
      <c r="C286" t="str">
        <f>VLOOKUP(NFLDataSet!C287,TotalYardDiff2,2,TRUE)</f>
        <v>High</v>
      </c>
      <c r="D286" t="str">
        <f>VLOOKUP(NFLDataSet!D287,PassYardsDiff2,2,TRUE)</f>
        <v>High</v>
      </c>
      <c r="E286" t="str">
        <f>VLOOKUP(NFLDataSet!E287,RushYards2,2,TRUE)</f>
        <v>Medium</v>
      </c>
      <c r="F286" t="str">
        <f>VLOOKUP(NFLDataSet!F287,TurnOverDiff2,2,TRUE)</f>
        <v>Medium</v>
      </c>
      <c r="G286" t="str">
        <f>NFLDataSet!G287</f>
        <v>W</v>
      </c>
    </row>
    <row r="287" spans="1:7" x14ac:dyDescent="0.35">
      <c r="A287" t="str">
        <f>NFLDataSet!A288</f>
        <v>H</v>
      </c>
      <c r="B287" t="str">
        <f>VLOOKUP(NFLDataSet!B288,FirstDownDiff2,2,TRUE)</f>
        <v>Low</v>
      </c>
      <c r="C287" t="str">
        <f>VLOOKUP(NFLDataSet!C288,TotalYardDiff2,2,TRUE)</f>
        <v>Medium</v>
      </c>
      <c r="D287" t="str">
        <f>VLOOKUP(NFLDataSet!D288,PassYardsDiff2,2,TRUE)</f>
        <v>Medium</v>
      </c>
      <c r="E287" t="str">
        <f>VLOOKUP(NFLDataSet!E288,RushYards2,2,TRUE)</f>
        <v>Medium</v>
      </c>
      <c r="F287" t="str">
        <f>VLOOKUP(NFLDataSet!F288,TurnOverDiff2,2,TRUE)</f>
        <v>Medium</v>
      </c>
      <c r="G287" t="str">
        <f>NFLDataSet!G288</f>
        <v>W</v>
      </c>
    </row>
    <row r="288" spans="1:7" x14ac:dyDescent="0.35">
      <c r="A288" t="str">
        <f>NFLDataSet!A289</f>
        <v>A</v>
      </c>
      <c r="B288" t="str">
        <f>VLOOKUP(NFLDataSet!B289,FirstDownDiff2,2,TRUE)</f>
        <v>Medium</v>
      </c>
      <c r="C288" t="str">
        <f>VLOOKUP(NFLDataSet!C289,TotalYardDiff2,2,TRUE)</f>
        <v>High</v>
      </c>
      <c r="D288" t="str">
        <f>VLOOKUP(NFLDataSet!D289,PassYardsDiff2,2,TRUE)</f>
        <v>High</v>
      </c>
      <c r="E288" t="str">
        <f>VLOOKUP(NFLDataSet!E289,RushYards2,2,TRUE)</f>
        <v>Medium</v>
      </c>
      <c r="F288" t="str">
        <f>VLOOKUP(NFLDataSet!F289,TurnOverDiff2,2,TRUE)</f>
        <v>Medium</v>
      </c>
      <c r="G288" t="str">
        <f>NFLDataSet!G289</f>
        <v>W</v>
      </c>
    </row>
    <row r="289" spans="1:7" x14ac:dyDescent="0.35">
      <c r="A289" t="str">
        <f>NFLDataSet!A290</f>
        <v>H</v>
      </c>
      <c r="B289" t="str">
        <f>VLOOKUP(NFLDataSet!B290,FirstDownDiff2,2,TRUE)</f>
        <v>Medium</v>
      </c>
      <c r="C289" t="str">
        <f>VLOOKUP(NFLDataSet!C290,TotalYardDiff2,2,TRUE)</f>
        <v>Medium</v>
      </c>
      <c r="D289" t="str">
        <f>VLOOKUP(NFLDataSet!D290,PassYardsDiff2,2,TRUE)</f>
        <v>Medium</v>
      </c>
      <c r="E289" t="str">
        <f>VLOOKUP(NFLDataSet!E290,RushYards2,2,TRUE)</f>
        <v>Medium</v>
      </c>
      <c r="F289" t="str">
        <f>VLOOKUP(NFLDataSet!F290,TurnOverDiff2,2,TRUE)</f>
        <v>High</v>
      </c>
      <c r="G289" t="str">
        <f>NFLDataSet!G290</f>
        <v>L</v>
      </c>
    </row>
    <row r="290" spans="1:7" x14ac:dyDescent="0.35">
      <c r="A290" t="str">
        <f>NFLDataSet!A291</f>
        <v>H</v>
      </c>
      <c r="B290" t="str">
        <f>VLOOKUP(NFLDataSet!B291,FirstDownDiff2,2,TRUE)</f>
        <v>Medium</v>
      </c>
      <c r="C290" t="str">
        <f>VLOOKUP(NFLDataSet!C291,TotalYardDiff2,2,TRUE)</f>
        <v>High</v>
      </c>
      <c r="D290" t="str">
        <f>VLOOKUP(NFLDataSet!D291,PassYardsDiff2,2,TRUE)</f>
        <v>High</v>
      </c>
      <c r="E290" t="str">
        <f>VLOOKUP(NFLDataSet!E291,RushYards2,2,TRUE)</f>
        <v>Low</v>
      </c>
      <c r="F290" t="str">
        <f>VLOOKUP(NFLDataSet!F291,TurnOverDiff2,2,TRUE)</f>
        <v>Medium</v>
      </c>
      <c r="G290" t="str">
        <f>NFLDataSet!G291</f>
        <v>L</v>
      </c>
    </row>
    <row r="291" spans="1:7" x14ac:dyDescent="0.35">
      <c r="A291" t="str">
        <f>NFLDataSet!A292</f>
        <v>A</v>
      </c>
      <c r="B291" t="str">
        <f>VLOOKUP(NFLDataSet!B292,FirstDownDiff2,2,TRUE)</f>
        <v>Medium</v>
      </c>
      <c r="C291" t="str">
        <f>VLOOKUP(NFLDataSet!C292,TotalYardDiff2,2,TRUE)</f>
        <v>Low</v>
      </c>
      <c r="D291" t="str">
        <f>VLOOKUP(NFLDataSet!D292,PassYardsDiff2,2,TRUE)</f>
        <v>Low</v>
      </c>
      <c r="E291" t="str">
        <f>VLOOKUP(NFLDataSet!E292,RushYards2,2,TRUE)</f>
        <v>High</v>
      </c>
      <c r="F291" t="str">
        <f>VLOOKUP(NFLDataSet!F292,TurnOverDiff2,2,TRUE)</f>
        <v>Medium</v>
      </c>
      <c r="G291" t="str">
        <f>NFLDataSet!G292</f>
        <v>W</v>
      </c>
    </row>
    <row r="292" spans="1:7" x14ac:dyDescent="0.35">
      <c r="A292" t="str">
        <f>NFLDataSet!A293</f>
        <v>H</v>
      </c>
      <c r="B292" t="str">
        <f>VLOOKUP(NFLDataSet!B293,FirstDownDiff2,2,TRUE)</f>
        <v>Medium</v>
      </c>
      <c r="C292" t="str">
        <f>VLOOKUP(NFLDataSet!C293,TotalYardDiff2,2,TRUE)</f>
        <v>Medium</v>
      </c>
      <c r="D292" t="str">
        <f>VLOOKUP(NFLDataSet!D293,PassYardsDiff2,2,TRUE)</f>
        <v>Low</v>
      </c>
      <c r="E292" t="str">
        <f>VLOOKUP(NFLDataSet!E293,RushYards2,2,TRUE)</f>
        <v>Medium</v>
      </c>
      <c r="F292" t="str">
        <f>VLOOKUP(NFLDataSet!F293,TurnOverDiff2,2,TRUE)</f>
        <v>Medium</v>
      </c>
      <c r="G292" t="str">
        <f>NFLDataSet!G293</f>
        <v>L</v>
      </c>
    </row>
    <row r="293" spans="1:7" x14ac:dyDescent="0.35">
      <c r="A293" t="str">
        <f>NFLDataSet!A294</f>
        <v>H</v>
      </c>
      <c r="B293" t="str">
        <f>VLOOKUP(NFLDataSet!B294,FirstDownDiff2,2,TRUE)</f>
        <v>Medium</v>
      </c>
      <c r="C293" t="str">
        <f>VLOOKUP(NFLDataSet!C294,TotalYardDiff2,2,TRUE)</f>
        <v>Medium</v>
      </c>
      <c r="D293" t="str">
        <f>VLOOKUP(NFLDataSet!D294,PassYardsDiff2,2,TRUE)</f>
        <v>Medium</v>
      </c>
      <c r="E293" t="str">
        <f>VLOOKUP(NFLDataSet!E294,RushYards2,2,TRUE)</f>
        <v>Medium</v>
      </c>
      <c r="F293" t="str">
        <f>VLOOKUP(NFLDataSet!F294,TurnOverDiff2,2,TRUE)</f>
        <v>Medium</v>
      </c>
      <c r="G293" t="str">
        <f>NFLDataSet!G294</f>
        <v>L</v>
      </c>
    </row>
    <row r="294" spans="1:7" x14ac:dyDescent="0.35">
      <c r="A294" t="str">
        <f>NFLDataSet!A295</f>
        <v>A</v>
      </c>
      <c r="B294" t="str">
        <f>VLOOKUP(NFLDataSet!B295,FirstDownDiff2,2,TRUE)</f>
        <v>Medium</v>
      </c>
      <c r="C294" t="str">
        <f>VLOOKUP(NFLDataSet!C295,TotalYardDiff2,2,TRUE)</f>
        <v>Medium</v>
      </c>
      <c r="D294" t="str">
        <f>VLOOKUP(NFLDataSet!D295,PassYardsDiff2,2,TRUE)</f>
        <v>Medium</v>
      </c>
      <c r="E294" t="str">
        <f>VLOOKUP(NFLDataSet!E295,RushYards2,2,TRUE)</f>
        <v>Medium</v>
      </c>
      <c r="F294" t="str">
        <f>VLOOKUP(NFLDataSet!F295,TurnOverDiff2,2,TRUE)</f>
        <v>Medium</v>
      </c>
      <c r="G294" t="str">
        <f>NFLDataSet!G295</f>
        <v>W</v>
      </c>
    </row>
    <row r="295" spans="1:7" x14ac:dyDescent="0.35">
      <c r="A295" t="str">
        <f>NFLDataSet!A296</f>
        <v>A</v>
      </c>
      <c r="B295" t="str">
        <f>VLOOKUP(NFLDataSet!B296,FirstDownDiff2,2,TRUE)</f>
        <v>High</v>
      </c>
      <c r="C295" t="str">
        <f>VLOOKUP(NFLDataSet!C296,TotalYardDiff2,2,TRUE)</f>
        <v>High</v>
      </c>
      <c r="D295" t="str">
        <f>VLOOKUP(NFLDataSet!D296,PassYardsDiff2,2,TRUE)</f>
        <v>Medium</v>
      </c>
      <c r="E295" t="str">
        <f>VLOOKUP(NFLDataSet!E296,RushYards2,2,TRUE)</f>
        <v>High</v>
      </c>
      <c r="F295" t="str">
        <f>VLOOKUP(NFLDataSet!F296,TurnOverDiff2,2,TRUE)</f>
        <v>Medium</v>
      </c>
      <c r="G295" t="str">
        <f>NFLDataSet!G296</f>
        <v>W</v>
      </c>
    </row>
    <row r="296" spans="1:7" x14ac:dyDescent="0.35">
      <c r="A296" t="str">
        <f>NFLDataSet!A297</f>
        <v>H</v>
      </c>
      <c r="B296" t="str">
        <f>VLOOKUP(NFLDataSet!B297,FirstDownDiff2,2,TRUE)</f>
        <v>Medium</v>
      </c>
      <c r="C296" t="str">
        <f>VLOOKUP(NFLDataSet!C297,TotalYardDiff2,2,TRUE)</f>
        <v>Medium</v>
      </c>
      <c r="D296" t="str">
        <f>VLOOKUP(NFLDataSet!D297,PassYardsDiff2,2,TRUE)</f>
        <v>Medium</v>
      </c>
      <c r="E296" t="str">
        <f>VLOOKUP(NFLDataSet!E297,RushYards2,2,TRUE)</f>
        <v>Medium</v>
      </c>
      <c r="F296" t="str">
        <f>VLOOKUP(NFLDataSet!F297,TurnOverDiff2,2,TRUE)</f>
        <v>Medium</v>
      </c>
      <c r="G296" t="str">
        <f>NFLDataSet!G297</f>
        <v>W</v>
      </c>
    </row>
    <row r="297" spans="1:7" x14ac:dyDescent="0.35">
      <c r="A297" t="str">
        <f>NFLDataSet!A298</f>
        <v>A</v>
      </c>
      <c r="B297" t="str">
        <f>VLOOKUP(NFLDataSet!B298,FirstDownDiff2,2,TRUE)</f>
        <v>Low</v>
      </c>
      <c r="C297" t="str">
        <f>VLOOKUP(NFLDataSet!C298,TotalYardDiff2,2,TRUE)</f>
        <v>Low</v>
      </c>
      <c r="D297" t="str">
        <f>VLOOKUP(NFLDataSet!D298,PassYardsDiff2,2,TRUE)</f>
        <v>High</v>
      </c>
      <c r="E297" t="str">
        <f>VLOOKUP(NFLDataSet!E298,RushYards2,2,TRUE)</f>
        <v>Low</v>
      </c>
      <c r="F297" t="str">
        <f>VLOOKUP(NFLDataSet!F298,TurnOverDiff2,2,TRUE)</f>
        <v>Medium</v>
      </c>
      <c r="G297" t="str">
        <f>NFLDataSet!G298</f>
        <v>L</v>
      </c>
    </row>
    <row r="298" spans="1:7" x14ac:dyDescent="0.35">
      <c r="A298" t="str">
        <f>NFLDataSet!A299</f>
        <v>A</v>
      </c>
      <c r="B298" t="str">
        <f>VLOOKUP(NFLDataSet!B299,FirstDownDiff2,2,TRUE)</f>
        <v>Low</v>
      </c>
      <c r="C298" t="str">
        <f>VLOOKUP(NFLDataSet!C299,TotalYardDiff2,2,TRUE)</f>
        <v>Low</v>
      </c>
      <c r="D298" t="str">
        <f>VLOOKUP(NFLDataSet!D299,PassYardsDiff2,2,TRUE)</f>
        <v>Medium</v>
      </c>
      <c r="E298" t="str">
        <f>VLOOKUP(NFLDataSet!E299,RushYards2,2,TRUE)</f>
        <v>Low</v>
      </c>
      <c r="F298" t="str">
        <f>VLOOKUP(NFLDataSet!F299,TurnOverDiff2,2,TRUE)</f>
        <v>Medium</v>
      </c>
      <c r="G298" t="str">
        <f>NFLDataSet!G299</f>
        <v>L</v>
      </c>
    </row>
    <row r="299" spans="1:7" x14ac:dyDescent="0.35">
      <c r="A299" t="str">
        <f>NFLDataSet!A300</f>
        <v>A</v>
      </c>
      <c r="B299" t="str">
        <f>VLOOKUP(NFLDataSet!B300,FirstDownDiff2,2,TRUE)</f>
        <v>Low</v>
      </c>
      <c r="C299" t="str">
        <f>VLOOKUP(NFLDataSet!C300,TotalYardDiff2,2,TRUE)</f>
        <v>Low</v>
      </c>
      <c r="D299" t="str">
        <f>VLOOKUP(NFLDataSet!D300,PassYardsDiff2,2,TRUE)</f>
        <v>Medium</v>
      </c>
      <c r="E299" t="str">
        <f>VLOOKUP(NFLDataSet!E300,RushYards2,2,TRUE)</f>
        <v>Low</v>
      </c>
      <c r="F299" t="str">
        <f>VLOOKUP(NFLDataSet!F300,TurnOverDiff2,2,TRUE)</f>
        <v>Medium</v>
      </c>
      <c r="G299" t="str">
        <f>NFLDataSet!G300</f>
        <v>L</v>
      </c>
    </row>
    <row r="300" spans="1:7" x14ac:dyDescent="0.35">
      <c r="A300" t="str">
        <f>NFLDataSet!A301</f>
        <v>H</v>
      </c>
      <c r="B300" t="str">
        <f>VLOOKUP(NFLDataSet!B301,FirstDownDiff2,2,TRUE)</f>
        <v>High</v>
      </c>
      <c r="C300" t="str">
        <f>VLOOKUP(NFLDataSet!C301,TotalYardDiff2,2,TRUE)</f>
        <v>Medium</v>
      </c>
      <c r="D300" t="str">
        <f>VLOOKUP(NFLDataSet!D301,PassYardsDiff2,2,TRUE)</f>
        <v>Medium</v>
      </c>
      <c r="E300" t="str">
        <f>VLOOKUP(NFLDataSet!E301,RushYards2,2,TRUE)</f>
        <v>Low</v>
      </c>
      <c r="F300" t="str">
        <f>VLOOKUP(NFLDataSet!F301,TurnOverDiff2,2,TRUE)</f>
        <v>Medium</v>
      </c>
      <c r="G300" t="str">
        <f>NFLDataSet!G301</f>
        <v>L</v>
      </c>
    </row>
    <row r="301" spans="1:7" x14ac:dyDescent="0.35">
      <c r="A301" t="str">
        <f>NFLDataSet!A302</f>
        <v>H</v>
      </c>
      <c r="B301" t="str">
        <f>VLOOKUP(NFLDataSet!B302,FirstDownDiff2,2,TRUE)</f>
        <v>Medium</v>
      </c>
      <c r="C301" t="str">
        <f>VLOOKUP(NFLDataSet!C302,TotalYardDiff2,2,TRUE)</f>
        <v>Medium</v>
      </c>
      <c r="D301" t="str">
        <f>VLOOKUP(NFLDataSet!D302,PassYardsDiff2,2,TRUE)</f>
        <v>Medium</v>
      </c>
      <c r="E301" t="str">
        <f>VLOOKUP(NFLDataSet!E302,RushYards2,2,TRUE)</f>
        <v>Medium</v>
      </c>
      <c r="F301" t="str">
        <f>VLOOKUP(NFLDataSet!F302,TurnOverDiff2,2,TRUE)</f>
        <v>Medium</v>
      </c>
      <c r="G301" t="str">
        <f>NFLDataSet!G302</f>
        <v>L</v>
      </c>
    </row>
    <row r="302" spans="1:7" x14ac:dyDescent="0.35">
      <c r="A302" t="str">
        <f>NFLDataSet!A303</f>
        <v>A</v>
      </c>
      <c r="B302" t="str">
        <f>VLOOKUP(NFLDataSet!B303,FirstDownDiff2,2,TRUE)</f>
        <v>High</v>
      </c>
      <c r="C302" t="str">
        <f>VLOOKUP(NFLDataSet!C303,TotalYardDiff2,2,TRUE)</f>
        <v>High</v>
      </c>
      <c r="D302" t="str">
        <f>VLOOKUP(NFLDataSet!D303,PassYardsDiff2,2,TRUE)</f>
        <v>High</v>
      </c>
      <c r="E302" t="str">
        <f>VLOOKUP(NFLDataSet!E303,RushYards2,2,TRUE)</f>
        <v>Medium</v>
      </c>
      <c r="F302" t="str">
        <f>VLOOKUP(NFLDataSet!F303,TurnOverDiff2,2,TRUE)</f>
        <v>High</v>
      </c>
      <c r="G302" t="str">
        <f>NFLDataSet!G303</f>
        <v>L</v>
      </c>
    </row>
    <row r="303" spans="1:7" x14ac:dyDescent="0.35">
      <c r="A303" t="str">
        <f>NFLDataSet!A304</f>
        <v>H</v>
      </c>
      <c r="B303" t="str">
        <f>VLOOKUP(NFLDataSet!B304,FirstDownDiff2,2,TRUE)</f>
        <v>Low</v>
      </c>
      <c r="C303" t="str">
        <f>VLOOKUP(NFLDataSet!C304,TotalYardDiff2,2,TRUE)</f>
        <v>Low</v>
      </c>
      <c r="D303" t="str">
        <f>VLOOKUP(NFLDataSet!D304,PassYardsDiff2,2,TRUE)</f>
        <v>Medium</v>
      </c>
      <c r="E303" t="str">
        <f>VLOOKUP(NFLDataSet!E304,RushYards2,2,TRUE)</f>
        <v>Low</v>
      </c>
      <c r="F303" t="str">
        <f>VLOOKUP(NFLDataSet!F304,TurnOverDiff2,2,TRUE)</f>
        <v>Medium</v>
      </c>
      <c r="G303" t="str">
        <f>NFLDataSet!G304</f>
        <v>L</v>
      </c>
    </row>
    <row r="304" spans="1:7" x14ac:dyDescent="0.35">
      <c r="A304" t="str">
        <f>NFLDataSet!A305</f>
        <v>H</v>
      </c>
      <c r="B304" t="str">
        <f>VLOOKUP(NFLDataSet!B305,FirstDownDiff2,2,TRUE)</f>
        <v>Low</v>
      </c>
      <c r="C304" t="str">
        <f>VLOOKUP(NFLDataSet!C305,TotalYardDiff2,2,TRUE)</f>
        <v>Low</v>
      </c>
      <c r="D304" t="str">
        <f>VLOOKUP(NFLDataSet!D305,PassYardsDiff2,2,TRUE)</f>
        <v>Low</v>
      </c>
      <c r="E304" t="str">
        <f>VLOOKUP(NFLDataSet!E305,RushYards2,2,TRUE)</f>
        <v>Low</v>
      </c>
      <c r="F304" t="str">
        <f>VLOOKUP(NFLDataSet!F305,TurnOverDiff2,2,TRUE)</f>
        <v>Medium</v>
      </c>
      <c r="G304" t="str">
        <f>NFLDataSet!G305</f>
        <v>L</v>
      </c>
    </row>
    <row r="305" spans="1:7" x14ac:dyDescent="0.35">
      <c r="A305" t="str">
        <f>NFLDataSet!A306</f>
        <v>H</v>
      </c>
      <c r="B305" t="str">
        <f>VLOOKUP(NFLDataSet!B306,FirstDownDiff2,2,TRUE)</f>
        <v>Low</v>
      </c>
      <c r="C305" t="str">
        <f>VLOOKUP(NFLDataSet!C306,TotalYardDiff2,2,TRUE)</f>
        <v>Low</v>
      </c>
      <c r="D305" t="str">
        <f>VLOOKUP(NFLDataSet!D306,PassYardsDiff2,2,TRUE)</f>
        <v>Low</v>
      </c>
      <c r="E305" t="str">
        <f>VLOOKUP(NFLDataSet!E306,RushYards2,2,TRUE)</f>
        <v>Medium</v>
      </c>
      <c r="F305" t="str">
        <f>VLOOKUP(NFLDataSet!F306,TurnOverDiff2,2,TRUE)</f>
        <v>Medium</v>
      </c>
      <c r="G305" t="str">
        <f>NFLDataSet!G306</f>
        <v>L</v>
      </c>
    </row>
    <row r="306" spans="1:7" x14ac:dyDescent="0.35">
      <c r="A306" t="str">
        <f>NFLDataSet!A307</f>
        <v>A</v>
      </c>
      <c r="B306" t="str">
        <f>VLOOKUP(NFLDataSet!B307,FirstDownDiff2,2,TRUE)</f>
        <v>Low</v>
      </c>
      <c r="C306" t="str">
        <f>VLOOKUP(NFLDataSet!C307,TotalYardDiff2,2,TRUE)</f>
        <v>Low</v>
      </c>
      <c r="D306" t="str">
        <f>VLOOKUP(NFLDataSet!D307,PassYardsDiff2,2,TRUE)</f>
        <v>Medium</v>
      </c>
      <c r="E306" t="str">
        <f>VLOOKUP(NFLDataSet!E307,RushYards2,2,TRUE)</f>
        <v>Low</v>
      </c>
      <c r="F306" t="str">
        <f>VLOOKUP(NFLDataSet!F307,TurnOverDiff2,2,TRUE)</f>
        <v>Medium</v>
      </c>
      <c r="G306" t="str">
        <f>NFLDataSet!G307</f>
        <v>L</v>
      </c>
    </row>
    <row r="307" spans="1:7" x14ac:dyDescent="0.35">
      <c r="A307" t="str">
        <f>NFLDataSet!A308</f>
        <v>A</v>
      </c>
      <c r="B307" t="str">
        <f>VLOOKUP(NFLDataSet!B308,FirstDownDiff2,2,TRUE)</f>
        <v>High</v>
      </c>
      <c r="C307" t="str">
        <f>VLOOKUP(NFLDataSet!C308,TotalYardDiff2,2,TRUE)</f>
        <v>High</v>
      </c>
      <c r="D307" t="str">
        <f>VLOOKUP(NFLDataSet!D308,PassYardsDiff2,2,TRUE)</f>
        <v>High</v>
      </c>
      <c r="E307" t="str">
        <f>VLOOKUP(NFLDataSet!E308,RushYards2,2,TRUE)</f>
        <v>Medium</v>
      </c>
      <c r="F307" t="str">
        <f>VLOOKUP(NFLDataSet!F308,TurnOverDiff2,2,TRUE)</f>
        <v>Medium</v>
      </c>
      <c r="G307" t="str">
        <f>NFLDataSet!G308</f>
        <v>L</v>
      </c>
    </row>
    <row r="308" spans="1:7" x14ac:dyDescent="0.35">
      <c r="A308" t="str">
        <f>NFLDataSet!A309</f>
        <v>H</v>
      </c>
      <c r="B308" t="str">
        <f>VLOOKUP(NFLDataSet!B309,FirstDownDiff2,2,TRUE)</f>
        <v>Medium</v>
      </c>
      <c r="C308" t="str">
        <f>VLOOKUP(NFLDataSet!C309,TotalYardDiff2,2,TRUE)</f>
        <v>Medium</v>
      </c>
      <c r="D308" t="str">
        <f>VLOOKUP(NFLDataSet!D309,PassYardsDiff2,2,TRUE)</f>
        <v>Medium</v>
      </c>
      <c r="E308" t="str">
        <f>VLOOKUP(NFLDataSet!E309,RushYards2,2,TRUE)</f>
        <v>Medium</v>
      </c>
      <c r="F308" t="str">
        <f>VLOOKUP(NFLDataSet!F309,TurnOverDiff2,2,TRUE)</f>
        <v>Medium</v>
      </c>
      <c r="G308" t="str">
        <f>NFLDataSet!G309</f>
        <v>W</v>
      </c>
    </row>
    <row r="309" spans="1:7" x14ac:dyDescent="0.35">
      <c r="A309" t="str">
        <f>NFLDataSet!A310</f>
        <v>A</v>
      </c>
      <c r="B309" t="str">
        <f>VLOOKUP(NFLDataSet!B310,FirstDownDiff2,2,TRUE)</f>
        <v>Medium</v>
      </c>
      <c r="C309" t="str">
        <f>VLOOKUP(NFLDataSet!C310,TotalYardDiff2,2,TRUE)</f>
        <v>Medium</v>
      </c>
      <c r="D309" t="str">
        <f>VLOOKUP(NFLDataSet!D310,PassYardsDiff2,2,TRUE)</f>
        <v>Medium</v>
      </c>
      <c r="E309" t="str">
        <f>VLOOKUP(NFLDataSet!E310,RushYards2,2,TRUE)</f>
        <v>Medium</v>
      </c>
      <c r="F309" t="str">
        <f>VLOOKUP(NFLDataSet!F310,TurnOverDiff2,2,TRUE)</f>
        <v>Medium</v>
      </c>
      <c r="G309" t="str">
        <f>NFLDataSet!G310</f>
        <v>L</v>
      </c>
    </row>
    <row r="310" spans="1:7" x14ac:dyDescent="0.35">
      <c r="A310" t="str">
        <f>NFLDataSet!A311</f>
        <v>H</v>
      </c>
      <c r="B310" t="str">
        <f>VLOOKUP(NFLDataSet!B311,FirstDownDiff2,2,TRUE)</f>
        <v>Low</v>
      </c>
      <c r="C310" t="str">
        <f>VLOOKUP(NFLDataSet!C311,TotalYardDiff2,2,TRUE)</f>
        <v>Medium</v>
      </c>
      <c r="D310" t="str">
        <f>VLOOKUP(NFLDataSet!D311,PassYardsDiff2,2,TRUE)</f>
        <v>Medium</v>
      </c>
      <c r="E310" t="str">
        <f>VLOOKUP(NFLDataSet!E311,RushYards2,2,TRUE)</f>
        <v>Low</v>
      </c>
      <c r="F310" t="str">
        <f>VLOOKUP(NFLDataSet!F311,TurnOverDiff2,2,TRUE)</f>
        <v>Medium</v>
      </c>
      <c r="G310" t="str">
        <f>NFLDataSet!G311</f>
        <v>L</v>
      </c>
    </row>
    <row r="311" spans="1:7" x14ac:dyDescent="0.35">
      <c r="A311" t="str">
        <f>NFLDataSet!A312</f>
        <v>A</v>
      </c>
      <c r="B311" t="str">
        <f>VLOOKUP(NFLDataSet!B312,FirstDownDiff2,2,TRUE)</f>
        <v>Medium</v>
      </c>
      <c r="C311" t="str">
        <f>VLOOKUP(NFLDataSet!C312,TotalYardDiff2,2,TRUE)</f>
        <v>Medium</v>
      </c>
      <c r="D311" t="str">
        <f>VLOOKUP(NFLDataSet!D312,PassYardsDiff2,2,TRUE)</f>
        <v>Low</v>
      </c>
      <c r="E311" t="str">
        <f>VLOOKUP(NFLDataSet!E312,RushYards2,2,TRUE)</f>
        <v>High</v>
      </c>
      <c r="F311" t="str">
        <f>VLOOKUP(NFLDataSet!F312,TurnOverDiff2,2,TRUE)</f>
        <v>High</v>
      </c>
      <c r="G311" t="str">
        <f>NFLDataSet!G312</f>
        <v>L</v>
      </c>
    </row>
    <row r="312" spans="1:7" x14ac:dyDescent="0.35">
      <c r="A312" t="str">
        <f>NFLDataSet!A313</f>
        <v>A</v>
      </c>
      <c r="B312" t="str">
        <f>VLOOKUP(NFLDataSet!B313,FirstDownDiff2,2,TRUE)</f>
        <v>High</v>
      </c>
      <c r="C312" t="str">
        <f>VLOOKUP(NFLDataSet!C313,TotalYardDiff2,2,TRUE)</f>
        <v>High</v>
      </c>
      <c r="D312" t="str">
        <f>VLOOKUP(NFLDataSet!D313,PassYardsDiff2,2,TRUE)</f>
        <v>High</v>
      </c>
      <c r="E312" t="str">
        <f>VLOOKUP(NFLDataSet!E313,RushYards2,2,TRUE)</f>
        <v>High</v>
      </c>
      <c r="F312" t="str">
        <f>VLOOKUP(NFLDataSet!F313,TurnOverDiff2,2,TRUE)</f>
        <v>Medium</v>
      </c>
      <c r="G312" t="str">
        <f>NFLDataSet!G313</f>
        <v>W</v>
      </c>
    </row>
    <row r="313" spans="1:7" x14ac:dyDescent="0.35">
      <c r="A313" t="str">
        <f>NFLDataSet!A314</f>
        <v>A</v>
      </c>
      <c r="B313" t="str">
        <f>VLOOKUP(NFLDataSet!B314,FirstDownDiff2,2,TRUE)</f>
        <v>Low</v>
      </c>
      <c r="C313" t="str">
        <f>VLOOKUP(NFLDataSet!C314,TotalYardDiff2,2,TRUE)</f>
        <v>Medium</v>
      </c>
      <c r="D313" t="str">
        <f>VLOOKUP(NFLDataSet!D314,PassYardsDiff2,2,TRUE)</f>
        <v>Medium</v>
      </c>
      <c r="E313" t="str">
        <f>VLOOKUP(NFLDataSet!E314,RushYards2,2,TRUE)</f>
        <v>Medium</v>
      </c>
      <c r="F313" t="str">
        <f>VLOOKUP(NFLDataSet!F314,TurnOverDiff2,2,TRUE)</f>
        <v>Medium</v>
      </c>
      <c r="G313" t="str">
        <f>NFLDataSet!G314</f>
        <v>W</v>
      </c>
    </row>
    <row r="314" spans="1:7" x14ac:dyDescent="0.35">
      <c r="A314" t="str">
        <f>NFLDataSet!A315</f>
        <v>A</v>
      </c>
      <c r="B314" t="str">
        <f>VLOOKUP(NFLDataSet!B315,FirstDownDiff2,2,TRUE)</f>
        <v>Medium</v>
      </c>
      <c r="C314" t="str">
        <f>VLOOKUP(NFLDataSet!C315,TotalYardDiff2,2,TRUE)</f>
        <v>Medium</v>
      </c>
      <c r="D314" t="str">
        <f>VLOOKUP(NFLDataSet!D315,PassYardsDiff2,2,TRUE)</f>
        <v>Medium</v>
      </c>
      <c r="E314" t="str">
        <f>VLOOKUP(NFLDataSet!E315,RushYards2,2,TRUE)</f>
        <v>Medium</v>
      </c>
      <c r="F314" t="str">
        <f>VLOOKUP(NFLDataSet!F315,TurnOverDiff2,2,TRUE)</f>
        <v>Medium</v>
      </c>
      <c r="G314" t="str">
        <f>NFLDataSet!G315</f>
        <v>L</v>
      </c>
    </row>
    <row r="315" spans="1:7" x14ac:dyDescent="0.35">
      <c r="A315" t="str">
        <f>NFLDataSet!A316</f>
        <v>A</v>
      </c>
      <c r="B315" t="str">
        <f>VLOOKUP(NFLDataSet!B316,FirstDownDiff2,2,TRUE)</f>
        <v>Medium</v>
      </c>
      <c r="C315" t="str">
        <f>VLOOKUP(NFLDataSet!C316,TotalYardDiff2,2,TRUE)</f>
        <v>Medium</v>
      </c>
      <c r="D315" t="str">
        <f>VLOOKUP(NFLDataSet!D316,PassYardsDiff2,2,TRUE)</f>
        <v>Medium</v>
      </c>
      <c r="E315" t="str">
        <f>VLOOKUP(NFLDataSet!E316,RushYards2,2,TRUE)</f>
        <v>Medium</v>
      </c>
      <c r="F315" t="str">
        <f>VLOOKUP(NFLDataSet!F316,TurnOverDiff2,2,TRUE)</f>
        <v>Medium</v>
      </c>
      <c r="G315" t="str">
        <f>NFLDataSet!G316</f>
        <v>L</v>
      </c>
    </row>
    <row r="316" spans="1:7" x14ac:dyDescent="0.35">
      <c r="A316" t="str">
        <f>NFLDataSet!A317</f>
        <v>A</v>
      </c>
      <c r="B316" t="str">
        <f>VLOOKUP(NFLDataSet!B317,FirstDownDiff2,2,TRUE)</f>
        <v>Medium</v>
      </c>
      <c r="C316" t="str">
        <f>VLOOKUP(NFLDataSet!C317,TotalYardDiff2,2,TRUE)</f>
        <v>Medium</v>
      </c>
      <c r="D316" t="str">
        <f>VLOOKUP(NFLDataSet!D317,PassYardsDiff2,2,TRUE)</f>
        <v>High</v>
      </c>
      <c r="E316" t="str">
        <f>VLOOKUP(NFLDataSet!E317,RushYards2,2,TRUE)</f>
        <v>Low</v>
      </c>
      <c r="F316" t="str">
        <f>VLOOKUP(NFLDataSet!F317,TurnOverDiff2,2,TRUE)</f>
        <v>Medium</v>
      </c>
      <c r="G316" t="str">
        <f>NFLDataSet!G317</f>
        <v>L</v>
      </c>
    </row>
    <row r="317" spans="1:7" x14ac:dyDescent="0.35">
      <c r="A317" t="str">
        <f>NFLDataSet!A318</f>
        <v>H</v>
      </c>
      <c r="B317" t="str">
        <f>VLOOKUP(NFLDataSet!B318,FirstDownDiff2,2,TRUE)</f>
        <v>High</v>
      </c>
      <c r="C317" t="str">
        <f>VLOOKUP(NFLDataSet!C318,TotalYardDiff2,2,TRUE)</f>
        <v>High</v>
      </c>
      <c r="D317" t="str">
        <f>VLOOKUP(NFLDataSet!D318,PassYardsDiff2,2,TRUE)</f>
        <v>Medium</v>
      </c>
      <c r="E317" t="str">
        <f>VLOOKUP(NFLDataSet!E318,RushYards2,2,TRUE)</f>
        <v>Medium</v>
      </c>
      <c r="F317" t="str">
        <f>VLOOKUP(NFLDataSet!F318,TurnOverDiff2,2,TRUE)</f>
        <v>Medium</v>
      </c>
      <c r="G317" t="str">
        <f>NFLDataSet!G318</f>
        <v>L</v>
      </c>
    </row>
    <row r="318" spans="1:7" x14ac:dyDescent="0.35">
      <c r="A318" t="str">
        <f>NFLDataSet!A319</f>
        <v>H</v>
      </c>
      <c r="B318" t="str">
        <f>VLOOKUP(NFLDataSet!B319,FirstDownDiff2,2,TRUE)</f>
        <v>High</v>
      </c>
      <c r="C318" t="str">
        <f>VLOOKUP(NFLDataSet!C319,TotalYardDiff2,2,TRUE)</f>
        <v>High</v>
      </c>
      <c r="D318" t="str">
        <f>VLOOKUP(NFLDataSet!D319,PassYardsDiff2,2,TRUE)</f>
        <v>High</v>
      </c>
      <c r="E318" t="str">
        <f>VLOOKUP(NFLDataSet!E319,RushYards2,2,TRUE)</f>
        <v>High</v>
      </c>
      <c r="F318" t="str">
        <f>VLOOKUP(NFLDataSet!F319,TurnOverDiff2,2,TRUE)</f>
        <v>Medium</v>
      </c>
      <c r="G318" t="str">
        <f>NFLDataSet!G319</f>
        <v>W</v>
      </c>
    </row>
    <row r="319" spans="1:7" x14ac:dyDescent="0.35">
      <c r="A319" t="str">
        <f>NFLDataSet!A320</f>
        <v>H</v>
      </c>
      <c r="B319" t="str">
        <f>VLOOKUP(NFLDataSet!B320,FirstDownDiff2,2,TRUE)</f>
        <v>Medium</v>
      </c>
      <c r="C319" t="str">
        <f>VLOOKUP(NFLDataSet!C320,TotalYardDiff2,2,TRUE)</f>
        <v>Low</v>
      </c>
      <c r="D319" t="str">
        <f>VLOOKUP(NFLDataSet!D320,PassYardsDiff2,2,TRUE)</f>
        <v>Medium</v>
      </c>
      <c r="E319" t="str">
        <f>VLOOKUP(NFLDataSet!E320,RushYards2,2,TRUE)</f>
        <v>Medium</v>
      </c>
      <c r="F319" t="str">
        <f>VLOOKUP(NFLDataSet!F320,TurnOverDiff2,2,TRUE)</f>
        <v>Medium</v>
      </c>
      <c r="G319" t="str">
        <f>NFLDataSet!G320</f>
        <v>W</v>
      </c>
    </row>
    <row r="320" spans="1:7" x14ac:dyDescent="0.35">
      <c r="A320" t="str">
        <f>NFLDataSet!A321</f>
        <v>H</v>
      </c>
      <c r="B320" t="str">
        <f>VLOOKUP(NFLDataSet!B321,FirstDownDiff2,2,TRUE)</f>
        <v>Low</v>
      </c>
      <c r="C320" t="str">
        <f>VLOOKUP(NFLDataSet!C321,TotalYardDiff2,2,TRUE)</f>
        <v>Medium</v>
      </c>
      <c r="D320" t="str">
        <f>VLOOKUP(NFLDataSet!D321,PassYardsDiff2,2,TRUE)</f>
        <v>High</v>
      </c>
      <c r="E320" t="str">
        <f>VLOOKUP(NFLDataSet!E321,RushYards2,2,TRUE)</f>
        <v>Low</v>
      </c>
      <c r="F320" t="str">
        <f>VLOOKUP(NFLDataSet!F321,TurnOverDiff2,2,TRUE)</f>
        <v>Medium</v>
      </c>
      <c r="G320" t="str">
        <f>NFLDataSet!G321</f>
        <v>L</v>
      </c>
    </row>
    <row r="321" spans="1:7" x14ac:dyDescent="0.35">
      <c r="A321" t="str">
        <f>NFLDataSet!A322</f>
        <v>H</v>
      </c>
      <c r="B321" t="str">
        <f>VLOOKUP(NFLDataSet!B322,FirstDownDiff2,2,TRUE)</f>
        <v>High</v>
      </c>
      <c r="C321" t="str">
        <f>VLOOKUP(NFLDataSet!C322,TotalYardDiff2,2,TRUE)</f>
        <v>High</v>
      </c>
      <c r="D321" t="str">
        <f>VLOOKUP(NFLDataSet!D322,PassYardsDiff2,2,TRUE)</f>
        <v>High</v>
      </c>
      <c r="E321" t="str">
        <f>VLOOKUP(NFLDataSet!E322,RushYards2,2,TRUE)</f>
        <v>High</v>
      </c>
      <c r="F321" t="str">
        <f>VLOOKUP(NFLDataSet!F322,TurnOverDiff2,2,TRUE)</f>
        <v>Low</v>
      </c>
      <c r="G321" t="str">
        <f>NFLDataSet!G322</f>
        <v>W</v>
      </c>
    </row>
    <row r="322" spans="1:7" x14ac:dyDescent="0.35">
      <c r="A322" t="str">
        <f>NFLDataSet!A323</f>
        <v>H</v>
      </c>
      <c r="B322" t="str">
        <f>VLOOKUP(NFLDataSet!B323,FirstDownDiff2,2,TRUE)</f>
        <v>Low</v>
      </c>
      <c r="C322" t="str">
        <f>VLOOKUP(NFLDataSet!C323,TotalYardDiff2,2,TRUE)</f>
        <v>Low</v>
      </c>
      <c r="D322" t="str">
        <f>VLOOKUP(NFLDataSet!D323,PassYardsDiff2,2,TRUE)</f>
        <v>Low</v>
      </c>
      <c r="E322" t="str">
        <f>VLOOKUP(NFLDataSet!E323,RushYards2,2,TRUE)</f>
        <v>Medium</v>
      </c>
      <c r="F322" t="str">
        <f>VLOOKUP(NFLDataSet!F323,TurnOverDiff2,2,TRUE)</f>
        <v>Medium</v>
      </c>
      <c r="G322" t="str">
        <f>NFLDataSet!G323</f>
        <v>L</v>
      </c>
    </row>
    <row r="323" spans="1:7" x14ac:dyDescent="0.35">
      <c r="A323" t="str">
        <f>NFLDataSet!A324</f>
        <v>A</v>
      </c>
      <c r="B323" t="str">
        <f>VLOOKUP(NFLDataSet!B324,FirstDownDiff2,2,TRUE)</f>
        <v>High</v>
      </c>
      <c r="C323" t="str">
        <f>VLOOKUP(NFLDataSet!C324,TotalYardDiff2,2,TRUE)</f>
        <v>Medium</v>
      </c>
      <c r="D323" t="str">
        <f>VLOOKUP(NFLDataSet!D324,PassYardsDiff2,2,TRUE)</f>
        <v>High</v>
      </c>
      <c r="E323" t="str">
        <f>VLOOKUP(NFLDataSet!E324,RushYards2,2,TRUE)</f>
        <v>Medium</v>
      </c>
      <c r="F323" t="str">
        <f>VLOOKUP(NFLDataSet!F324,TurnOverDiff2,2,TRUE)</f>
        <v>Medium</v>
      </c>
      <c r="G323" t="str">
        <f>NFLDataSet!G324</f>
        <v>W</v>
      </c>
    </row>
    <row r="324" spans="1:7" x14ac:dyDescent="0.35">
      <c r="A324" t="str">
        <f>NFLDataSet!A325</f>
        <v>A</v>
      </c>
      <c r="B324" t="str">
        <f>VLOOKUP(NFLDataSet!B325,FirstDownDiff2,2,TRUE)</f>
        <v>Low</v>
      </c>
      <c r="C324" t="str">
        <f>VLOOKUP(NFLDataSet!C325,TotalYardDiff2,2,TRUE)</f>
        <v>Low</v>
      </c>
      <c r="D324" t="str">
        <f>VLOOKUP(NFLDataSet!D325,PassYardsDiff2,2,TRUE)</f>
        <v>High</v>
      </c>
      <c r="E324" t="str">
        <f>VLOOKUP(NFLDataSet!E325,RushYards2,2,TRUE)</f>
        <v>Low</v>
      </c>
      <c r="F324" t="str">
        <f>VLOOKUP(NFLDataSet!F325,TurnOverDiff2,2,TRUE)</f>
        <v>Medium</v>
      </c>
      <c r="G324" t="str">
        <f>NFLDataSet!G325</f>
        <v>L</v>
      </c>
    </row>
    <row r="325" spans="1:7" x14ac:dyDescent="0.35">
      <c r="A325" t="str">
        <f>NFLDataSet!A326</f>
        <v>H</v>
      </c>
      <c r="B325" t="str">
        <f>VLOOKUP(NFLDataSet!B326,FirstDownDiff2,2,TRUE)</f>
        <v>High</v>
      </c>
      <c r="C325" t="str">
        <f>VLOOKUP(NFLDataSet!C326,TotalYardDiff2,2,TRUE)</f>
        <v>High</v>
      </c>
      <c r="D325" t="str">
        <f>VLOOKUP(NFLDataSet!D326,PassYardsDiff2,2,TRUE)</f>
        <v>High</v>
      </c>
      <c r="E325" t="str">
        <f>VLOOKUP(NFLDataSet!E326,RushYards2,2,TRUE)</f>
        <v>Medium</v>
      </c>
      <c r="F325" t="str">
        <f>VLOOKUP(NFLDataSet!F326,TurnOverDiff2,2,TRUE)</f>
        <v>Medium</v>
      </c>
      <c r="G325" t="str">
        <f>NFLDataSet!G326</f>
        <v>L</v>
      </c>
    </row>
    <row r="326" spans="1:7" x14ac:dyDescent="0.35">
      <c r="A326" t="str">
        <f>NFLDataSet!A327</f>
        <v>A</v>
      </c>
      <c r="B326" t="str">
        <f>VLOOKUP(NFLDataSet!B327,FirstDownDiff2,2,TRUE)</f>
        <v>Low</v>
      </c>
      <c r="C326" t="str">
        <f>VLOOKUP(NFLDataSet!C327,TotalYardDiff2,2,TRUE)</f>
        <v>Low</v>
      </c>
      <c r="D326" t="str">
        <f>VLOOKUP(NFLDataSet!D327,PassYardsDiff2,2,TRUE)</f>
        <v>Low</v>
      </c>
      <c r="E326" t="str">
        <f>VLOOKUP(NFLDataSet!E327,RushYards2,2,TRUE)</f>
        <v>High</v>
      </c>
      <c r="F326" t="str">
        <f>VLOOKUP(NFLDataSet!F327,TurnOverDiff2,2,TRUE)</f>
        <v>Medium</v>
      </c>
      <c r="G326" t="str">
        <f>NFLDataSet!G327</f>
        <v>W</v>
      </c>
    </row>
    <row r="327" spans="1:7" x14ac:dyDescent="0.35">
      <c r="A327" t="str">
        <f>NFLDataSet!A328</f>
        <v>H</v>
      </c>
      <c r="B327" t="str">
        <f>VLOOKUP(NFLDataSet!B328,FirstDownDiff2,2,TRUE)</f>
        <v>High</v>
      </c>
      <c r="C327" t="str">
        <f>VLOOKUP(NFLDataSet!C328,TotalYardDiff2,2,TRUE)</f>
        <v>High</v>
      </c>
      <c r="D327" t="str">
        <f>VLOOKUP(NFLDataSet!D328,PassYardsDiff2,2,TRUE)</f>
        <v>High</v>
      </c>
      <c r="E327" t="str">
        <f>VLOOKUP(NFLDataSet!E328,RushYards2,2,TRUE)</f>
        <v>High</v>
      </c>
      <c r="F327" t="str">
        <f>VLOOKUP(NFLDataSet!F328,TurnOverDiff2,2,TRUE)</f>
        <v>Medium</v>
      </c>
      <c r="G327" t="str">
        <f>NFLDataSet!G328</f>
        <v>W</v>
      </c>
    </row>
    <row r="328" spans="1:7" x14ac:dyDescent="0.35">
      <c r="A328" t="str">
        <f>NFLDataSet!A329</f>
        <v>A</v>
      </c>
      <c r="B328" t="str">
        <f>VLOOKUP(NFLDataSet!B329,FirstDownDiff2,2,TRUE)</f>
        <v>Medium</v>
      </c>
      <c r="C328" t="str">
        <f>VLOOKUP(NFLDataSet!C329,TotalYardDiff2,2,TRUE)</f>
        <v>Medium</v>
      </c>
      <c r="D328" t="str">
        <f>VLOOKUP(NFLDataSet!D329,PassYardsDiff2,2,TRUE)</f>
        <v>Medium</v>
      </c>
      <c r="E328" t="str">
        <f>VLOOKUP(NFLDataSet!E329,RushYards2,2,TRUE)</f>
        <v>Medium</v>
      </c>
      <c r="F328" t="str">
        <f>VLOOKUP(NFLDataSet!F329,TurnOverDiff2,2,TRUE)</f>
        <v>Medium</v>
      </c>
      <c r="G328" t="str">
        <f>NFLDataSet!G329</f>
        <v>L</v>
      </c>
    </row>
    <row r="329" spans="1:7" x14ac:dyDescent="0.35">
      <c r="A329" t="str">
        <f>NFLDataSet!A330</f>
        <v>H</v>
      </c>
      <c r="B329" t="str">
        <f>VLOOKUP(NFLDataSet!B330,FirstDownDiff2,2,TRUE)</f>
        <v>Medium</v>
      </c>
      <c r="C329" t="str">
        <f>VLOOKUP(NFLDataSet!C330,TotalYardDiff2,2,TRUE)</f>
        <v>Medium</v>
      </c>
      <c r="D329" t="str">
        <f>VLOOKUP(NFLDataSet!D330,PassYardsDiff2,2,TRUE)</f>
        <v>Medium</v>
      </c>
      <c r="E329" t="str">
        <f>VLOOKUP(NFLDataSet!E330,RushYards2,2,TRUE)</f>
        <v>Medium</v>
      </c>
      <c r="F329" t="str">
        <f>VLOOKUP(NFLDataSet!F330,TurnOverDiff2,2,TRUE)</f>
        <v>Medium</v>
      </c>
      <c r="G329" t="str">
        <f>NFLDataSet!G330</f>
        <v>L</v>
      </c>
    </row>
    <row r="330" spans="1:7" x14ac:dyDescent="0.35">
      <c r="A330" t="str">
        <f>NFLDataSet!A331</f>
        <v>A</v>
      </c>
      <c r="B330" t="str">
        <f>VLOOKUP(NFLDataSet!B331,FirstDownDiff2,2,TRUE)</f>
        <v>Medium</v>
      </c>
      <c r="C330" t="str">
        <f>VLOOKUP(NFLDataSet!C331,TotalYardDiff2,2,TRUE)</f>
        <v>Medium</v>
      </c>
      <c r="D330" t="str">
        <f>VLOOKUP(NFLDataSet!D331,PassYardsDiff2,2,TRUE)</f>
        <v>Medium</v>
      </c>
      <c r="E330" t="str">
        <f>VLOOKUP(NFLDataSet!E331,RushYards2,2,TRUE)</f>
        <v>Medium</v>
      </c>
      <c r="F330" t="str">
        <f>VLOOKUP(NFLDataSet!F331,TurnOverDiff2,2,TRUE)</f>
        <v>Medium</v>
      </c>
      <c r="G330" t="str">
        <f>NFLDataSet!G331</f>
        <v>W</v>
      </c>
    </row>
    <row r="331" spans="1:7" x14ac:dyDescent="0.35">
      <c r="A331" t="str">
        <f>NFLDataSet!A332</f>
        <v>A</v>
      </c>
      <c r="B331" t="str">
        <f>VLOOKUP(NFLDataSet!B332,FirstDownDiff2,2,TRUE)</f>
        <v>Medium</v>
      </c>
      <c r="C331" t="str">
        <f>VLOOKUP(NFLDataSet!C332,TotalYardDiff2,2,TRUE)</f>
        <v>Low</v>
      </c>
      <c r="D331" t="str">
        <f>VLOOKUP(NFLDataSet!D332,PassYardsDiff2,2,TRUE)</f>
        <v>Low</v>
      </c>
      <c r="E331" t="str">
        <f>VLOOKUP(NFLDataSet!E332,RushYards2,2,TRUE)</f>
        <v>Medium</v>
      </c>
      <c r="F331" t="str">
        <f>VLOOKUP(NFLDataSet!F332,TurnOverDiff2,2,TRUE)</f>
        <v>Medium</v>
      </c>
      <c r="G331" t="str">
        <f>NFLDataSet!G332</f>
        <v>L</v>
      </c>
    </row>
    <row r="332" spans="1:7" x14ac:dyDescent="0.35">
      <c r="A332" t="str">
        <f>NFLDataSet!A333</f>
        <v>H</v>
      </c>
      <c r="B332" t="str">
        <f>VLOOKUP(NFLDataSet!B333,FirstDownDiff2,2,TRUE)</f>
        <v>Medium</v>
      </c>
      <c r="C332" t="str">
        <f>VLOOKUP(NFLDataSet!C333,TotalYardDiff2,2,TRUE)</f>
        <v>High</v>
      </c>
      <c r="D332" t="str">
        <f>VLOOKUP(NFLDataSet!D333,PassYardsDiff2,2,TRUE)</f>
        <v>High</v>
      </c>
      <c r="E332" t="str">
        <f>VLOOKUP(NFLDataSet!E333,RushYards2,2,TRUE)</f>
        <v>Low</v>
      </c>
      <c r="F332" t="str">
        <f>VLOOKUP(NFLDataSet!F333,TurnOverDiff2,2,TRUE)</f>
        <v>Medium</v>
      </c>
      <c r="G332" t="str">
        <f>NFLDataSet!G333</f>
        <v>W</v>
      </c>
    </row>
    <row r="333" spans="1:7" x14ac:dyDescent="0.35">
      <c r="A333" t="str">
        <f>NFLDataSet!A334</f>
        <v>H</v>
      </c>
      <c r="B333" t="str">
        <f>VLOOKUP(NFLDataSet!B334,FirstDownDiff2,2,TRUE)</f>
        <v>Medium</v>
      </c>
      <c r="C333" t="str">
        <f>VLOOKUP(NFLDataSet!C334,TotalYardDiff2,2,TRUE)</f>
        <v>Medium</v>
      </c>
      <c r="D333" t="str">
        <f>VLOOKUP(NFLDataSet!D334,PassYardsDiff2,2,TRUE)</f>
        <v>Medium</v>
      </c>
      <c r="E333" t="str">
        <f>VLOOKUP(NFLDataSet!E334,RushYards2,2,TRUE)</f>
        <v>Low</v>
      </c>
      <c r="F333" t="str">
        <f>VLOOKUP(NFLDataSet!F334,TurnOverDiff2,2,TRUE)</f>
        <v>High</v>
      </c>
      <c r="G333" t="str">
        <f>NFLDataSet!G334</f>
        <v>L</v>
      </c>
    </row>
    <row r="334" spans="1:7" x14ac:dyDescent="0.35">
      <c r="A334" t="str">
        <f>NFLDataSet!A335</f>
        <v>H</v>
      </c>
      <c r="B334" t="str">
        <f>VLOOKUP(NFLDataSet!B335,FirstDownDiff2,2,TRUE)</f>
        <v>High</v>
      </c>
      <c r="C334" t="str">
        <f>VLOOKUP(NFLDataSet!C335,TotalYardDiff2,2,TRUE)</f>
        <v>High</v>
      </c>
      <c r="D334" t="str">
        <f>VLOOKUP(NFLDataSet!D335,PassYardsDiff2,2,TRUE)</f>
        <v>High</v>
      </c>
      <c r="E334" t="str">
        <f>VLOOKUP(NFLDataSet!E335,RushYards2,2,TRUE)</f>
        <v>High</v>
      </c>
      <c r="F334" t="str">
        <f>VLOOKUP(NFLDataSet!F335,TurnOverDiff2,2,TRUE)</f>
        <v>Medium</v>
      </c>
      <c r="G334" t="str">
        <f>NFLDataSet!G335</f>
        <v>W</v>
      </c>
    </row>
    <row r="335" spans="1:7" x14ac:dyDescent="0.35">
      <c r="A335" t="str">
        <f>NFLDataSet!A336</f>
        <v>A</v>
      </c>
      <c r="B335" t="str">
        <f>VLOOKUP(NFLDataSet!B336,FirstDownDiff2,2,TRUE)</f>
        <v>Medium</v>
      </c>
      <c r="C335" t="str">
        <f>VLOOKUP(NFLDataSet!C336,TotalYardDiff2,2,TRUE)</f>
        <v>Medium</v>
      </c>
      <c r="D335" t="str">
        <f>VLOOKUP(NFLDataSet!D336,PassYardsDiff2,2,TRUE)</f>
        <v>Medium</v>
      </c>
      <c r="E335" t="str">
        <f>VLOOKUP(NFLDataSet!E336,RushYards2,2,TRUE)</f>
        <v>Low</v>
      </c>
      <c r="F335" t="str">
        <f>VLOOKUP(NFLDataSet!F336,TurnOverDiff2,2,TRUE)</f>
        <v>Medium</v>
      </c>
      <c r="G335" t="str">
        <f>NFLDataSet!G336</f>
        <v>L</v>
      </c>
    </row>
    <row r="336" spans="1:7" x14ac:dyDescent="0.35">
      <c r="A336" t="str">
        <f>NFLDataSet!A337</f>
        <v>A</v>
      </c>
      <c r="B336" t="str">
        <f>VLOOKUP(NFLDataSet!B337,FirstDownDiff2,2,TRUE)</f>
        <v>Medium</v>
      </c>
      <c r="C336" t="str">
        <f>VLOOKUP(NFLDataSet!C337,TotalYardDiff2,2,TRUE)</f>
        <v>High</v>
      </c>
      <c r="D336" t="str">
        <f>VLOOKUP(NFLDataSet!D337,PassYardsDiff2,2,TRUE)</f>
        <v>Medium</v>
      </c>
      <c r="E336" t="str">
        <f>VLOOKUP(NFLDataSet!E337,RushYards2,2,TRUE)</f>
        <v>High</v>
      </c>
      <c r="F336" t="str">
        <f>VLOOKUP(NFLDataSet!F337,TurnOverDiff2,2,TRUE)</f>
        <v>Medium</v>
      </c>
      <c r="G336" t="str">
        <f>NFLDataSet!G337</f>
        <v>W</v>
      </c>
    </row>
    <row r="337" spans="1:7" x14ac:dyDescent="0.35">
      <c r="A337" t="str">
        <f>NFLDataSet!A338</f>
        <v>H</v>
      </c>
      <c r="B337" t="str">
        <f>VLOOKUP(NFLDataSet!B338,FirstDownDiff2,2,TRUE)</f>
        <v>Medium</v>
      </c>
      <c r="C337" t="str">
        <f>VLOOKUP(NFLDataSet!C338,TotalYardDiff2,2,TRUE)</f>
        <v>Medium</v>
      </c>
      <c r="D337" t="str">
        <f>VLOOKUP(NFLDataSet!D338,PassYardsDiff2,2,TRUE)</f>
        <v>High</v>
      </c>
      <c r="E337" t="str">
        <f>VLOOKUP(NFLDataSet!E338,RushYards2,2,TRUE)</f>
        <v>Low</v>
      </c>
      <c r="F337" t="str">
        <f>VLOOKUP(NFLDataSet!F338,TurnOverDiff2,2,TRUE)</f>
        <v>High</v>
      </c>
      <c r="G337" t="str">
        <f>NFLDataSet!G338</f>
        <v>L</v>
      </c>
    </row>
    <row r="338" spans="1:7" x14ac:dyDescent="0.35">
      <c r="A338" t="str">
        <f>NFLDataSet!A339</f>
        <v>A</v>
      </c>
      <c r="B338" t="str">
        <f>VLOOKUP(NFLDataSet!B339,FirstDownDiff2,2,TRUE)</f>
        <v>Medium</v>
      </c>
      <c r="C338" t="str">
        <f>VLOOKUP(NFLDataSet!C339,TotalYardDiff2,2,TRUE)</f>
        <v>Medium</v>
      </c>
      <c r="D338" t="str">
        <f>VLOOKUP(NFLDataSet!D339,PassYardsDiff2,2,TRUE)</f>
        <v>Medium</v>
      </c>
      <c r="E338" t="str">
        <f>VLOOKUP(NFLDataSet!E339,RushYards2,2,TRUE)</f>
        <v>High</v>
      </c>
      <c r="F338" t="str">
        <f>VLOOKUP(NFLDataSet!F339,TurnOverDiff2,2,TRUE)</f>
        <v>Medium</v>
      </c>
      <c r="G338" t="str">
        <f>NFLDataSet!G339</f>
        <v>W</v>
      </c>
    </row>
    <row r="339" spans="1:7" x14ac:dyDescent="0.35">
      <c r="A339" t="str">
        <f>NFLDataSet!A340</f>
        <v>A</v>
      </c>
      <c r="B339" t="str">
        <f>VLOOKUP(NFLDataSet!B340,FirstDownDiff2,2,TRUE)</f>
        <v>Low</v>
      </c>
      <c r="C339" t="str">
        <f>VLOOKUP(NFLDataSet!C340,TotalYardDiff2,2,TRUE)</f>
        <v>Low</v>
      </c>
      <c r="D339" t="str">
        <f>VLOOKUP(NFLDataSet!D340,PassYardsDiff2,2,TRUE)</f>
        <v>Medium</v>
      </c>
      <c r="E339" t="str">
        <f>VLOOKUP(NFLDataSet!E340,RushYards2,2,TRUE)</f>
        <v>Low</v>
      </c>
      <c r="F339" t="str">
        <f>VLOOKUP(NFLDataSet!F340,TurnOverDiff2,2,TRUE)</f>
        <v>Medium</v>
      </c>
      <c r="G339" t="str">
        <f>NFLDataSet!G340</f>
        <v>L</v>
      </c>
    </row>
    <row r="340" spans="1:7" x14ac:dyDescent="0.35">
      <c r="A340" t="str">
        <f>NFLDataSet!A341</f>
        <v>H</v>
      </c>
      <c r="B340" t="str">
        <f>VLOOKUP(NFLDataSet!B341,FirstDownDiff2,2,TRUE)</f>
        <v>Low</v>
      </c>
      <c r="C340" t="str">
        <f>VLOOKUP(NFLDataSet!C341,TotalYardDiff2,2,TRUE)</f>
        <v>Medium</v>
      </c>
      <c r="D340" t="str">
        <f>VLOOKUP(NFLDataSet!D341,PassYardsDiff2,2,TRUE)</f>
        <v>Medium</v>
      </c>
      <c r="E340" t="str">
        <f>VLOOKUP(NFLDataSet!E341,RushYards2,2,TRUE)</f>
        <v>Low</v>
      </c>
      <c r="F340" t="str">
        <f>VLOOKUP(NFLDataSet!F341,TurnOverDiff2,2,TRUE)</f>
        <v>High</v>
      </c>
      <c r="G340" t="str">
        <f>NFLDataSet!G341</f>
        <v>L</v>
      </c>
    </row>
    <row r="341" spans="1:7" x14ac:dyDescent="0.35">
      <c r="A341" t="str">
        <f>NFLDataSet!A342</f>
        <v>H</v>
      </c>
      <c r="B341" t="str">
        <f>VLOOKUP(NFLDataSet!B342,FirstDownDiff2,2,TRUE)</f>
        <v>Medium</v>
      </c>
      <c r="C341" t="str">
        <f>VLOOKUP(NFLDataSet!C342,TotalYardDiff2,2,TRUE)</f>
        <v>High</v>
      </c>
      <c r="D341" t="str">
        <f>VLOOKUP(NFLDataSet!D342,PassYardsDiff2,2,TRUE)</f>
        <v>High</v>
      </c>
      <c r="E341" t="str">
        <f>VLOOKUP(NFLDataSet!E342,RushYards2,2,TRUE)</f>
        <v>Medium</v>
      </c>
      <c r="F341" t="str">
        <f>VLOOKUP(NFLDataSet!F342,TurnOverDiff2,2,TRUE)</f>
        <v>Medium</v>
      </c>
      <c r="G341" t="str">
        <f>NFLDataSet!G342</f>
        <v>W</v>
      </c>
    </row>
    <row r="342" spans="1:7" x14ac:dyDescent="0.35">
      <c r="A342" t="str">
        <f>NFLDataSet!A343</f>
        <v>H</v>
      </c>
      <c r="B342" t="str">
        <f>VLOOKUP(NFLDataSet!B343,FirstDownDiff2,2,TRUE)</f>
        <v>High</v>
      </c>
      <c r="C342" t="str">
        <f>VLOOKUP(NFLDataSet!C343,TotalYardDiff2,2,TRUE)</f>
        <v>High</v>
      </c>
      <c r="D342" t="str">
        <f>VLOOKUP(NFLDataSet!D343,PassYardsDiff2,2,TRUE)</f>
        <v>High</v>
      </c>
      <c r="E342" t="str">
        <f>VLOOKUP(NFLDataSet!E343,RushYards2,2,TRUE)</f>
        <v>Medium</v>
      </c>
      <c r="F342" t="str">
        <f>VLOOKUP(NFLDataSet!F343,TurnOverDiff2,2,TRUE)</f>
        <v>High</v>
      </c>
      <c r="G342" t="str">
        <f>NFLDataSet!G343</f>
        <v>L</v>
      </c>
    </row>
    <row r="343" spans="1:7" x14ac:dyDescent="0.35">
      <c r="A343" t="str">
        <f>NFLDataSet!A344</f>
        <v>H</v>
      </c>
      <c r="B343" t="str">
        <f>VLOOKUP(NFLDataSet!B344,FirstDownDiff2,2,TRUE)</f>
        <v>Low</v>
      </c>
      <c r="C343" t="str">
        <f>VLOOKUP(NFLDataSet!C344,TotalYardDiff2,2,TRUE)</f>
        <v>Medium</v>
      </c>
      <c r="D343" t="str">
        <f>VLOOKUP(NFLDataSet!D344,PassYardsDiff2,2,TRUE)</f>
        <v>Low</v>
      </c>
      <c r="E343" t="str">
        <f>VLOOKUP(NFLDataSet!E344,RushYards2,2,TRUE)</f>
        <v>Medium</v>
      </c>
      <c r="F343" t="str">
        <f>VLOOKUP(NFLDataSet!F344,TurnOverDiff2,2,TRUE)</f>
        <v>Medium</v>
      </c>
      <c r="G343" t="str">
        <f>NFLDataSet!G344</f>
        <v>W</v>
      </c>
    </row>
    <row r="344" spans="1:7" x14ac:dyDescent="0.35">
      <c r="A344" t="str">
        <f>NFLDataSet!A345</f>
        <v>A</v>
      </c>
      <c r="B344" t="str">
        <f>VLOOKUP(NFLDataSet!B345,FirstDownDiff2,2,TRUE)</f>
        <v>Low</v>
      </c>
      <c r="C344" t="str">
        <f>VLOOKUP(NFLDataSet!C345,TotalYardDiff2,2,TRUE)</f>
        <v>Low</v>
      </c>
      <c r="D344" t="str">
        <f>VLOOKUP(NFLDataSet!D345,PassYardsDiff2,2,TRUE)</f>
        <v>Low</v>
      </c>
      <c r="E344" t="str">
        <f>VLOOKUP(NFLDataSet!E345,RushYards2,2,TRUE)</f>
        <v>Low</v>
      </c>
      <c r="F344" t="str">
        <f>VLOOKUP(NFLDataSet!F345,TurnOverDiff2,2,TRUE)</f>
        <v>Medium</v>
      </c>
      <c r="G344" t="str">
        <f>NFLDataSet!G345</f>
        <v>L</v>
      </c>
    </row>
    <row r="345" spans="1:7" x14ac:dyDescent="0.35">
      <c r="A345" t="str">
        <f>NFLDataSet!A346</f>
        <v>H</v>
      </c>
      <c r="B345" t="str">
        <f>VLOOKUP(NFLDataSet!B346,FirstDownDiff2,2,TRUE)</f>
        <v>Medium</v>
      </c>
      <c r="C345" t="str">
        <f>VLOOKUP(NFLDataSet!C346,TotalYardDiff2,2,TRUE)</f>
        <v>High</v>
      </c>
      <c r="D345" t="str">
        <f>VLOOKUP(NFLDataSet!D346,PassYardsDiff2,2,TRUE)</f>
        <v>Medium</v>
      </c>
      <c r="E345" t="str">
        <f>VLOOKUP(NFLDataSet!E346,RushYards2,2,TRUE)</f>
        <v>High</v>
      </c>
      <c r="F345" t="str">
        <f>VLOOKUP(NFLDataSet!F346,TurnOverDiff2,2,TRUE)</f>
        <v>Low</v>
      </c>
      <c r="G345" t="str">
        <f>NFLDataSet!G346</f>
        <v>W</v>
      </c>
    </row>
    <row r="346" spans="1:7" x14ac:dyDescent="0.35">
      <c r="A346" t="str">
        <f>NFLDataSet!A347</f>
        <v>A</v>
      </c>
      <c r="B346" t="str">
        <f>VLOOKUP(NFLDataSet!B347,FirstDownDiff2,2,TRUE)</f>
        <v>Low</v>
      </c>
      <c r="C346" t="str">
        <f>VLOOKUP(NFLDataSet!C347,TotalYardDiff2,2,TRUE)</f>
        <v>Low</v>
      </c>
      <c r="D346" t="str">
        <f>VLOOKUP(NFLDataSet!D347,PassYardsDiff2,2,TRUE)</f>
        <v>Low</v>
      </c>
      <c r="E346" t="str">
        <f>VLOOKUP(NFLDataSet!E347,RushYards2,2,TRUE)</f>
        <v>Medium</v>
      </c>
      <c r="F346" t="str">
        <f>VLOOKUP(NFLDataSet!F347,TurnOverDiff2,2,TRUE)</f>
        <v>Medium</v>
      </c>
      <c r="G346" t="str">
        <f>NFLDataSet!G347</f>
        <v>L</v>
      </c>
    </row>
    <row r="347" spans="1:7" x14ac:dyDescent="0.35">
      <c r="A347" t="str">
        <f>NFLDataSet!A348</f>
        <v>H</v>
      </c>
      <c r="B347" t="str">
        <f>VLOOKUP(NFLDataSet!B348,FirstDownDiff2,2,TRUE)</f>
        <v>Medium</v>
      </c>
      <c r="C347" t="str">
        <f>VLOOKUP(NFLDataSet!C348,TotalYardDiff2,2,TRUE)</f>
        <v>Low</v>
      </c>
      <c r="D347" t="str">
        <f>VLOOKUP(NFLDataSet!D348,PassYardsDiff2,2,TRUE)</f>
        <v>Low</v>
      </c>
      <c r="E347" t="str">
        <f>VLOOKUP(NFLDataSet!E348,RushYards2,2,TRUE)</f>
        <v>Low</v>
      </c>
      <c r="F347" t="str">
        <f>VLOOKUP(NFLDataSet!F348,TurnOverDiff2,2,TRUE)</f>
        <v>Medium</v>
      </c>
      <c r="G347" t="str">
        <f>NFLDataSet!G348</f>
        <v>L</v>
      </c>
    </row>
    <row r="348" spans="1:7" x14ac:dyDescent="0.35">
      <c r="A348" t="str">
        <f>NFLDataSet!A349</f>
        <v>H</v>
      </c>
      <c r="B348" t="str">
        <f>VLOOKUP(NFLDataSet!B349,FirstDownDiff2,2,TRUE)</f>
        <v>Low</v>
      </c>
      <c r="C348" t="str">
        <f>VLOOKUP(NFLDataSet!C349,TotalYardDiff2,2,TRUE)</f>
        <v>Low</v>
      </c>
      <c r="D348" t="str">
        <f>VLOOKUP(NFLDataSet!D349,PassYardsDiff2,2,TRUE)</f>
        <v>Low</v>
      </c>
      <c r="E348" t="str">
        <f>VLOOKUP(NFLDataSet!E349,RushYards2,2,TRUE)</f>
        <v>Medium</v>
      </c>
      <c r="F348" t="str">
        <f>VLOOKUP(NFLDataSet!F349,TurnOverDiff2,2,TRUE)</f>
        <v>Medium</v>
      </c>
      <c r="G348" t="str">
        <f>NFLDataSet!G349</f>
        <v>W</v>
      </c>
    </row>
    <row r="349" spans="1:7" x14ac:dyDescent="0.35">
      <c r="A349" t="str">
        <f>NFLDataSet!A350</f>
        <v>H</v>
      </c>
      <c r="B349" t="str">
        <f>VLOOKUP(NFLDataSet!B350,FirstDownDiff2,2,TRUE)</f>
        <v>Medium</v>
      </c>
      <c r="C349" t="str">
        <f>VLOOKUP(NFLDataSet!C350,TotalYardDiff2,2,TRUE)</f>
        <v>Low</v>
      </c>
      <c r="D349" t="str">
        <f>VLOOKUP(NFLDataSet!D350,PassYardsDiff2,2,TRUE)</f>
        <v>Medium</v>
      </c>
      <c r="E349" t="str">
        <f>VLOOKUP(NFLDataSet!E350,RushYards2,2,TRUE)</f>
        <v>Low</v>
      </c>
      <c r="F349" t="str">
        <f>VLOOKUP(NFLDataSet!F350,TurnOverDiff2,2,TRUE)</f>
        <v>Medium</v>
      </c>
      <c r="G349" t="str">
        <f>NFLDataSet!G350</f>
        <v>L</v>
      </c>
    </row>
    <row r="350" spans="1:7" x14ac:dyDescent="0.35">
      <c r="A350" t="str">
        <f>NFLDataSet!A351</f>
        <v>H</v>
      </c>
      <c r="B350" t="str">
        <f>VLOOKUP(NFLDataSet!B351,FirstDownDiff2,2,TRUE)</f>
        <v>Low</v>
      </c>
      <c r="C350" t="str">
        <f>VLOOKUP(NFLDataSet!C351,TotalYardDiff2,2,TRUE)</f>
        <v>Medium</v>
      </c>
      <c r="D350" t="str">
        <f>VLOOKUP(NFLDataSet!D351,PassYardsDiff2,2,TRUE)</f>
        <v>Low</v>
      </c>
      <c r="E350" t="str">
        <f>VLOOKUP(NFLDataSet!E351,RushYards2,2,TRUE)</f>
        <v>High</v>
      </c>
      <c r="F350" t="str">
        <f>VLOOKUP(NFLDataSet!F351,TurnOverDiff2,2,TRUE)</f>
        <v>Medium</v>
      </c>
      <c r="G350" t="str">
        <f>NFLDataSet!G351</f>
        <v>W</v>
      </c>
    </row>
    <row r="351" spans="1:7" x14ac:dyDescent="0.35">
      <c r="A351" t="str">
        <f>NFLDataSet!A352</f>
        <v>A</v>
      </c>
      <c r="B351" t="str">
        <f>VLOOKUP(NFLDataSet!B352,FirstDownDiff2,2,TRUE)</f>
        <v>High</v>
      </c>
      <c r="C351" t="str">
        <f>VLOOKUP(NFLDataSet!C352,TotalYardDiff2,2,TRUE)</f>
        <v>Medium</v>
      </c>
      <c r="D351" t="str">
        <f>VLOOKUP(NFLDataSet!D352,PassYardsDiff2,2,TRUE)</f>
        <v>Medium</v>
      </c>
      <c r="E351" t="str">
        <f>VLOOKUP(NFLDataSet!E352,RushYards2,2,TRUE)</f>
        <v>Medium</v>
      </c>
      <c r="F351" t="str">
        <f>VLOOKUP(NFLDataSet!F352,TurnOverDiff2,2,TRUE)</f>
        <v>Medium</v>
      </c>
      <c r="G351" t="str">
        <f>NFLDataSet!G352</f>
        <v>W</v>
      </c>
    </row>
    <row r="352" spans="1:7" x14ac:dyDescent="0.35">
      <c r="A352" t="str">
        <f>NFLDataSet!A353</f>
        <v>H</v>
      </c>
      <c r="B352" t="str">
        <f>VLOOKUP(NFLDataSet!B353,FirstDownDiff2,2,TRUE)</f>
        <v>Medium</v>
      </c>
      <c r="C352" t="str">
        <f>VLOOKUP(NFLDataSet!C353,TotalYardDiff2,2,TRUE)</f>
        <v>Medium</v>
      </c>
      <c r="D352" t="str">
        <f>VLOOKUP(NFLDataSet!D353,PassYardsDiff2,2,TRUE)</f>
        <v>Medium</v>
      </c>
      <c r="E352" t="str">
        <f>VLOOKUP(NFLDataSet!E353,RushYards2,2,TRUE)</f>
        <v>Medium</v>
      </c>
      <c r="F352" t="str">
        <f>VLOOKUP(NFLDataSet!F353,TurnOverDiff2,2,TRUE)</f>
        <v>Medium</v>
      </c>
      <c r="G352" t="str">
        <f>NFLDataSet!G353</f>
        <v>W</v>
      </c>
    </row>
    <row r="353" spans="1:7" x14ac:dyDescent="0.35">
      <c r="A353" t="str">
        <f>NFLDataSet!A354</f>
        <v>A</v>
      </c>
      <c r="B353" t="str">
        <f>VLOOKUP(NFLDataSet!B354,FirstDownDiff2,2,TRUE)</f>
        <v>Medium</v>
      </c>
      <c r="C353" t="str">
        <f>VLOOKUP(NFLDataSet!C354,TotalYardDiff2,2,TRUE)</f>
        <v>Medium</v>
      </c>
      <c r="D353" t="str">
        <f>VLOOKUP(NFLDataSet!D354,PassYardsDiff2,2,TRUE)</f>
        <v>Medium</v>
      </c>
      <c r="E353" t="str">
        <f>VLOOKUP(NFLDataSet!E354,RushYards2,2,TRUE)</f>
        <v>High</v>
      </c>
      <c r="F353" t="str">
        <f>VLOOKUP(NFLDataSet!F354,TurnOverDiff2,2,TRUE)</f>
        <v>Medium</v>
      </c>
      <c r="G353" t="str">
        <f>NFLDataSet!G354</f>
        <v>W</v>
      </c>
    </row>
    <row r="354" spans="1:7" x14ac:dyDescent="0.35">
      <c r="A354" t="str">
        <f>NFLDataSet!A355</f>
        <v>A</v>
      </c>
      <c r="B354" t="str">
        <f>VLOOKUP(NFLDataSet!B355,FirstDownDiff2,2,TRUE)</f>
        <v>Medium</v>
      </c>
      <c r="C354" t="str">
        <f>VLOOKUP(NFLDataSet!C355,TotalYardDiff2,2,TRUE)</f>
        <v>Medium</v>
      </c>
      <c r="D354" t="str">
        <f>VLOOKUP(NFLDataSet!D355,PassYardsDiff2,2,TRUE)</f>
        <v>Medium</v>
      </c>
      <c r="E354" t="str">
        <f>VLOOKUP(NFLDataSet!E355,RushYards2,2,TRUE)</f>
        <v>Medium</v>
      </c>
      <c r="F354" t="str">
        <f>VLOOKUP(NFLDataSet!F355,TurnOverDiff2,2,TRUE)</f>
        <v>Medium</v>
      </c>
      <c r="G354" t="str">
        <f>NFLDataSet!G355</f>
        <v>W</v>
      </c>
    </row>
    <row r="355" spans="1:7" x14ac:dyDescent="0.35">
      <c r="A355" t="str">
        <f>NFLDataSet!A356</f>
        <v>A</v>
      </c>
      <c r="B355" t="str">
        <f>VLOOKUP(NFLDataSet!B356,FirstDownDiff2,2,TRUE)</f>
        <v>Low</v>
      </c>
      <c r="C355" t="str">
        <f>VLOOKUP(NFLDataSet!C356,TotalYardDiff2,2,TRUE)</f>
        <v>Low</v>
      </c>
      <c r="D355" t="str">
        <f>VLOOKUP(NFLDataSet!D356,PassYardsDiff2,2,TRUE)</f>
        <v>Medium</v>
      </c>
      <c r="E355" t="str">
        <f>VLOOKUP(NFLDataSet!E356,RushYards2,2,TRUE)</f>
        <v>Low</v>
      </c>
      <c r="F355" t="str">
        <f>VLOOKUP(NFLDataSet!F356,TurnOverDiff2,2,TRUE)</f>
        <v>Medium</v>
      </c>
      <c r="G355" t="str">
        <f>NFLDataSet!G356</f>
        <v>L</v>
      </c>
    </row>
    <row r="356" spans="1:7" x14ac:dyDescent="0.35">
      <c r="A356" t="str">
        <f>NFLDataSet!A357</f>
        <v>A</v>
      </c>
      <c r="B356" t="str">
        <f>VLOOKUP(NFLDataSet!B357,FirstDownDiff2,2,TRUE)</f>
        <v>Medium</v>
      </c>
      <c r="C356" t="str">
        <f>VLOOKUP(NFLDataSet!C357,TotalYardDiff2,2,TRUE)</f>
        <v>Medium</v>
      </c>
      <c r="D356" t="str">
        <f>VLOOKUP(NFLDataSet!D357,PassYardsDiff2,2,TRUE)</f>
        <v>Medium</v>
      </c>
      <c r="E356" t="str">
        <f>VLOOKUP(NFLDataSet!E357,RushYards2,2,TRUE)</f>
        <v>Medium</v>
      </c>
      <c r="F356" t="str">
        <f>VLOOKUP(NFLDataSet!F357,TurnOverDiff2,2,TRUE)</f>
        <v>Medium</v>
      </c>
      <c r="G356" t="str">
        <f>NFLDataSet!G357</f>
        <v>W</v>
      </c>
    </row>
    <row r="357" spans="1:7" x14ac:dyDescent="0.35">
      <c r="A357" t="str">
        <f>NFLDataSet!A358</f>
        <v>H</v>
      </c>
      <c r="B357" t="str">
        <f>VLOOKUP(NFLDataSet!B358,FirstDownDiff2,2,TRUE)</f>
        <v>Low</v>
      </c>
      <c r="C357" t="str">
        <f>VLOOKUP(NFLDataSet!C358,TotalYardDiff2,2,TRUE)</f>
        <v>Low</v>
      </c>
      <c r="D357" t="str">
        <f>VLOOKUP(NFLDataSet!D358,PassYardsDiff2,2,TRUE)</f>
        <v>Low</v>
      </c>
      <c r="E357" t="str">
        <f>VLOOKUP(NFLDataSet!E358,RushYards2,2,TRUE)</f>
        <v>Medium</v>
      </c>
      <c r="F357" t="str">
        <f>VLOOKUP(NFLDataSet!F358,TurnOverDiff2,2,TRUE)</f>
        <v>High</v>
      </c>
      <c r="G357" t="str">
        <f>NFLDataSet!G358</f>
        <v>L</v>
      </c>
    </row>
    <row r="358" spans="1:7" x14ac:dyDescent="0.35">
      <c r="A358" t="str">
        <f>NFLDataSet!A359</f>
        <v>H</v>
      </c>
      <c r="B358" t="str">
        <f>VLOOKUP(NFLDataSet!B359,FirstDownDiff2,2,TRUE)</f>
        <v>Medium</v>
      </c>
      <c r="C358" t="str">
        <f>VLOOKUP(NFLDataSet!C359,TotalYardDiff2,2,TRUE)</f>
        <v>Medium</v>
      </c>
      <c r="D358" t="str">
        <f>VLOOKUP(NFLDataSet!D359,PassYardsDiff2,2,TRUE)</f>
        <v>Low</v>
      </c>
      <c r="E358" t="str">
        <f>VLOOKUP(NFLDataSet!E359,RushYards2,2,TRUE)</f>
        <v>Medium</v>
      </c>
      <c r="F358" t="str">
        <f>VLOOKUP(NFLDataSet!F359,TurnOverDiff2,2,TRUE)</f>
        <v>Medium</v>
      </c>
      <c r="G358" t="str">
        <f>NFLDataSet!G359</f>
        <v>L</v>
      </c>
    </row>
    <row r="359" spans="1:7" x14ac:dyDescent="0.35">
      <c r="A359" t="str">
        <f>NFLDataSet!A360</f>
        <v>H</v>
      </c>
      <c r="B359" t="str">
        <f>VLOOKUP(NFLDataSet!B360,FirstDownDiff2,2,TRUE)</f>
        <v>Low</v>
      </c>
      <c r="C359" t="str">
        <f>VLOOKUP(NFLDataSet!C360,TotalYardDiff2,2,TRUE)</f>
        <v>Low</v>
      </c>
      <c r="D359" t="str">
        <f>VLOOKUP(NFLDataSet!D360,PassYardsDiff2,2,TRUE)</f>
        <v>Low</v>
      </c>
      <c r="E359" t="str">
        <f>VLOOKUP(NFLDataSet!E360,RushYards2,2,TRUE)</f>
        <v>Medium</v>
      </c>
      <c r="F359" t="str">
        <f>VLOOKUP(NFLDataSet!F360,TurnOverDiff2,2,TRUE)</f>
        <v>Medium</v>
      </c>
      <c r="G359" t="str">
        <f>NFLDataSet!G360</f>
        <v>W</v>
      </c>
    </row>
    <row r="360" spans="1:7" x14ac:dyDescent="0.35">
      <c r="A360" t="str">
        <f>NFLDataSet!A361</f>
        <v>A</v>
      </c>
      <c r="B360" t="str">
        <f>VLOOKUP(NFLDataSet!B361,FirstDownDiff2,2,TRUE)</f>
        <v>Medium</v>
      </c>
      <c r="C360" t="str">
        <f>VLOOKUP(NFLDataSet!C361,TotalYardDiff2,2,TRUE)</f>
        <v>Medium</v>
      </c>
      <c r="D360" t="str">
        <f>VLOOKUP(NFLDataSet!D361,PassYardsDiff2,2,TRUE)</f>
        <v>Medium</v>
      </c>
      <c r="E360" t="str">
        <f>VLOOKUP(NFLDataSet!E361,RushYards2,2,TRUE)</f>
        <v>Low</v>
      </c>
      <c r="F360" t="str">
        <f>VLOOKUP(NFLDataSet!F361,TurnOverDiff2,2,TRUE)</f>
        <v>Medium</v>
      </c>
      <c r="G360" t="str">
        <f>NFLDataSet!G361</f>
        <v>W</v>
      </c>
    </row>
    <row r="361" spans="1:7" x14ac:dyDescent="0.35">
      <c r="A361" t="str">
        <f>NFLDataSet!A362</f>
        <v>H</v>
      </c>
      <c r="B361" t="str">
        <f>VLOOKUP(NFLDataSet!B362,FirstDownDiff2,2,TRUE)</f>
        <v>High</v>
      </c>
      <c r="C361" t="str">
        <f>VLOOKUP(NFLDataSet!C362,TotalYardDiff2,2,TRUE)</f>
        <v>High</v>
      </c>
      <c r="D361" t="str">
        <f>VLOOKUP(NFLDataSet!D362,PassYardsDiff2,2,TRUE)</f>
        <v>High</v>
      </c>
      <c r="E361" t="str">
        <f>VLOOKUP(NFLDataSet!E362,RushYards2,2,TRUE)</f>
        <v>Medium</v>
      </c>
      <c r="F361" t="str">
        <f>VLOOKUP(NFLDataSet!F362,TurnOverDiff2,2,TRUE)</f>
        <v>Medium</v>
      </c>
      <c r="G361" t="str">
        <f>NFLDataSet!G362</f>
        <v>W</v>
      </c>
    </row>
    <row r="362" spans="1:7" x14ac:dyDescent="0.35">
      <c r="A362" t="str">
        <f>NFLDataSet!A363</f>
        <v>A</v>
      </c>
      <c r="B362" t="str">
        <f>VLOOKUP(NFLDataSet!B363,FirstDownDiff2,2,TRUE)</f>
        <v>Medium</v>
      </c>
      <c r="C362" t="str">
        <f>VLOOKUP(NFLDataSet!C363,TotalYardDiff2,2,TRUE)</f>
        <v>Medium</v>
      </c>
      <c r="D362" t="str">
        <f>VLOOKUP(NFLDataSet!D363,PassYardsDiff2,2,TRUE)</f>
        <v>High</v>
      </c>
      <c r="E362" t="str">
        <f>VLOOKUP(NFLDataSet!E363,RushYards2,2,TRUE)</f>
        <v>Medium</v>
      </c>
      <c r="F362" t="str">
        <f>VLOOKUP(NFLDataSet!F363,TurnOverDiff2,2,TRUE)</f>
        <v>Medium</v>
      </c>
      <c r="G362" t="str">
        <f>NFLDataSet!G363</f>
        <v>W</v>
      </c>
    </row>
    <row r="363" spans="1:7" x14ac:dyDescent="0.35">
      <c r="A363" t="str">
        <f>NFLDataSet!A364</f>
        <v>A</v>
      </c>
      <c r="B363" t="str">
        <f>VLOOKUP(NFLDataSet!B364,FirstDownDiff2,2,TRUE)</f>
        <v>Medium</v>
      </c>
      <c r="C363" t="str">
        <f>VLOOKUP(NFLDataSet!C364,TotalYardDiff2,2,TRUE)</f>
        <v>Medium</v>
      </c>
      <c r="D363" t="str">
        <f>VLOOKUP(NFLDataSet!D364,PassYardsDiff2,2,TRUE)</f>
        <v>Medium</v>
      </c>
      <c r="E363" t="str">
        <f>VLOOKUP(NFLDataSet!E364,RushYards2,2,TRUE)</f>
        <v>Medium</v>
      </c>
      <c r="F363" t="str">
        <f>VLOOKUP(NFLDataSet!F364,TurnOverDiff2,2,TRUE)</f>
        <v>Medium</v>
      </c>
      <c r="G363" t="str">
        <f>NFLDataSet!G364</f>
        <v>L</v>
      </c>
    </row>
    <row r="364" spans="1:7" x14ac:dyDescent="0.35">
      <c r="A364" t="str">
        <f>NFLDataSet!A365</f>
        <v>H</v>
      </c>
      <c r="B364" t="str">
        <f>VLOOKUP(NFLDataSet!B365,FirstDownDiff2,2,TRUE)</f>
        <v>Low</v>
      </c>
      <c r="C364" t="str">
        <f>VLOOKUP(NFLDataSet!C365,TotalYardDiff2,2,TRUE)</f>
        <v>Low</v>
      </c>
      <c r="D364" t="str">
        <f>VLOOKUP(NFLDataSet!D365,PassYardsDiff2,2,TRUE)</f>
        <v>Medium</v>
      </c>
      <c r="E364" t="str">
        <f>VLOOKUP(NFLDataSet!E365,RushYards2,2,TRUE)</f>
        <v>Medium</v>
      </c>
      <c r="F364" t="str">
        <f>VLOOKUP(NFLDataSet!F365,TurnOverDiff2,2,TRUE)</f>
        <v>Medium</v>
      </c>
      <c r="G364" t="str">
        <f>NFLDataSet!G365</f>
        <v>L</v>
      </c>
    </row>
    <row r="365" spans="1:7" x14ac:dyDescent="0.35">
      <c r="A365" t="str">
        <f>NFLDataSet!A366</f>
        <v>H</v>
      </c>
      <c r="B365" t="str">
        <f>VLOOKUP(NFLDataSet!B366,FirstDownDiff2,2,TRUE)</f>
        <v>Medium</v>
      </c>
      <c r="C365" t="str">
        <f>VLOOKUP(NFLDataSet!C366,TotalYardDiff2,2,TRUE)</f>
        <v>Medium</v>
      </c>
      <c r="D365" t="str">
        <f>VLOOKUP(NFLDataSet!D366,PassYardsDiff2,2,TRUE)</f>
        <v>Medium</v>
      </c>
      <c r="E365" t="str">
        <f>VLOOKUP(NFLDataSet!E366,RushYards2,2,TRUE)</f>
        <v>Medium</v>
      </c>
      <c r="F365" t="str">
        <f>VLOOKUP(NFLDataSet!F366,TurnOverDiff2,2,TRUE)</f>
        <v>High</v>
      </c>
      <c r="G365" t="str">
        <f>NFLDataSet!G366</f>
        <v>L</v>
      </c>
    </row>
    <row r="366" spans="1:7" x14ac:dyDescent="0.35">
      <c r="A366" t="str">
        <f>NFLDataSet!A367</f>
        <v>H</v>
      </c>
      <c r="B366" t="str">
        <f>VLOOKUP(NFLDataSet!B367,FirstDownDiff2,2,TRUE)</f>
        <v>High</v>
      </c>
      <c r="C366" t="str">
        <f>VLOOKUP(NFLDataSet!C367,TotalYardDiff2,2,TRUE)</f>
        <v>High</v>
      </c>
      <c r="D366" t="str">
        <f>VLOOKUP(NFLDataSet!D367,PassYardsDiff2,2,TRUE)</f>
        <v>High</v>
      </c>
      <c r="E366" t="str">
        <f>VLOOKUP(NFLDataSet!E367,RushYards2,2,TRUE)</f>
        <v>High</v>
      </c>
      <c r="F366" t="str">
        <f>VLOOKUP(NFLDataSet!F367,TurnOverDiff2,2,TRUE)</f>
        <v>Medium</v>
      </c>
      <c r="G366" t="str">
        <f>NFLDataSet!G367</f>
        <v>W</v>
      </c>
    </row>
    <row r="367" spans="1:7" x14ac:dyDescent="0.35">
      <c r="A367" t="str">
        <f>NFLDataSet!A368</f>
        <v>A</v>
      </c>
      <c r="B367" t="str">
        <f>VLOOKUP(NFLDataSet!B368,FirstDownDiff2,2,TRUE)</f>
        <v>Low</v>
      </c>
      <c r="C367" t="str">
        <f>VLOOKUP(NFLDataSet!C368,TotalYardDiff2,2,TRUE)</f>
        <v>Low</v>
      </c>
      <c r="D367" t="str">
        <f>VLOOKUP(NFLDataSet!D368,PassYardsDiff2,2,TRUE)</f>
        <v>Low</v>
      </c>
      <c r="E367" t="str">
        <f>VLOOKUP(NFLDataSet!E368,RushYards2,2,TRUE)</f>
        <v>Medium</v>
      </c>
      <c r="F367" t="str">
        <f>VLOOKUP(NFLDataSet!F368,TurnOverDiff2,2,TRUE)</f>
        <v>Medium</v>
      </c>
      <c r="G367" t="str">
        <f>NFLDataSet!G368</f>
        <v>L</v>
      </c>
    </row>
    <row r="368" spans="1:7" x14ac:dyDescent="0.35">
      <c r="A368" t="str">
        <f>NFLDataSet!A369</f>
        <v>A</v>
      </c>
      <c r="B368" t="str">
        <f>VLOOKUP(NFLDataSet!B369,FirstDownDiff2,2,TRUE)</f>
        <v>Low</v>
      </c>
      <c r="C368" t="str">
        <f>VLOOKUP(NFLDataSet!C369,TotalYardDiff2,2,TRUE)</f>
        <v>Low</v>
      </c>
      <c r="D368" t="str">
        <f>VLOOKUP(NFLDataSet!D369,PassYardsDiff2,2,TRUE)</f>
        <v>Low</v>
      </c>
      <c r="E368" t="str">
        <f>VLOOKUP(NFLDataSet!E369,RushYards2,2,TRUE)</f>
        <v>Medium</v>
      </c>
      <c r="F368" t="str">
        <f>VLOOKUP(NFLDataSet!F369,TurnOverDiff2,2,TRUE)</f>
        <v>Medium</v>
      </c>
      <c r="G368" t="str">
        <f>NFLDataSet!G369</f>
        <v>L</v>
      </c>
    </row>
    <row r="369" spans="1:7" x14ac:dyDescent="0.35">
      <c r="A369" t="str">
        <f>NFLDataSet!A370</f>
        <v>H</v>
      </c>
      <c r="B369" t="str">
        <f>VLOOKUP(NFLDataSet!B370,FirstDownDiff2,2,TRUE)</f>
        <v>Medium</v>
      </c>
      <c r="C369" t="str">
        <f>VLOOKUP(NFLDataSet!C370,TotalYardDiff2,2,TRUE)</f>
        <v>Medium</v>
      </c>
      <c r="D369" t="str">
        <f>VLOOKUP(NFLDataSet!D370,PassYardsDiff2,2,TRUE)</f>
        <v>Medium</v>
      </c>
      <c r="E369" t="str">
        <f>VLOOKUP(NFLDataSet!E370,RushYards2,2,TRUE)</f>
        <v>Medium</v>
      </c>
      <c r="F369" t="str">
        <f>VLOOKUP(NFLDataSet!F370,TurnOverDiff2,2,TRUE)</f>
        <v>Medium</v>
      </c>
      <c r="G369" t="str">
        <f>NFLDataSet!G370</f>
        <v>L</v>
      </c>
    </row>
    <row r="370" spans="1:7" x14ac:dyDescent="0.35">
      <c r="A370" t="str">
        <f>NFLDataSet!A371</f>
        <v>A</v>
      </c>
      <c r="B370" t="str">
        <f>VLOOKUP(NFLDataSet!B371,FirstDownDiff2,2,TRUE)</f>
        <v>Medium</v>
      </c>
      <c r="C370" t="str">
        <f>VLOOKUP(NFLDataSet!C371,TotalYardDiff2,2,TRUE)</f>
        <v>Medium</v>
      </c>
      <c r="D370" t="str">
        <f>VLOOKUP(NFLDataSet!D371,PassYardsDiff2,2,TRUE)</f>
        <v>Medium</v>
      </c>
      <c r="E370" t="str">
        <f>VLOOKUP(NFLDataSet!E371,RushYards2,2,TRUE)</f>
        <v>Medium</v>
      </c>
      <c r="F370" t="str">
        <f>VLOOKUP(NFLDataSet!F371,TurnOverDiff2,2,TRUE)</f>
        <v>Medium</v>
      </c>
      <c r="G370" t="str">
        <f>NFLDataSet!G371</f>
        <v>L</v>
      </c>
    </row>
    <row r="371" spans="1:7" x14ac:dyDescent="0.35">
      <c r="A371" t="str">
        <f>NFLDataSet!A372</f>
        <v>A</v>
      </c>
      <c r="B371" t="str">
        <f>VLOOKUP(NFLDataSet!B372,FirstDownDiff2,2,TRUE)</f>
        <v>Medium</v>
      </c>
      <c r="C371" t="str">
        <f>VLOOKUP(NFLDataSet!C372,TotalYardDiff2,2,TRUE)</f>
        <v>High</v>
      </c>
      <c r="D371" t="str">
        <f>VLOOKUP(NFLDataSet!D372,PassYardsDiff2,2,TRUE)</f>
        <v>Medium</v>
      </c>
      <c r="E371" t="str">
        <f>VLOOKUP(NFLDataSet!E372,RushYards2,2,TRUE)</f>
        <v>Medium</v>
      </c>
      <c r="F371" t="str">
        <f>VLOOKUP(NFLDataSet!F372,TurnOverDiff2,2,TRUE)</f>
        <v>Medium</v>
      </c>
      <c r="G371" t="str">
        <f>NFLDataSet!G372</f>
        <v>L</v>
      </c>
    </row>
    <row r="372" spans="1:7" x14ac:dyDescent="0.35">
      <c r="A372" t="str">
        <f>NFLDataSet!A373</f>
        <v>A</v>
      </c>
      <c r="B372" t="str">
        <f>VLOOKUP(NFLDataSet!B373,FirstDownDiff2,2,TRUE)</f>
        <v>Low</v>
      </c>
      <c r="C372" t="str">
        <f>VLOOKUP(NFLDataSet!C373,TotalYardDiff2,2,TRUE)</f>
        <v>Low</v>
      </c>
      <c r="D372" t="str">
        <f>VLOOKUP(NFLDataSet!D373,PassYardsDiff2,2,TRUE)</f>
        <v>Low</v>
      </c>
      <c r="E372" t="str">
        <f>VLOOKUP(NFLDataSet!E373,RushYards2,2,TRUE)</f>
        <v>High</v>
      </c>
      <c r="F372" t="str">
        <f>VLOOKUP(NFLDataSet!F373,TurnOverDiff2,2,TRUE)</f>
        <v>Medium</v>
      </c>
      <c r="G372" t="str">
        <f>NFLDataSet!G373</f>
        <v>W</v>
      </c>
    </row>
    <row r="373" spans="1:7" x14ac:dyDescent="0.35">
      <c r="A373" t="str">
        <f>NFLDataSet!A374</f>
        <v>H</v>
      </c>
      <c r="B373" t="str">
        <f>VLOOKUP(NFLDataSet!B374,FirstDownDiff2,2,TRUE)</f>
        <v>Medium</v>
      </c>
      <c r="C373" t="str">
        <f>VLOOKUP(NFLDataSet!C374,TotalYardDiff2,2,TRUE)</f>
        <v>Medium</v>
      </c>
      <c r="D373" t="str">
        <f>VLOOKUP(NFLDataSet!D374,PassYardsDiff2,2,TRUE)</f>
        <v>Low</v>
      </c>
      <c r="E373" t="str">
        <f>VLOOKUP(NFLDataSet!E374,RushYards2,2,TRUE)</f>
        <v>High</v>
      </c>
      <c r="F373" t="str">
        <f>VLOOKUP(NFLDataSet!F374,TurnOverDiff2,2,TRUE)</f>
        <v>Medium</v>
      </c>
      <c r="G373" t="str">
        <f>NFLDataSet!G374</f>
        <v>W</v>
      </c>
    </row>
    <row r="374" spans="1:7" x14ac:dyDescent="0.35">
      <c r="A374" t="str">
        <f>NFLDataSet!A375</f>
        <v>H</v>
      </c>
      <c r="B374" t="str">
        <f>VLOOKUP(NFLDataSet!B375,FirstDownDiff2,2,TRUE)</f>
        <v>Medium</v>
      </c>
      <c r="C374" t="str">
        <f>VLOOKUP(NFLDataSet!C375,TotalYardDiff2,2,TRUE)</f>
        <v>Medium</v>
      </c>
      <c r="D374" t="str">
        <f>VLOOKUP(NFLDataSet!D375,PassYardsDiff2,2,TRUE)</f>
        <v>Medium</v>
      </c>
      <c r="E374" t="str">
        <f>VLOOKUP(NFLDataSet!E375,RushYards2,2,TRUE)</f>
        <v>Low</v>
      </c>
      <c r="F374" t="str">
        <f>VLOOKUP(NFLDataSet!F375,TurnOverDiff2,2,TRUE)</f>
        <v>Medium</v>
      </c>
      <c r="G374" t="str">
        <f>NFLDataSet!G375</f>
        <v>W</v>
      </c>
    </row>
    <row r="375" spans="1:7" x14ac:dyDescent="0.35">
      <c r="A375" t="str">
        <f>NFLDataSet!A376</f>
        <v>H</v>
      </c>
      <c r="B375" t="str">
        <f>VLOOKUP(NFLDataSet!B376,FirstDownDiff2,2,TRUE)</f>
        <v>Medium</v>
      </c>
      <c r="C375" t="str">
        <f>VLOOKUP(NFLDataSet!C376,TotalYardDiff2,2,TRUE)</f>
        <v>Low</v>
      </c>
      <c r="D375" t="str">
        <f>VLOOKUP(NFLDataSet!D376,PassYardsDiff2,2,TRUE)</f>
        <v>Low</v>
      </c>
      <c r="E375" t="str">
        <f>VLOOKUP(NFLDataSet!E376,RushYards2,2,TRUE)</f>
        <v>Medium</v>
      </c>
      <c r="F375" t="str">
        <f>VLOOKUP(NFLDataSet!F376,TurnOverDiff2,2,TRUE)</f>
        <v>Medium</v>
      </c>
      <c r="G375" t="str">
        <f>NFLDataSet!G376</f>
        <v>W</v>
      </c>
    </row>
    <row r="376" spans="1:7" x14ac:dyDescent="0.35">
      <c r="A376" t="str">
        <f>NFLDataSet!A377</f>
        <v>H</v>
      </c>
      <c r="B376" t="str">
        <f>VLOOKUP(NFLDataSet!B377,FirstDownDiff2,2,TRUE)</f>
        <v>High</v>
      </c>
      <c r="C376" t="str">
        <f>VLOOKUP(NFLDataSet!C377,TotalYardDiff2,2,TRUE)</f>
        <v>High</v>
      </c>
      <c r="D376" t="str">
        <f>VLOOKUP(NFLDataSet!D377,PassYardsDiff2,2,TRUE)</f>
        <v>High</v>
      </c>
      <c r="E376" t="str">
        <f>VLOOKUP(NFLDataSet!E377,RushYards2,2,TRUE)</f>
        <v>High</v>
      </c>
      <c r="F376" t="str">
        <f>VLOOKUP(NFLDataSet!F377,TurnOverDiff2,2,TRUE)</f>
        <v>High</v>
      </c>
      <c r="G376" t="str">
        <f>NFLDataSet!G377</f>
        <v>L</v>
      </c>
    </row>
    <row r="377" spans="1:7" x14ac:dyDescent="0.35">
      <c r="A377" t="str">
        <f>NFLDataSet!A378</f>
        <v>H</v>
      </c>
      <c r="B377" t="str">
        <f>VLOOKUP(NFLDataSet!B378,FirstDownDiff2,2,TRUE)</f>
        <v>High</v>
      </c>
      <c r="C377" t="str">
        <f>VLOOKUP(NFLDataSet!C378,TotalYardDiff2,2,TRUE)</f>
        <v>High</v>
      </c>
      <c r="D377" t="str">
        <f>VLOOKUP(NFLDataSet!D378,PassYardsDiff2,2,TRUE)</f>
        <v>High</v>
      </c>
      <c r="E377" t="str">
        <f>VLOOKUP(NFLDataSet!E378,RushYards2,2,TRUE)</f>
        <v>High</v>
      </c>
      <c r="F377" t="str">
        <f>VLOOKUP(NFLDataSet!F378,TurnOverDiff2,2,TRUE)</f>
        <v>Medium</v>
      </c>
      <c r="G377" t="str">
        <f>NFLDataSet!G378</f>
        <v>W</v>
      </c>
    </row>
    <row r="378" spans="1:7" x14ac:dyDescent="0.35">
      <c r="A378" t="str">
        <f>NFLDataSet!A379</f>
        <v>H</v>
      </c>
      <c r="B378" t="str">
        <f>VLOOKUP(NFLDataSet!B379,FirstDownDiff2,2,TRUE)</f>
        <v>Medium</v>
      </c>
      <c r="C378" t="str">
        <f>VLOOKUP(NFLDataSet!C379,TotalYardDiff2,2,TRUE)</f>
        <v>Medium</v>
      </c>
      <c r="D378" t="str">
        <f>VLOOKUP(NFLDataSet!D379,PassYardsDiff2,2,TRUE)</f>
        <v>Medium</v>
      </c>
      <c r="E378" t="str">
        <f>VLOOKUP(NFLDataSet!E379,RushYards2,2,TRUE)</f>
        <v>Medium</v>
      </c>
      <c r="F378" t="str">
        <f>VLOOKUP(NFLDataSet!F379,TurnOverDiff2,2,TRUE)</f>
        <v>Medium</v>
      </c>
      <c r="G378" t="str">
        <f>NFLDataSet!G379</f>
        <v>W</v>
      </c>
    </row>
    <row r="379" spans="1:7" x14ac:dyDescent="0.35">
      <c r="A379" t="str">
        <f>NFLDataSet!A380</f>
        <v>A</v>
      </c>
      <c r="B379" t="str">
        <f>VLOOKUP(NFLDataSet!B380,FirstDownDiff2,2,TRUE)</f>
        <v>Low</v>
      </c>
      <c r="C379" t="str">
        <f>VLOOKUP(NFLDataSet!C380,TotalYardDiff2,2,TRUE)</f>
        <v>Low</v>
      </c>
      <c r="D379" t="str">
        <f>VLOOKUP(NFLDataSet!D380,PassYardsDiff2,2,TRUE)</f>
        <v>Low</v>
      </c>
      <c r="E379" t="str">
        <f>VLOOKUP(NFLDataSet!E380,RushYards2,2,TRUE)</f>
        <v>Low</v>
      </c>
      <c r="F379" t="str">
        <f>VLOOKUP(NFLDataSet!F380,TurnOverDiff2,2,TRUE)</f>
        <v>Medium</v>
      </c>
      <c r="G379" t="str">
        <f>NFLDataSet!G380</f>
        <v>L</v>
      </c>
    </row>
    <row r="380" spans="1:7" x14ac:dyDescent="0.35">
      <c r="A380" t="str">
        <f>NFLDataSet!A381</f>
        <v>H</v>
      </c>
      <c r="B380" t="str">
        <f>VLOOKUP(NFLDataSet!B381,FirstDownDiff2,2,TRUE)</f>
        <v>High</v>
      </c>
      <c r="C380" t="str">
        <f>VLOOKUP(NFLDataSet!C381,TotalYardDiff2,2,TRUE)</f>
        <v>Medium</v>
      </c>
      <c r="D380" t="str">
        <f>VLOOKUP(NFLDataSet!D381,PassYardsDiff2,2,TRUE)</f>
        <v>High</v>
      </c>
      <c r="E380" t="str">
        <f>VLOOKUP(NFLDataSet!E381,RushYards2,2,TRUE)</f>
        <v>Low</v>
      </c>
      <c r="F380" t="str">
        <f>VLOOKUP(NFLDataSet!F381,TurnOverDiff2,2,TRUE)</f>
        <v>High</v>
      </c>
      <c r="G380" t="str">
        <f>NFLDataSet!G381</f>
        <v>L</v>
      </c>
    </row>
    <row r="381" spans="1:7" x14ac:dyDescent="0.35">
      <c r="A381" t="str">
        <f>NFLDataSet!A382</f>
        <v>H</v>
      </c>
      <c r="B381" t="str">
        <f>VLOOKUP(NFLDataSet!B382,FirstDownDiff2,2,TRUE)</f>
        <v>Low</v>
      </c>
      <c r="C381" t="str">
        <f>VLOOKUP(NFLDataSet!C382,TotalYardDiff2,2,TRUE)</f>
        <v>Low</v>
      </c>
      <c r="D381" t="str">
        <f>VLOOKUP(NFLDataSet!D382,PassYardsDiff2,2,TRUE)</f>
        <v>Medium</v>
      </c>
      <c r="E381" t="str">
        <f>VLOOKUP(NFLDataSet!E382,RushYards2,2,TRUE)</f>
        <v>Low</v>
      </c>
      <c r="F381" t="str">
        <f>VLOOKUP(NFLDataSet!F382,TurnOverDiff2,2,TRUE)</f>
        <v>Medium</v>
      </c>
      <c r="G381" t="str">
        <f>NFLDataSet!G382</f>
        <v>L</v>
      </c>
    </row>
    <row r="382" spans="1:7" x14ac:dyDescent="0.35">
      <c r="A382" t="str">
        <f>NFLDataSet!A383</f>
        <v>A</v>
      </c>
      <c r="B382" t="str">
        <f>VLOOKUP(NFLDataSet!B383,FirstDownDiff2,2,TRUE)</f>
        <v>Low</v>
      </c>
      <c r="C382" t="str">
        <f>VLOOKUP(NFLDataSet!C383,TotalYardDiff2,2,TRUE)</f>
        <v>Low</v>
      </c>
      <c r="D382" t="str">
        <f>VLOOKUP(NFLDataSet!D383,PassYardsDiff2,2,TRUE)</f>
        <v>Medium</v>
      </c>
      <c r="E382" t="str">
        <f>VLOOKUP(NFLDataSet!E383,RushYards2,2,TRUE)</f>
        <v>Low</v>
      </c>
      <c r="F382" t="str">
        <f>VLOOKUP(NFLDataSet!F383,TurnOverDiff2,2,TRUE)</f>
        <v>Medium</v>
      </c>
      <c r="G382" t="str">
        <f>NFLDataSet!G383</f>
        <v>L</v>
      </c>
    </row>
    <row r="383" spans="1:7" x14ac:dyDescent="0.35">
      <c r="A383" t="str">
        <f>NFLDataSet!A384</f>
        <v>A</v>
      </c>
      <c r="B383" t="str">
        <f>VLOOKUP(NFLDataSet!B384,FirstDownDiff2,2,TRUE)</f>
        <v>Medium</v>
      </c>
      <c r="C383" t="str">
        <f>VLOOKUP(NFLDataSet!C384,TotalYardDiff2,2,TRUE)</f>
        <v>High</v>
      </c>
      <c r="D383" t="str">
        <f>VLOOKUP(NFLDataSet!D384,PassYardsDiff2,2,TRUE)</f>
        <v>High</v>
      </c>
      <c r="E383" t="str">
        <f>VLOOKUP(NFLDataSet!E384,RushYards2,2,TRUE)</f>
        <v>Low</v>
      </c>
      <c r="F383" t="str">
        <f>VLOOKUP(NFLDataSet!F384,TurnOverDiff2,2,TRUE)</f>
        <v>Medium</v>
      </c>
      <c r="G383" t="str">
        <f>NFLDataSet!G384</f>
        <v>W</v>
      </c>
    </row>
    <row r="384" spans="1:7" x14ac:dyDescent="0.35">
      <c r="A384" t="str">
        <f>NFLDataSet!A385</f>
        <v>H</v>
      </c>
      <c r="B384" t="str">
        <f>VLOOKUP(NFLDataSet!B385,FirstDownDiff2,2,TRUE)</f>
        <v>Low</v>
      </c>
      <c r="C384" t="str">
        <f>VLOOKUP(NFLDataSet!C385,TotalYardDiff2,2,TRUE)</f>
        <v>Low</v>
      </c>
      <c r="D384" t="str">
        <f>VLOOKUP(NFLDataSet!D385,PassYardsDiff2,2,TRUE)</f>
        <v>Medium</v>
      </c>
      <c r="E384" t="str">
        <f>VLOOKUP(NFLDataSet!E385,RushYards2,2,TRUE)</f>
        <v>Low</v>
      </c>
      <c r="F384" t="str">
        <f>VLOOKUP(NFLDataSet!F385,TurnOverDiff2,2,TRUE)</f>
        <v>Medium</v>
      </c>
      <c r="G384" t="str">
        <f>NFLDataSet!G385</f>
        <v>L</v>
      </c>
    </row>
    <row r="385" spans="1:7" x14ac:dyDescent="0.35">
      <c r="A385" t="str">
        <f>NFLDataSet!A386</f>
        <v>H</v>
      </c>
      <c r="B385" t="str">
        <f>VLOOKUP(NFLDataSet!B386,FirstDownDiff2,2,TRUE)</f>
        <v>Medium</v>
      </c>
      <c r="C385" t="str">
        <f>VLOOKUP(NFLDataSet!C386,TotalYardDiff2,2,TRUE)</f>
        <v>Medium</v>
      </c>
      <c r="D385" t="str">
        <f>VLOOKUP(NFLDataSet!D386,PassYardsDiff2,2,TRUE)</f>
        <v>Low</v>
      </c>
      <c r="E385" t="str">
        <f>VLOOKUP(NFLDataSet!E386,RushYards2,2,TRUE)</f>
        <v>Medium</v>
      </c>
      <c r="F385" t="str">
        <f>VLOOKUP(NFLDataSet!F386,TurnOverDiff2,2,TRUE)</f>
        <v>Medium</v>
      </c>
      <c r="G385" t="str">
        <f>NFLDataSet!G386</f>
        <v>L</v>
      </c>
    </row>
    <row r="386" spans="1:7" x14ac:dyDescent="0.35">
      <c r="A386" t="str">
        <f>NFLDataSet!A387</f>
        <v>A</v>
      </c>
      <c r="B386" t="str">
        <f>VLOOKUP(NFLDataSet!B387,FirstDownDiff2,2,TRUE)</f>
        <v>Medium</v>
      </c>
      <c r="C386" t="str">
        <f>VLOOKUP(NFLDataSet!C387,TotalYardDiff2,2,TRUE)</f>
        <v>Low</v>
      </c>
      <c r="D386" t="str">
        <f>VLOOKUP(NFLDataSet!D387,PassYardsDiff2,2,TRUE)</f>
        <v>Low</v>
      </c>
      <c r="E386" t="str">
        <f>VLOOKUP(NFLDataSet!E387,RushYards2,2,TRUE)</f>
        <v>Medium</v>
      </c>
      <c r="F386" t="str">
        <f>VLOOKUP(NFLDataSet!F387,TurnOverDiff2,2,TRUE)</f>
        <v>Medium</v>
      </c>
      <c r="G386" t="str">
        <f>NFLDataSet!G387</f>
        <v>L</v>
      </c>
    </row>
    <row r="387" spans="1:7" x14ac:dyDescent="0.35">
      <c r="A387" t="str">
        <f>NFLDataSet!A388</f>
        <v>A</v>
      </c>
      <c r="B387" t="str">
        <f>VLOOKUP(NFLDataSet!B388,FirstDownDiff2,2,TRUE)</f>
        <v>Low</v>
      </c>
      <c r="C387" t="str">
        <f>VLOOKUP(NFLDataSet!C388,TotalYardDiff2,2,TRUE)</f>
        <v>Low</v>
      </c>
      <c r="D387" t="str">
        <f>VLOOKUP(NFLDataSet!D388,PassYardsDiff2,2,TRUE)</f>
        <v>Low</v>
      </c>
      <c r="E387" t="str">
        <f>VLOOKUP(NFLDataSet!E388,RushYards2,2,TRUE)</f>
        <v>Low</v>
      </c>
      <c r="F387" t="str">
        <f>VLOOKUP(NFLDataSet!F388,TurnOverDiff2,2,TRUE)</f>
        <v>Medium</v>
      </c>
      <c r="G387" t="str">
        <f>NFLDataSet!G388</f>
        <v>L</v>
      </c>
    </row>
    <row r="388" spans="1:7" x14ac:dyDescent="0.35">
      <c r="A388" t="str">
        <f>NFLDataSet!A389</f>
        <v>A</v>
      </c>
      <c r="B388" t="str">
        <f>VLOOKUP(NFLDataSet!B389,FirstDownDiff2,2,TRUE)</f>
        <v>Medium</v>
      </c>
      <c r="C388" t="str">
        <f>VLOOKUP(NFLDataSet!C389,TotalYardDiff2,2,TRUE)</f>
        <v>Medium</v>
      </c>
      <c r="D388" t="str">
        <f>VLOOKUP(NFLDataSet!D389,PassYardsDiff2,2,TRUE)</f>
        <v>Medium</v>
      </c>
      <c r="E388" t="str">
        <f>VLOOKUP(NFLDataSet!E389,RushYards2,2,TRUE)</f>
        <v>Medium</v>
      </c>
      <c r="F388" t="str">
        <f>VLOOKUP(NFLDataSet!F389,TurnOverDiff2,2,TRUE)</f>
        <v>Medium</v>
      </c>
      <c r="G388" t="str">
        <f>NFLDataSet!G389</f>
        <v>L</v>
      </c>
    </row>
    <row r="389" spans="1:7" x14ac:dyDescent="0.35">
      <c r="A389" t="str">
        <f>NFLDataSet!A390</f>
        <v>A</v>
      </c>
      <c r="B389" t="str">
        <f>VLOOKUP(NFLDataSet!B390,FirstDownDiff2,2,TRUE)</f>
        <v>High</v>
      </c>
      <c r="C389" t="str">
        <f>VLOOKUP(NFLDataSet!C390,TotalYardDiff2,2,TRUE)</f>
        <v>High</v>
      </c>
      <c r="D389" t="str">
        <f>VLOOKUP(NFLDataSet!D390,PassYardsDiff2,2,TRUE)</f>
        <v>High</v>
      </c>
      <c r="E389" t="str">
        <f>VLOOKUP(NFLDataSet!E390,RushYards2,2,TRUE)</f>
        <v>Medium</v>
      </c>
      <c r="F389" t="str">
        <f>VLOOKUP(NFLDataSet!F390,TurnOverDiff2,2,TRUE)</f>
        <v>Medium</v>
      </c>
      <c r="G389" t="str">
        <f>NFLDataSet!G390</f>
        <v>L</v>
      </c>
    </row>
    <row r="390" spans="1:7" x14ac:dyDescent="0.35">
      <c r="A390" t="str">
        <f>NFLDataSet!A391</f>
        <v>H</v>
      </c>
      <c r="B390" t="str">
        <f>VLOOKUP(NFLDataSet!B391,FirstDownDiff2,2,TRUE)</f>
        <v>High</v>
      </c>
      <c r="C390" t="str">
        <f>VLOOKUP(NFLDataSet!C391,TotalYardDiff2,2,TRUE)</f>
        <v>High</v>
      </c>
      <c r="D390" t="str">
        <f>VLOOKUP(NFLDataSet!D391,PassYardsDiff2,2,TRUE)</f>
        <v>Medium</v>
      </c>
      <c r="E390" t="str">
        <f>VLOOKUP(NFLDataSet!E391,RushYards2,2,TRUE)</f>
        <v>High</v>
      </c>
      <c r="F390" t="str">
        <f>VLOOKUP(NFLDataSet!F391,TurnOverDiff2,2,TRUE)</f>
        <v>Medium</v>
      </c>
      <c r="G390" t="str">
        <f>NFLDataSet!G391</f>
        <v>W</v>
      </c>
    </row>
    <row r="391" spans="1:7" x14ac:dyDescent="0.35">
      <c r="A391" t="str">
        <f>NFLDataSet!A392</f>
        <v>H</v>
      </c>
      <c r="B391" t="str">
        <f>VLOOKUP(NFLDataSet!B392,FirstDownDiff2,2,TRUE)</f>
        <v>High</v>
      </c>
      <c r="C391" t="str">
        <f>VLOOKUP(NFLDataSet!C392,TotalYardDiff2,2,TRUE)</f>
        <v>Medium</v>
      </c>
      <c r="D391" t="str">
        <f>VLOOKUP(NFLDataSet!D392,PassYardsDiff2,2,TRUE)</f>
        <v>Medium</v>
      </c>
      <c r="E391" t="str">
        <f>VLOOKUP(NFLDataSet!E392,RushYards2,2,TRUE)</f>
        <v>Medium</v>
      </c>
      <c r="F391" t="str">
        <f>VLOOKUP(NFLDataSet!F392,TurnOverDiff2,2,TRUE)</f>
        <v>Medium</v>
      </c>
      <c r="G391" t="str">
        <f>NFLDataSet!G392</f>
        <v>W</v>
      </c>
    </row>
    <row r="392" spans="1:7" x14ac:dyDescent="0.35">
      <c r="A392" t="str">
        <f>NFLDataSet!A393</f>
        <v>A</v>
      </c>
      <c r="B392" t="str">
        <f>VLOOKUP(NFLDataSet!B393,FirstDownDiff2,2,TRUE)</f>
        <v>Medium</v>
      </c>
      <c r="C392" t="str">
        <f>VLOOKUP(NFLDataSet!C393,TotalYardDiff2,2,TRUE)</f>
        <v>Low</v>
      </c>
      <c r="D392" t="str">
        <f>VLOOKUP(NFLDataSet!D393,PassYardsDiff2,2,TRUE)</f>
        <v>Low</v>
      </c>
      <c r="E392" t="str">
        <f>VLOOKUP(NFLDataSet!E393,RushYards2,2,TRUE)</f>
        <v>High</v>
      </c>
      <c r="F392" t="str">
        <f>VLOOKUP(NFLDataSet!F393,TurnOverDiff2,2,TRUE)</f>
        <v>Medium</v>
      </c>
      <c r="G392" t="str">
        <f>NFLDataSet!G393</f>
        <v>L</v>
      </c>
    </row>
    <row r="393" spans="1:7" x14ac:dyDescent="0.35">
      <c r="A393" t="str">
        <f>NFLDataSet!A394</f>
        <v>H</v>
      </c>
      <c r="B393" t="str">
        <f>VLOOKUP(NFLDataSet!B394,FirstDownDiff2,2,TRUE)</f>
        <v>Medium</v>
      </c>
      <c r="C393" t="str">
        <f>VLOOKUP(NFLDataSet!C394,TotalYardDiff2,2,TRUE)</f>
        <v>Medium</v>
      </c>
      <c r="D393" t="str">
        <f>VLOOKUP(NFLDataSet!D394,PassYardsDiff2,2,TRUE)</f>
        <v>Low</v>
      </c>
      <c r="E393" t="str">
        <f>VLOOKUP(NFLDataSet!E394,RushYards2,2,TRUE)</f>
        <v>High</v>
      </c>
      <c r="F393" t="str">
        <f>VLOOKUP(NFLDataSet!F394,TurnOverDiff2,2,TRUE)</f>
        <v>Medium</v>
      </c>
      <c r="G393" t="str">
        <f>NFLDataSet!G394</f>
        <v>W</v>
      </c>
    </row>
    <row r="394" spans="1:7" x14ac:dyDescent="0.35">
      <c r="A394" t="str">
        <f>NFLDataSet!A395</f>
        <v>A</v>
      </c>
      <c r="B394" t="str">
        <f>VLOOKUP(NFLDataSet!B395,FirstDownDiff2,2,TRUE)</f>
        <v>High</v>
      </c>
      <c r="C394" t="str">
        <f>VLOOKUP(NFLDataSet!C395,TotalYardDiff2,2,TRUE)</f>
        <v>High</v>
      </c>
      <c r="D394" t="str">
        <f>VLOOKUP(NFLDataSet!D395,PassYardsDiff2,2,TRUE)</f>
        <v>Low</v>
      </c>
      <c r="E394" t="str">
        <f>VLOOKUP(NFLDataSet!E395,RushYards2,2,TRUE)</f>
        <v>High</v>
      </c>
      <c r="F394" t="str">
        <f>VLOOKUP(NFLDataSet!F395,TurnOverDiff2,2,TRUE)</f>
        <v>Medium</v>
      </c>
      <c r="G394" t="str">
        <f>NFLDataSet!G395</f>
        <v>W</v>
      </c>
    </row>
    <row r="395" spans="1:7" x14ac:dyDescent="0.35">
      <c r="A395" t="str">
        <f>NFLDataSet!A396</f>
        <v>H</v>
      </c>
      <c r="B395" t="str">
        <f>VLOOKUP(NFLDataSet!B396,FirstDownDiff2,2,TRUE)</f>
        <v>Low</v>
      </c>
      <c r="C395" t="str">
        <f>VLOOKUP(NFLDataSet!C396,TotalYardDiff2,2,TRUE)</f>
        <v>Medium</v>
      </c>
      <c r="D395" t="str">
        <f>VLOOKUP(NFLDataSet!D396,PassYardsDiff2,2,TRUE)</f>
        <v>Medium</v>
      </c>
      <c r="E395" t="str">
        <f>VLOOKUP(NFLDataSet!E396,RushYards2,2,TRUE)</f>
        <v>Medium</v>
      </c>
      <c r="F395" t="str">
        <f>VLOOKUP(NFLDataSet!F396,TurnOverDiff2,2,TRUE)</f>
        <v>Medium</v>
      </c>
      <c r="G395" t="str">
        <f>NFLDataSet!G396</f>
        <v>L</v>
      </c>
    </row>
    <row r="396" spans="1:7" x14ac:dyDescent="0.35">
      <c r="A396" t="str">
        <f>NFLDataSet!A397</f>
        <v>A</v>
      </c>
      <c r="B396" t="str">
        <f>VLOOKUP(NFLDataSet!B397,FirstDownDiff2,2,TRUE)</f>
        <v>Medium</v>
      </c>
      <c r="C396" t="str">
        <f>VLOOKUP(NFLDataSet!C397,TotalYardDiff2,2,TRUE)</f>
        <v>Medium</v>
      </c>
      <c r="D396" t="str">
        <f>VLOOKUP(NFLDataSet!D397,PassYardsDiff2,2,TRUE)</f>
        <v>Medium</v>
      </c>
      <c r="E396" t="str">
        <f>VLOOKUP(NFLDataSet!E397,RushYards2,2,TRUE)</f>
        <v>Medium</v>
      </c>
      <c r="F396" t="str">
        <f>VLOOKUP(NFLDataSet!F397,TurnOverDiff2,2,TRUE)</f>
        <v>Medium</v>
      </c>
      <c r="G396" t="str">
        <f>NFLDataSet!G397</f>
        <v>L</v>
      </c>
    </row>
    <row r="397" spans="1:7" x14ac:dyDescent="0.35">
      <c r="A397" t="str">
        <f>NFLDataSet!A398</f>
        <v>H</v>
      </c>
      <c r="B397" t="str">
        <f>VLOOKUP(NFLDataSet!B398,FirstDownDiff2,2,TRUE)</f>
        <v>High</v>
      </c>
      <c r="C397" t="str">
        <f>VLOOKUP(NFLDataSet!C398,TotalYardDiff2,2,TRUE)</f>
        <v>Medium</v>
      </c>
      <c r="D397" t="str">
        <f>VLOOKUP(NFLDataSet!D398,PassYardsDiff2,2,TRUE)</f>
        <v>High</v>
      </c>
      <c r="E397" t="str">
        <f>VLOOKUP(NFLDataSet!E398,RushYards2,2,TRUE)</f>
        <v>Low</v>
      </c>
      <c r="F397" t="str">
        <f>VLOOKUP(NFLDataSet!F398,TurnOverDiff2,2,TRUE)</f>
        <v>Medium</v>
      </c>
      <c r="G397" t="str">
        <f>NFLDataSet!G398</f>
        <v>L</v>
      </c>
    </row>
    <row r="398" spans="1:7" x14ac:dyDescent="0.35">
      <c r="A398" t="str">
        <f>NFLDataSet!A399</f>
        <v>H</v>
      </c>
      <c r="B398" t="str">
        <f>VLOOKUP(NFLDataSet!B399,FirstDownDiff2,2,TRUE)</f>
        <v>High</v>
      </c>
      <c r="C398" t="str">
        <f>VLOOKUP(NFLDataSet!C399,TotalYardDiff2,2,TRUE)</f>
        <v>Medium</v>
      </c>
      <c r="D398" t="str">
        <f>VLOOKUP(NFLDataSet!D399,PassYardsDiff2,2,TRUE)</f>
        <v>Medium</v>
      </c>
      <c r="E398" t="str">
        <f>VLOOKUP(NFLDataSet!E399,RushYards2,2,TRUE)</f>
        <v>Medium</v>
      </c>
      <c r="F398" t="str">
        <f>VLOOKUP(NFLDataSet!F399,TurnOverDiff2,2,TRUE)</f>
        <v>Medium</v>
      </c>
      <c r="G398" t="str">
        <f>NFLDataSet!G399</f>
        <v>W</v>
      </c>
    </row>
    <row r="399" spans="1:7" x14ac:dyDescent="0.35">
      <c r="A399" t="str">
        <f>NFLDataSet!A400</f>
        <v>A</v>
      </c>
      <c r="B399" t="str">
        <f>VLOOKUP(NFLDataSet!B400,FirstDownDiff2,2,TRUE)</f>
        <v>High</v>
      </c>
      <c r="C399" t="str">
        <f>VLOOKUP(NFLDataSet!C400,TotalYardDiff2,2,TRUE)</f>
        <v>High</v>
      </c>
      <c r="D399" t="str">
        <f>VLOOKUP(NFLDataSet!D400,PassYardsDiff2,2,TRUE)</f>
        <v>High</v>
      </c>
      <c r="E399" t="str">
        <f>VLOOKUP(NFLDataSet!E400,RushYards2,2,TRUE)</f>
        <v>Medium</v>
      </c>
      <c r="F399" t="str">
        <f>VLOOKUP(NFLDataSet!F400,TurnOverDiff2,2,TRUE)</f>
        <v>Medium</v>
      </c>
      <c r="G399" t="str">
        <f>NFLDataSet!G400</f>
        <v>W</v>
      </c>
    </row>
    <row r="400" spans="1:7" x14ac:dyDescent="0.35">
      <c r="A400" t="str">
        <f>NFLDataSet!A401</f>
        <v>H</v>
      </c>
      <c r="B400" t="str">
        <f>VLOOKUP(NFLDataSet!B401,FirstDownDiff2,2,TRUE)</f>
        <v>Low</v>
      </c>
      <c r="C400" t="str">
        <f>VLOOKUP(NFLDataSet!C401,TotalYardDiff2,2,TRUE)</f>
        <v>Medium</v>
      </c>
      <c r="D400" t="str">
        <f>VLOOKUP(NFLDataSet!D401,PassYardsDiff2,2,TRUE)</f>
        <v>Medium</v>
      </c>
      <c r="E400" t="str">
        <f>VLOOKUP(NFLDataSet!E401,RushYards2,2,TRUE)</f>
        <v>Medium</v>
      </c>
      <c r="F400" t="str">
        <f>VLOOKUP(NFLDataSet!F401,TurnOverDiff2,2,TRUE)</f>
        <v>Medium</v>
      </c>
      <c r="G400" t="str">
        <f>NFLDataSet!G401</f>
        <v>L</v>
      </c>
    </row>
    <row r="401" spans="1:7" x14ac:dyDescent="0.35">
      <c r="A401" t="str">
        <f>NFLDataSet!A402</f>
        <v>H</v>
      </c>
      <c r="B401" t="str">
        <f>VLOOKUP(NFLDataSet!B402,FirstDownDiff2,2,TRUE)</f>
        <v>Medium</v>
      </c>
      <c r="C401" t="str">
        <f>VLOOKUP(NFLDataSet!C402,TotalYardDiff2,2,TRUE)</f>
        <v>Medium</v>
      </c>
      <c r="D401" t="str">
        <f>VLOOKUP(NFLDataSet!D402,PassYardsDiff2,2,TRUE)</f>
        <v>High</v>
      </c>
      <c r="E401" t="str">
        <f>VLOOKUP(NFLDataSet!E402,RushYards2,2,TRUE)</f>
        <v>Low</v>
      </c>
      <c r="F401" t="str">
        <f>VLOOKUP(NFLDataSet!F402,TurnOverDiff2,2,TRUE)</f>
        <v>Medium</v>
      </c>
      <c r="G401" t="str">
        <f>NFLDataSet!G402</f>
        <v>W</v>
      </c>
    </row>
    <row r="402" spans="1:7" x14ac:dyDescent="0.35">
      <c r="A402" t="str">
        <f>NFLDataSet!A403</f>
        <v>A</v>
      </c>
      <c r="B402" t="str">
        <f>VLOOKUP(NFLDataSet!B403,FirstDownDiff2,2,TRUE)</f>
        <v>High</v>
      </c>
      <c r="C402" t="str">
        <f>VLOOKUP(NFLDataSet!C403,TotalYardDiff2,2,TRUE)</f>
        <v>High</v>
      </c>
      <c r="D402" t="str">
        <f>VLOOKUP(NFLDataSet!D403,PassYardsDiff2,2,TRUE)</f>
        <v>High</v>
      </c>
      <c r="E402" t="str">
        <f>VLOOKUP(NFLDataSet!E403,RushYards2,2,TRUE)</f>
        <v>Medium</v>
      </c>
      <c r="F402" t="str">
        <f>VLOOKUP(NFLDataSet!F403,TurnOverDiff2,2,TRUE)</f>
        <v>Medium</v>
      </c>
      <c r="G402" t="str">
        <f>NFLDataSet!G403</f>
        <v>W</v>
      </c>
    </row>
    <row r="403" spans="1:7" x14ac:dyDescent="0.35">
      <c r="A403" t="str">
        <f>NFLDataSet!A404</f>
        <v>A</v>
      </c>
      <c r="B403" t="str">
        <f>VLOOKUP(NFLDataSet!B404,FirstDownDiff2,2,TRUE)</f>
        <v>High</v>
      </c>
      <c r="C403" t="str">
        <f>VLOOKUP(NFLDataSet!C404,TotalYardDiff2,2,TRUE)</f>
        <v>Medium</v>
      </c>
      <c r="D403" t="str">
        <f>VLOOKUP(NFLDataSet!D404,PassYardsDiff2,2,TRUE)</f>
        <v>Medium</v>
      </c>
      <c r="E403" t="str">
        <f>VLOOKUP(NFLDataSet!E404,RushYards2,2,TRUE)</f>
        <v>High</v>
      </c>
      <c r="F403" t="str">
        <f>VLOOKUP(NFLDataSet!F404,TurnOverDiff2,2,TRUE)</f>
        <v>Medium</v>
      </c>
      <c r="G403" t="str">
        <f>NFLDataSet!G404</f>
        <v>W</v>
      </c>
    </row>
    <row r="404" spans="1:7" x14ac:dyDescent="0.35">
      <c r="A404" t="str">
        <f>NFLDataSet!A405</f>
        <v>H</v>
      </c>
      <c r="B404" t="str">
        <f>VLOOKUP(NFLDataSet!B405,FirstDownDiff2,2,TRUE)</f>
        <v>Medium</v>
      </c>
      <c r="C404" t="str">
        <f>VLOOKUP(NFLDataSet!C405,TotalYardDiff2,2,TRUE)</f>
        <v>Medium</v>
      </c>
      <c r="D404" t="str">
        <f>VLOOKUP(NFLDataSet!D405,PassYardsDiff2,2,TRUE)</f>
        <v>High</v>
      </c>
      <c r="E404" t="str">
        <f>VLOOKUP(NFLDataSet!E405,RushYards2,2,TRUE)</f>
        <v>Low</v>
      </c>
      <c r="F404" t="str">
        <f>VLOOKUP(NFLDataSet!F405,TurnOverDiff2,2,TRUE)</f>
        <v>Medium</v>
      </c>
      <c r="G404" t="str">
        <f>NFLDataSet!G405</f>
        <v>L</v>
      </c>
    </row>
    <row r="405" spans="1:7" x14ac:dyDescent="0.35">
      <c r="A405" t="str">
        <f>NFLDataSet!A406</f>
        <v>H</v>
      </c>
      <c r="B405" t="str">
        <f>VLOOKUP(NFLDataSet!B406,FirstDownDiff2,2,TRUE)</f>
        <v>High</v>
      </c>
      <c r="C405" t="str">
        <f>VLOOKUP(NFLDataSet!C406,TotalYardDiff2,2,TRUE)</f>
        <v>High</v>
      </c>
      <c r="D405" t="str">
        <f>VLOOKUP(NFLDataSet!D406,PassYardsDiff2,2,TRUE)</f>
        <v>High</v>
      </c>
      <c r="E405" t="str">
        <f>VLOOKUP(NFLDataSet!E406,RushYards2,2,TRUE)</f>
        <v>Medium</v>
      </c>
      <c r="F405" t="str">
        <f>VLOOKUP(NFLDataSet!F406,TurnOverDiff2,2,TRUE)</f>
        <v>Medium</v>
      </c>
      <c r="G405" t="str">
        <f>NFLDataSet!G406</f>
        <v>W</v>
      </c>
    </row>
    <row r="406" spans="1:7" x14ac:dyDescent="0.35">
      <c r="A406" t="str">
        <f>NFLDataSet!A407</f>
        <v>A</v>
      </c>
      <c r="B406" t="str">
        <f>VLOOKUP(NFLDataSet!B407,FirstDownDiff2,2,TRUE)</f>
        <v>Medium</v>
      </c>
      <c r="C406" t="str">
        <f>VLOOKUP(NFLDataSet!C407,TotalYardDiff2,2,TRUE)</f>
        <v>Medium</v>
      </c>
      <c r="D406" t="str">
        <f>VLOOKUP(NFLDataSet!D407,PassYardsDiff2,2,TRUE)</f>
        <v>Low</v>
      </c>
      <c r="E406" t="str">
        <f>VLOOKUP(NFLDataSet!E407,RushYards2,2,TRUE)</f>
        <v>Medium</v>
      </c>
      <c r="F406" t="str">
        <f>VLOOKUP(NFLDataSet!F407,TurnOverDiff2,2,TRUE)</f>
        <v>Low</v>
      </c>
      <c r="G406" t="str">
        <f>NFLDataSet!G407</f>
        <v>W</v>
      </c>
    </row>
    <row r="407" spans="1:7" x14ac:dyDescent="0.35">
      <c r="A407" t="str">
        <f>NFLDataSet!A408</f>
        <v>A</v>
      </c>
      <c r="B407" t="str">
        <f>VLOOKUP(NFLDataSet!B408,FirstDownDiff2,2,TRUE)</f>
        <v>Low</v>
      </c>
      <c r="C407" t="str">
        <f>VLOOKUP(NFLDataSet!C408,TotalYardDiff2,2,TRUE)</f>
        <v>Medium</v>
      </c>
      <c r="D407" t="str">
        <f>VLOOKUP(NFLDataSet!D408,PassYardsDiff2,2,TRUE)</f>
        <v>Low</v>
      </c>
      <c r="E407" t="str">
        <f>VLOOKUP(NFLDataSet!E408,RushYards2,2,TRUE)</f>
        <v>High</v>
      </c>
      <c r="F407" t="str">
        <f>VLOOKUP(NFLDataSet!F408,TurnOverDiff2,2,TRUE)</f>
        <v>Medium</v>
      </c>
      <c r="G407" t="str">
        <f>NFLDataSet!G408</f>
        <v>L</v>
      </c>
    </row>
    <row r="408" spans="1:7" x14ac:dyDescent="0.35">
      <c r="A408" t="str">
        <f>NFLDataSet!A409</f>
        <v>A</v>
      </c>
      <c r="B408" t="str">
        <f>VLOOKUP(NFLDataSet!B409,FirstDownDiff2,2,TRUE)</f>
        <v>Medium</v>
      </c>
      <c r="C408" t="str">
        <f>VLOOKUP(NFLDataSet!C409,TotalYardDiff2,2,TRUE)</f>
        <v>Medium</v>
      </c>
      <c r="D408" t="str">
        <f>VLOOKUP(NFLDataSet!D409,PassYardsDiff2,2,TRUE)</f>
        <v>Medium</v>
      </c>
      <c r="E408" t="str">
        <f>VLOOKUP(NFLDataSet!E409,RushYards2,2,TRUE)</f>
        <v>Medium</v>
      </c>
      <c r="F408" t="str">
        <f>VLOOKUP(NFLDataSet!F409,TurnOverDiff2,2,TRUE)</f>
        <v>Medium</v>
      </c>
      <c r="G408" t="str">
        <f>NFLDataSet!G409</f>
        <v>W</v>
      </c>
    </row>
    <row r="409" spans="1:7" x14ac:dyDescent="0.35">
      <c r="A409" t="str">
        <f>NFLDataSet!A410</f>
        <v>A</v>
      </c>
      <c r="B409" t="str">
        <f>VLOOKUP(NFLDataSet!B410,FirstDownDiff2,2,TRUE)</f>
        <v>High</v>
      </c>
      <c r="C409" t="str">
        <f>VLOOKUP(NFLDataSet!C410,TotalYardDiff2,2,TRUE)</f>
        <v>Medium</v>
      </c>
      <c r="D409" t="str">
        <f>VLOOKUP(NFLDataSet!D410,PassYardsDiff2,2,TRUE)</f>
        <v>Medium</v>
      </c>
      <c r="E409" t="str">
        <f>VLOOKUP(NFLDataSet!E410,RushYards2,2,TRUE)</f>
        <v>Medium</v>
      </c>
      <c r="F409" t="str">
        <f>VLOOKUP(NFLDataSet!F410,TurnOverDiff2,2,TRUE)</f>
        <v>Medium</v>
      </c>
      <c r="G409" t="str">
        <f>NFLDataSet!G410</f>
        <v>W</v>
      </c>
    </row>
    <row r="410" spans="1:7" x14ac:dyDescent="0.35">
      <c r="A410" t="str">
        <f>NFLDataSet!A411</f>
        <v>H</v>
      </c>
      <c r="B410" t="str">
        <f>VLOOKUP(NFLDataSet!B411,FirstDownDiff2,2,TRUE)</f>
        <v>High</v>
      </c>
      <c r="C410" t="str">
        <f>VLOOKUP(NFLDataSet!C411,TotalYardDiff2,2,TRUE)</f>
        <v>Medium</v>
      </c>
      <c r="D410" t="str">
        <f>VLOOKUP(NFLDataSet!D411,PassYardsDiff2,2,TRUE)</f>
        <v>High</v>
      </c>
      <c r="E410" t="str">
        <f>VLOOKUP(NFLDataSet!E411,RushYards2,2,TRUE)</f>
        <v>Medium</v>
      </c>
      <c r="F410" t="str">
        <f>VLOOKUP(NFLDataSet!F411,TurnOverDiff2,2,TRUE)</f>
        <v>High</v>
      </c>
      <c r="G410" t="str">
        <f>NFLDataSet!G411</f>
        <v>L</v>
      </c>
    </row>
    <row r="411" spans="1:7" x14ac:dyDescent="0.35">
      <c r="A411" t="str">
        <f>NFLDataSet!A412</f>
        <v>A</v>
      </c>
      <c r="B411" t="str">
        <f>VLOOKUP(NFLDataSet!B412,FirstDownDiff2,2,TRUE)</f>
        <v>High</v>
      </c>
      <c r="C411" t="str">
        <f>VLOOKUP(NFLDataSet!C412,TotalYardDiff2,2,TRUE)</f>
        <v>Medium</v>
      </c>
      <c r="D411" t="str">
        <f>VLOOKUP(NFLDataSet!D412,PassYardsDiff2,2,TRUE)</f>
        <v>Medium</v>
      </c>
      <c r="E411" t="str">
        <f>VLOOKUP(NFLDataSet!E412,RushYards2,2,TRUE)</f>
        <v>High</v>
      </c>
      <c r="F411" t="str">
        <f>VLOOKUP(NFLDataSet!F412,TurnOverDiff2,2,TRUE)</f>
        <v>Medium</v>
      </c>
      <c r="G411" t="str">
        <f>NFLDataSet!G412</f>
        <v>L</v>
      </c>
    </row>
    <row r="412" spans="1:7" x14ac:dyDescent="0.35">
      <c r="A412" t="str">
        <f>NFLDataSet!A413</f>
        <v>A</v>
      </c>
      <c r="B412" t="str">
        <f>VLOOKUP(NFLDataSet!B413,FirstDownDiff2,2,TRUE)</f>
        <v>Medium</v>
      </c>
      <c r="C412" t="str">
        <f>VLOOKUP(NFLDataSet!C413,TotalYardDiff2,2,TRUE)</f>
        <v>High</v>
      </c>
      <c r="D412" t="str">
        <f>VLOOKUP(NFLDataSet!D413,PassYardsDiff2,2,TRUE)</f>
        <v>High</v>
      </c>
      <c r="E412" t="str">
        <f>VLOOKUP(NFLDataSet!E413,RushYards2,2,TRUE)</f>
        <v>Medium</v>
      </c>
      <c r="F412" t="str">
        <f>VLOOKUP(NFLDataSet!F413,TurnOverDiff2,2,TRUE)</f>
        <v>Medium</v>
      </c>
      <c r="G412" t="str">
        <f>NFLDataSet!G413</f>
        <v>W</v>
      </c>
    </row>
    <row r="413" spans="1:7" x14ac:dyDescent="0.35">
      <c r="A413" t="str">
        <f>NFLDataSet!A414</f>
        <v>A</v>
      </c>
      <c r="B413" t="str">
        <f>VLOOKUP(NFLDataSet!B414,FirstDownDiff2,2,TRUE)</f>
        <v>Low</v>
      </c>
      <c r="C413" t="str">
        <f>VLOOKUP(NFLDataSet!C414,TotalYardDiff2,2,TRUE)</f>
        <v>Medium</v>
      </c>
      <c r="D413" t="str">
        <f>VLOOKUP(NFLDataSet!D414,PassYardsDiff2,2,TRUE)</f>
        <v>Medium</v>
      </c>
      <c r="E413" t="str">
        <f>VLOOKUP(NFLDataSet!E414,RushYards2,2,TRUE)</f>
        <v>Medium</v>
      </c>
      <c r="F413" t="str">
        <f>VLOOKUP(NFLDataSet!F414,TurnOverDiff2,2,TRUE)</f>
        <v>Medium</v>
      </c>
      <c r="G413" t="str">
        <f>NFLDataSet!G414</f>
        <v>W</v>
      </c>
    </row>
    <row r="414" spans="1:7" x14ac:dyDescent="0.35">
      <c r="A414" t="str">
        <f>NFLDataSet!A415</f>
        <v>A</v>
      </c>
      <c r="B414" t="str">
        <f>VLOOKUP(NFLDataSet!B415,FirstDownDiff2,2,TRUE)</f>
        <v>Medium</v>
      </c>
      <c r="C414" t="str">
        <f>VLOOKUP(NFLDataSet!C415,TotalYardDiff2,2,TRUE)</f>
        <v>Medium</v>
      </c>
      <c r="D414" t="str">
        <f>VLOOKUP(NFLDataSet!D415,PassYardsDiff2,2,TRUE)</f>
        <v>Medium</v>
      </c>
      <c r="E414" t="str">
        <f>VLOOKUP(NFLDataSet!E415,RushYards2,2,TRUE)</f>
        <v>Low</v>
      </c>
      <c r="F414" t="str">
        <f>VLOOKUP(NFLDataSet!F415,TurnOverDiff2,2,TRUE)</f>
        <v>Medium</v>
      </c>
      <c r="G414" t="str">
        <f>NFLDataSet!G415</f>
        <v>L</v>
      </c>
    </row>
    <row r="415" spans="1:7" x14ac:dyDescent="0.35">
      <c r="A415" t="str">
        <f>NFLDataSet!A416</f>
        <v>A</v>
      </c>
      <c r="B415" t="str">
        <f>VLOOKUP(NFLDataSet!B416,FirstDownDiff2,2,TRUE)</f>
        <v>Low</v>
      </c>
      <c r="C415" t="str">
        <f>VLOOKUP(NFLDataSet!C416,TotalYardDiff2,2,TRUE)</f>
        <v>Low</v>
      </c>
      <c r="D415" t="str">
        <f>VLOOKUP(NFLDataSet!D416,PassYardsDiff2,2,TRUE)</f>
        <v>Low</v>
      </c>
      <c r="E415" t="str">
        <f>VLOOKUP(NFLDataSet!E416,RushYards2,2,TRUE)</f>
        <v>Low</v>
      </c>
      <c r="F415" t="str">
        <f>VLOOKUP(NFLDataSet!F416,TurnOverDiff2,2,TRUE)</f>
        <v>Medium</v>
      </c>
      <c r="G415" t="str">
        <f>NFLDataSet!G416</f>
        <v>L</v>
      </c>
    </row>
    <row r="416" spans="1:7" x14ac:dyDescent="0.35">
      <c r="A416" t="str">
        <f>NFLDataSet!A417</f>
        <v>H</v>
      </c>
      <c r="B416" t="str">
        <f>VLOOKUP(NFLDataSet!B417,FirstDownDiff2,2,TRUE)</f>
        <v>Medium</v>
      </c>
      <c r="C416" t="str">
        <f>VLOOKUP(NFLDataSet!C417,TotalYardDiff2,2,TRUE)</f>
        <v>Medium</v>
      </c>
      <c r="D416" t="str">
        <f>VLOOKUP(NFLDataSet!D417,PassYardsDiff2,2,TRUE)</f>
        <v>High</v>
      </c>
      <c r="E416" t="str">
        <f>VLOOKUP(NFLDataSet!E417,RushYards2,2,TRUE)</f>
        <v>Low</v>
      </c>
      <c r="F416" t="str">
        <f>VLOOKUP(NFLDataSet!F417,TurnOverDiff2,2,TRUE)</f>
        <v>Medium</v>
      </c>
      <c r="G416" t="str">
        <f>NFLDataSet!G417</f>
        <v>W</v>
      </c>
    </row>
    <row r="417" spans="1:7" x14ac:dyDescent="0.35">
      <c r="A417" t="str">
        <f>NFLDataSet!A418</f>
        <v>A</v>
      </c>
      <c r="B417" t="str">
        <f>VLOOKUP(NFLDataSet!B418,FirstDownDiff2,2,TRUE)</f>
        <v>Medium</v>
      </c>
      <c r="C417" t="str">
        <f>VLOOKUP(NFLDataSet!C418,TotalYardDiff2,2,TRUE)</f>
        <v>Medium</v>
      </c>
      <c r="D417" t="str">
        <f>VLOOKUP(NFLDataSet!D418,PassYardsDiff2,2,TRUE)</f>
        <v>Medium</v>
      </c>
      <c r="E417" t="str">
        <f>VLOOKUP(NFLDataSet!E418,RushYards2,2,TRUE)</f>
        <v>Medium</v>
      </c>
      <c r="F417" t="str">
        <f>VLOOKUP(NFLDataSet!F418,TurnOverDiff2,2,TRUE)</f>
        <v>Medium</v>
      </c>
      <c r="G417" t="str">
        <f>NFLDataSet!G418</f>
        <v>L</v>
      </c>
    </row>
    <row r="418" spans="1:7" x14ac:dyDescent="0.35">
      <c r="A418" t="str">
        <f>NFLDataSet!A419</f>
        <v>H</v>
      </c>
      <c r="B418" t="str">
        <f>VLOOKUP(NFLDataSet!B419,FirstDownDiff2,2,TRUE)</f>
        <v>Medium</v>
      </c>
      <c r="C418" t="str">
        <f>VLOOKUP(NFLDataSet!C419,TotalYardDiff2,2,TRUE)</f>
        <v>Low</v>
      </c>
      <c r="D418" t="str">
        <f>VLOOKUP(NFLDataSet!D419,PassYardsDiff2,2,TRUE)</f>
        <v>Low</v>
      </c>
      <c r="E418" t="str">
        <f>VLOOKUP(NFLDataSet!E419,RushYards2,2,TRUE)</f>
        <v>Medium</v>
      </c>
      <c r="F418" t="str">
        <f>VLOOKUP(NFLDataSet!F419,TurnOverDiff2,2,TRUE)</f>
        <v>Medium</v>
      </c>
      <c r="G418" t="str">
        <f>NFLDataSet!G419</f>
        <v>W</v>
      </c>
    </row>
    <row r="419" spans="1:7" x14ac:dyDescent="0.35">
      <c r="A419" t="str">
        <f>NFLDataSet!A420</f>
        <v>A</v>
      </c>
      <c r="B419" t="str">
        <f>VLOOKUP(NFLDataSet!B420,FirstDownDiff2,2,TRUE)</f>
        <v>Medium</v>
      </c>
      <c r="C419" t="str">
        <f>VLOOKUP(NFLDataSet!C420,TotalYardDiff2,2,TRUE)</f>
        <v>Medium</v>
      </c>
      <c r="D419" t="str">
        <f>VLOOKUP(NFLDataSet!D420,PassYardsDiff2,2,TRUE)</f>
        <v>Medium</v>
      </c>
      <c r="E419" t="str">
        <f>VLOOKUP(NFLDataSet!E420,RushYards2,2,TRUE)</f>
        <v>Medium</v>
      </c>
      <c r="F419" t="str">
        <f>VLOOKUP(NFLDataSet!F420,TurnOverDiff2,2,TRUE)</f>
        <v>Medium</v>
      </c>
      <c r="G419" t="str">
        <f>NFLDataSet!G420</f>
        <v>W</v>
      </c>
    </row>
    <row r="420" spans="1:7" x14ac:dyDescent="0.35">
      <c r="A420" t="str">
        <f>NFLDataSet!A421</f>
        <v>A</v>
      </c>
      <c r="B420" t="str">
        <f>VLOOKUP(NFLDataSet!B421,FirstDownDiff2,2,TRUE)</f>
        <v>Medium</v>
      </c>
      <c r="C420" t="str">
        <f>VLOOKUP(NFLDataSet!C421,TotalYardDiff2,2,TRUE)</f>
        <v>Medium</v>
      </c>
      <c r="D420" t="str">
        <f>VLOOKUP(NFLDataSet!D421,PassYardsDiff2,2,TRUE)</f>
        <v>Medium</v>
      </c>
      <c r="E420" t="str">
        <f>VLOOKUP(NFLDataSet!E421,RushYards2,2,TRUE)</f>
        <v>Low</v>
      </c>
      <c r="F420" t="str">
        <f>VLOOKUP(NFLDataSet!F421,TurnOverDiff2,2,TRUE)</f>
        <v>Medium</v>
      </c>
      <c r="G420" t="str">
        <f>NFLDataSet!G421</f>
        <v>L</v>
      </c>
    </row>
    <row r="421" spans="1:7" x14ac:dyDescent="0.35">
      <c r="A421" t="str">
        <f>NFLDataSet!A422</f>
        <v>A</v>
      </c>
      <c r="B421" t="str">
        <f>VLOOKUP(NFLDataSet!B422,FirstDownDiff2,2,TRUE)</f>
        <v>Low</v>
      </c>
      <c r="C421" t="str">
        <f>VLOOKUP(NFLDataSet!C422,TotalYardDiff2,2,TRUE)</f>
        <v>Low</v>
      </c>
      <c r="D421" t="str">
        <f>VLOOKUP(NFLDataSet!D422,PassYardsDiff2,2,TRUE)</f>
        <v>Medium</v>
      </c>
      <c r="E421" t="str">
        <f>VLOOKUP(NFLDataSet!E422,RushYards2,2,TRUE)</f>
        <v>Low</v>
      </c>
      <c r="F421" t="str">
        <f>VLOOKUP(NFLDataSet!F422,TurnOverDiff2,2,TRUE)</f>
        <v>Medium</v>
      </c>
      <c r="G421" t="str">
        <f>NFLDataSet!G422</f>
        <v>L</v>
      </c>
    </row>
    <row r="422" spans="1:7" x14ac:dyDescent="0.35">
      <c r="A422" t="str">
        <f>NFLDataSet!A423</f>
        <v>A</v>
      </c>
      <c r="B422" t="str">
        <f>VLOOKUP(NFLDataSet!B423,FirstDownDiff2,2,TRUE)</f>
        <v>Low</v>
      </c>
      <c r="C422" t="str">
        <f>VLOOKUP(NFLDataSet!C423,TotalYardDiff2,2,TRUE)</f>
        <v>Medium</v>
      </c>
      <c r="D422" t="str">
        <f>VLOOKUP(NFLDataSet!D423,PassYardsDiff2,2,TRUE)</f>
        <v>Low</v>
      </c>
      <c r="E422" t="str">
        <f>VLOOKUP(NFLDataSet!E423,RushYards2,2,TRUE)</f>
        <v>High</v>
      </c>
      <c r="F422" t="str">
        <f>VLOOKUP(NFLDataSet!F423,TurnOverDiff2,2,TRUE)</f>
        <v>Medium</v>
      </c>
      <c r="G422" t="str">
        <f>NFLDataSet!G423</f>
        <v>W</v>
      </c>
    </row>
    <row r="423" spans="1:7" x14ac:dyDescent="0.35">
      <c r="A423" t="str">
        <f>NFLDataSet!A424</f>
        <v>A</v>
      </c>
      <c r="B423" t="str">
        <f>VLOOKUP(NFLDataSet!B424,FirstDownDiff2,2,TRUE)</f>
        <v>Medium</v>
      </c>
      <c r="C423" t="str">
        <f>VLOOKUP(NFLDataSet!C424,TotalYardDiff2,2,TRUE)</f>
        <v>Low</v>
      </c>
      <c r="D423" t="str">
        <f>VLOOKUP(NFLDataSet!D424,PassYardsDiff2,2,TRUE)</f>
        <v>Medium</v>
      </c>
      <c r="E423" t="str">
        <f>VLOOKUP(NFLDataSet!E424,RushYards2,2,TRUE)</f>
        <v>Low</v>
      </c>
      <c r="F423" t="str">
        <f>VLOOKUP(NFLDataSet!F424,TurnOverDiff2,2,TRUE)</f>
        <v>Medium</v>
      </c>
      <c r="G423" t="str">
        <f>NFLDataSet!G424</f>
        <v>L</v>
      </c>
    </row>
    <row r="424" spans="1:7" x14ac:dyDescent="0.35">
      <c r="A424" t="str">
        <f>NFLDataSet!A425</f>
        <v>H</v>
      </c>
      <c r="B424" t="str">
        <f>VLOOKUP(NFLDataSet!B425,FirstDownDiff2,2,TRUE)</f>
        <v>Low</v>
      </c>
      <c r="C424" t="str">
        <f>VLOOKUP(NFLDataSet!C425,TotalYardDiff2,2,TRUE)</f>
        <v>Low</v>
      </c>
      <c r="D424" t="str">
        <f>VLOOKUP(NFLDataSet!D425,PassYardsDiff2,2,TRUE)</f>
        <v>Low</v>
      </c>
      <c r="E424" t="str">
        <f>VLOOKUP(NFLDataSet!E425,RushYards2,2,TRUE)</f>
        <v>Low</v>
      </c>
      <c r="F424" t="str">
        <f>VLOOKUP(NFLDataSet!F425,TurnOverDiff2,2,TRUE)</f>
        <v>High</v>
      </c>
      <c r="G424" t="str">
        <f>NFLDataSet!G425</f>
        <v>L</v>
      </c>
    </row>
    <row r="425" spans="1:7" x14ac:dyDescent="0.35">
      <c r="A425" t="str">
        <f>NFLDataSet!A426</f>
        <v>H</v>
      </c>
      <c r="B425" t="str">
        <f>VLOOKUP(NFLDataSet!B426,FirstDownDiff2,2,TRUE)</f>
        <v>Medium</v>
      </c>
      <c r="C425" t="str">
        <f>VLOOKUP(NFLDataSet!C426,TotalYardDiff2,2,TRUE)</f>
        <v>Low</v>
      </c>
      <c r="D425" t="str">
        <f>VLOOKUP(NFLDataSet!D426,PassYardsDiff2,2,TRUE)</f>
        <v>Medium</v>
      </c>
      <c r="E425" t="str">
        <f>VLOOKUP(NFLDataSet!E426,RushYards2,2,TRUE)</f>
        <v>Low</v>
      </c>
      <c r="F425" t="str">
        <f>VLOOKUP(NFLDataSet!F426,TurnOverDiff2,2,TRUE)</f>
        <v>Medium</v>
      </c>
      <c r="G425" t="str">
        <f>NFLDataSet!G426</f>
        <v>L</v>
      </c>
    </row>
    <row r="426" spans="1:7" x14ac:dyDescent="0.35">
      <c r="A426" t="str">
        <f>NFLDataSet!A427</f>
        <v>A</v>
      </c>
      <c r="B426" t="str">
        <f>VLOOKUP(NFLDataSet!B427,FirstDownDiff2,2,TRUE)</f>
        <v>High</v>
      </c>
      <c r="C426" t="str">
        <f>VLOOKUP(NFLDataSet!C427,TotalYardDiff2,2,TRUE)</f>
        <v>High</v>
      </c>
      <c r="D426" t="str">
        <f>VLOOKUP(NFLDataSet!D427,PassYardsDiff2,2,TRUE)</f>
        <v>High</v>
      </c>
      <c r="E426" t="str">
        <f>VLOOKUP(NFLDataSet!E427,RushYards2,2,TRUE)</f>
        <v>High</v>
      </c>
      <c r="F426" t="str">
        <f>VLOOKUP(NFLDataSet!F427,TurnOverDiff2,2,TRUE)</f>
        <v>High</v>
      </c>
      <c r="G426" t="str">
        <f>NFLDataSet!G427</f>
        <v>W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opLeftCell="A37" workbookViewId="0">
      <selection activeCell="H52" sqref="H52"/>
    </sheetView>
  </sheetViews>
  <sheetFormatPr defaultRowHeight="14.5" x14ac:dyDescent="0.35"/>
  <sheetData>
    <row r="1" spans="1:7" x14ac:dyDescent="0.35">
      <c r="A1" t="str">
        <f>NFLDataSet!A427</f>
        <v>A</v>
      </c>
      <c r="B1" t="str">
        <f>VLOOKUP(NFLDataSet!B427,FirstDownDiff2,2,TRUE)</f>
        <v>High</v>
      </c>
      <c r="C1" t="str">
        <f>VLOOKUP(NFLDataSet!C426,TotalYardDiff2,2,TRUE)</f>
        <v>Low</v>
      </c>
      <c r="D1" t="str">
        <f>VLOOKUP(NFLDataSet!D426,PassYardsDiff2,2,TRUE)</f>
        <v>Medium</v>
      </c>
      <c r="E1" t="str">
        <f>VLOOKUP(NFLDataSet!E426,RushYards2,2,TRUE)</f>
        <v>Low</v>
      </c>
      <c r="F1" t="str">
        <f>VLOOKUP(NFLDataSet!F426,TurnOverDiff2,2,TRUE)</f>
        <v>Medium</v>
      </c>
      <c r="G1" t="str">
        <f>NFLDataSet!G427</f>
        <v>W</v>
      </c>
    </row>
    <row r="2" spans="1:7" x14ac:dyDescent="0.35">
      <c r="A2" t="str">
        <f>NFLDataSet!A428</f>
        <v>H</v>
      </c>
      <c r="B2" t="str">
        <f>VLOOKUP(NFLDataSet!B428,FirstDownDiff2,2,TRUE)</f>
        <v>High</v>
      </c>
      <c r="C2" t="str">
        <f>VLOOKUP(NFLDataSet!C427,TotalYardDiff2,2,TRUE)</f>
        <v>High</v>
      </c>
      <c r="D2" t="str">
        <f>VLOOKUP(NFLDataSet!D427,PassYardsDiff2,2,TRUE)</f>
        <v>High</v>
      </c>
      <c r="E2" t="str">
        <f>VLOOKUP(NFLDataSet!E427,RushYards2,2,TRUE)</f>
        <v>High</v>
      </c>
      <c r="F2" t="str">
        <f>VLOOKUP(NFLDataSet!F427,TurnOverDiff2,2,TRUE)</f>
        <v>High</v>
      </c>
      <c r="G2" t="str">
        <f>NFLDataSet!G428</f>
        <v>W</v>
      </c>
    </row>
    <row r="3" spans="1:7" x14ac:dyDescent="0.35">
      <c r="A3" t="str">
        <f>NFLDataSet!A429</f>
        <v>H</v>
      </c>
      <c r="B3" t="str">
        <f>VLOOKUP(NFLDataSet!B429,FirstDownDiff2,2,TRUE)</f>
        <v>Low</v>
      </c>
      <c r="C3" t="str">
        <f>VLOOKUP(NFLDataSet!C428,TotalYardDiff2,2,TRUE)</f>
        <v>Medium</v>
      </c>
      <c r="D3" t="str">
        <f>VLOOKUP(NFLDataSet!D428,PassYardsDiff2,2,TRUE)</f>
        <v>Medium</v>
      </c>
      <c r="E3" t="str">
        <f>VLOOKUP(NFLDataSet!E428,RushYards2,2,TRUE)</f>
        <v>Medium</v>
      </c>
      <c r="F3" t="str">
        <f>VLOOKUP(NFLDataSet!F428,TurnOverDiff2,2,TRUE)</f>
        <v>Medium</v>
      </c>
      <c r="G3" t="str">
        <f>NFLDataSet!G429</f>
        <v>W</v>
      </c>
    </row>
    <row r="4" spans="1:7" x14ac:dyDescent="0.35">
      <c r="A4" t="str">
        <f>NFLDataSet!A430</f>
        <v>A</v>
      </c>
      <c r="B4" t="str">
        <f>VLOOKUP(NFLDataSet!B430,FirstDownDiff2,2,TRUE)</f>
        <v>Medium</v>
      </c>
      <c r="C4" t="str">
        <f>VLOOKUP(NFLDataSet!C429,TotalYardDiff2,2,TRUE)</f>
        <v>Low</v>
      </c>
      <c r="D4" t="str">
        <f>VLOOKUP(NFLDataSet!D429,PassYardsDiff2,2,TRUE)</f>
        <v>Medium</v>
      </c>
      <c r="E4" t="str">
        <f>VLOOKUP(NFLDataSet!E429,RushYards2,2,TRUE)</f>
        <v>Low</v>
      </c>
      <c r="F4" t="str">
        <f>VLOOKUP(NFLDataSet!F429,TurnOverDiff2,2,TRUE)</f>
        <v>Medium</v>
      </c>
      <c r="G4" t="str">
        <f>NFLDataSet!G430</f>
        <v>W</v>
      </c>
    </row>
    <row r="5" spans="1:7" x14ac:dyDescent="0.35">
      <c r="A5" t="str">
        <f>NFLDataSet!A431</f>
        <v>H</v>
      </c>
      <c r="B5" t="str">
        <f>VLOOKUP(NFLDataSet!B431,FirstDownDiff2,2,TRUE)</f>
        <v>Medium</v>
      </c>
      <c r="C5" t="str">
        <f>VLOOKUP(NFLDataSet!C430,TotalYardDiff2,2,TRUE)</f>
        <v>Medium</v>
      </c>
      <c r="D5" t="str">
        <f>VLOOKUP(NFLDataSet!D430,PassYardsDiff2,2,TRUE)</f>
        <v>Medium</v>
      </c>
      <c r="E5" t="str">
        <f>VLOOKUP(NFLDataSet!E430,RushYards2,2,TRUE)</f>
        <v>Medium</v>
      </c>
      <c r="F5" t="str">
        <f>VLOOKUP(NFLDataSet!F430,TurnOverDiff2,2,TRUE)</f>
        <v>Medium</v>
      </c>
      <c r="G5" t="str">
        <f>NFLDataSet!G431</f>
        <v>L</v>
      </c>
    </row>
    <row r="6" spans="1:7" x14ac:dyDescent="0.35">
      <c r="A6" t="str">
        <f>NFLDataSet!A432</f>
        <v>H</v>
      </c>
      <c r="B6" t="str">
        <f>VLOOKUP(NFLDataSet!B432,FirstDownDiff2,2,TRUE)</f>
        <v>Medium</v>
      </c>
      <c r="C6" t="str">
        <f>VLOOKUP(NFLDataSet!C431,TotalYardDiff2,2,TRUE)</f>
        <v>Low</v>
      </c>
      <c r="D6" t="str">
        <f>VLOOKUP(NFLDataSet!D431,PassYardsDiff2,2,TRUE)</f>
        <v>Medium</v>
      </c>
      <c r="E6" t="str">
        <f>VLOOKUP(NFLDataSet!E431,RushYards2,2,TRUE)</f>
        <v>Low</v>
      </c>
      <c r="F6" t="str">
        <f>VLOOKUP(NFLDataSet!F431,TurnOverDiff2,2,TRUE)</f>
        <v>Medium</v>
      </c>
      <c r="G6" t="str">
        <f>NFLDataSet!G432</f>
        <v>W</v>
      </c>
    </row>
    <row r="7" spans="1:7" x14ac:dyDescent="0.35">
      <c r="A7" t="str">
        <f>NFLDataSet!A433</f>
        <v>A</v>
      </c>
      <c r="B7" t="str">
        <f>VLOOKUP(NFLDataSet!B433,FirstDownDiff2,2,TRUE)</f>
        <v>High</v>
      </c>
      <c r="C7" t="str">
        <f>VLOOKUP(NFLDataSet!C432,TotalYardDiff2,2,TRUE)</f>
        <v>Medium</v>
      </c>
      <c r="D7" t="str">
        <f>VLOOKUP(NFLDataSet!D432,PassYardsDiff2,2,TRUE)</f>
        <v>Low</v>
      </c>
      <c r="E7" t="str">
        <f>VLOOKUP(NFLDataSet!E432,RushYards2,2,TRUE)</f>
        <v>High</v>
      </c>
      <c r="F7" t="str">
        <f>VLOOKUP(NFLDataSet!F432,TurnOverDiff2,2,TRUE)</f>
        <v>Medium</v>
      </c>
      <c r="G7" t="str">
        <f>NFLDataSet!G433</f>
        <v>W</v>
      </c>
    </row>
    <row r="8" spans="1:7" x14ac:dyDescent="0.35">
      <c r="A8" t="str">
        <f>NFLDataSet!A434</f>
        <v>A</v>
      </c>
      <c r="B8" t="str">
        <f>VLOOKUP(NFLDataSet!B434,FirstDownDiff2,2,TRUE)</f>
        <v>Low</v>
      </c>
      <c r="C8" t="str">
        <f>VLOOKUP(NFLDataSet!C433,TotalYardDiff2,2,TRUE)</f>
        <v>High</v>
      </c>
      <c r="D8" t="str">
        <f>VLOOKUP(NFLDataSet!D433,PassYardsDiff2,2,TRUE)</f>
        <v>High</v>
      </c>
      <c r="E8" t="str">
        <f>VLOOKUP(NFLDataSet!E433,RushYards2,2,TRUE)</f>
        <v>Medium</v>
      </c>
      <c r="F8" t="str">
        <f>VLOOKUP(NFLDataSet!F433,TurnOverDiff2,2,TRUE)</f>
        <v>Medium</v>
      </c>
      <c r="G8" t="str">
        <f>NFLDataSet!G434</f>
        <v>L</v>
      </c>
    </row>
    <row r="9" spans="1:7" x14ac:dyDescent="0.35">
      <c r="A9" t="str">
        <f>NFLDataSet!A435</f>
        <v>H</v>
      </c>
      <c r="B9" t="str">
        <f>VLOOKUP(NFLDataSet!B435,FirstDownDiff2,2,TRUE)</f>
        <v>Low</v>
      </c>
      <c r="C9" t="str">
        <f>VLOOKUP(NFLDataSet!C434,TotalYardDiff2,2,TRUE)</f>
        <v>Low</v>
      </c>
      <c r="D9" t="str">
        <f>VLOOKUP(NFLDataSet!D434,PassYardsDiff2,2,TRUE)</f>
        <v>Medium</v>
      </c>
      <c r="E9" t="str">
        <f>VLOOKUP(NFLDataSet!E434,RushYards2,2,TRUE)</f>
        <v>Low</v>
      </c>
      <c r="F9" t="str">
        <f>VLOOKUP(NFLDataSet!F434,TurnOverDiff2,2,TRUE)</f>
        <v>Medium</v>
      </c>
      <c r="G9" t="str">
        <f>NFLDataSet!G435</f>
        <v>L</v>
      </c>
    </row>
    <row r="10" spans="1:7" x14ac:dyDescent="0.35">
      <c r="A10" t="str">
        <f>NFLDataSet!A436</f>
        <v>A</v>
      </c>
      <c r="B10" t="str">
        <f>VLOOKUP(NFLDataSet!B436,FirstDownDiff2,2,TRUE)</f>
        <v>Medium</v>
      </c>
      <c r="C10" t="str">
        <f>VLOOKUP(NFLDataSet!C435,TotalYardDiff2,2,TRUE)</f>
        <v>Medium</v>
      </c>
      <c r="D10" t="str">
        <f>VLOOKUP(NFLDataSet!D435,PassYardsDiff2,2,TRUE)</f>
        <v>Medium</v>
      </c>
      <c r="E10" t="str">
        <f>VLOOKUP(NFLDataSet!E435,RushYards2,2,TRUE)</f>
        <v>Medium</v>
      </c>
      <c r="F10" t="str">
        <f>VLOOKUP(NFLDataSet!F435,TurnOverDiff2,2,TRUE)</f>
        <v>Medium</v>
      </c>
      <c r="G10" t="str">
        <f>NFLDataSet!G436</f>
        <v>W</v>
      </c>
    </row>
    <row r="11" spans="1:7" x14ac:dyDescent="0.35">
      <c r="A11" t="str">
        <f>NFLDataSet!A437</f>
        <v>H</v>
      </c>
      <c r="B11" t="str">
        <f>VLOOKUP(NFLDataSet!B437,FirstDownDiff2,2,TRUE)</f>
        <v>High</v>
      </c>
      <c r="C11" t="str">
        <f>VLOOKUP(NFLDataSet!C436,TotalYardDiff2,2,TRUE)</f>
        <v>Medium</v>
      </c>
      <c r="D11" t="str">
        <f>VLOOKUP(NFLDataSet!D436,PassYardsDiff2,2,TRUE)</f>
        <v>Medium</v>
      </c>
      <c r="E11" t="str">
        <f>VLOOKUP(NFLDataSet!E436,RushYards2,2,TRUE)</f>
        <v>Medium</v>
      </c>
      <c r="F11" t="str">
        <f>VLOOKUP(NFLDataSet!F436,TurnOverDiff2,2,TRUE)</f>
        <v>Medium</v>
      </c>
      <c r="G11" t="str">
        <f>NFLDataSet!G437</f>
        <v>L</v>
      </c>
    </row>
    <row r="12" spans="1:7" x14ac:dyDescent="0.35">
      <c r="A12" t="str">
        <f>NFLDataSet!A438</f>
        <v>H</v>
      </c>
      <c r="B12" t="str">
        <f>VLOOKUP(NFLDataSet!B438,FirstDownDiff2,2,TRUE)</f>
        <v>High</v>
      </c>
      <c r="C12" t="str">
        <f>VLOOKUP(NFLDataSet!C437,TotalYardDiff2,2,TRUE)</f>
        <v>High</v>
      </c>
      <c r="D12" t="str">
        <f>VLOOKUP(NFLDataSet!D437,PassYardsDiff2,2,TRUE)</f>
        <v>Medium</v>
      </c>
      <c r="E12" t="str">
        <f>VLOOKUP(NFLDataSet!E437,RushYards2,2,TRUE)</f>
        <v>High</v>
      </c>
      <c r="F12" t="str">
        <f>VLOOKUP(NFLDataSet!F437,TurnOverDiff2,2,TRUE)</f>
        <v>Medium</v>
      </c>
      <c r="G12" t="str">
        <f>NFLDataSet!G438</f>
        <v>W</v>
      </c>
    </row>
    <row r="13" spans="1:7" x14ac:dyDescent="0.35">
      <c r="A13" t="str">
        <f>NFLDataSet!A439</f>
        <v>A</v>
      </c>
      <c r="B13" t="str">
        <f>VLOOKUP(NFLDataSet!B439,FirstDownDiff2,2,TRUE)</f>
        <v>Medium</v>
      </c>
      <c r="C13" t="str">
        <f>VLOOKUP(NFLDataSet!C438,TotalYardDiff2,2,TRUE)</f>
        <v>High</v>
      </c>
      <c r="D13" t="str">
        <f>VLOOKUP(NFLDataSet!D438,PassYardsDiff2,2,TRUE)</f>
        <v>Medium</v>
      </c>
      <c r="E13" t="str">
        <f>VLOOKUP(NFLDataSet!E438,RushYards2,2,TRUE)</f>
        <v>High</v>
      </c>
      <c r="F13" t="str">
        <f>VLOOKUP(NFLDataSet!F438,TurnOverDiff2,2,TRUE)</f>
        <v>High</v>
      </c>
      <c r="G13" t="str">
        <f>NFLDataSet!G439</f>
        <v>W</v>
      </c>
    </row>
    <row r="14" spans="1:7" x14ac:dyDescent="0.35">
      <c r="A14" t="str">
        <f>NFLDataSet!A440</f>
        <v>A</v>
      </c>
      <c r="B14" t="str">
        <f>VLOOKUP(NFLDataSet!B440,FirstDownDiff2,2,TRUE)</f>
        <v>Medium</v>
      </c>
      <c r="C14" t="str">
        <f>VLOOKUP(NFLDataSet!C439,TotalYardDiff2,2,TRUE)</f>
        <v>Medium</v>
      </c>
      <c r="D14" t="str">
        <f>VLOOKUP(NFLDataSet!D439,PassYardsDiff2,2,TRUE)</f>
        <v>Medium</v>
      </c>
      <c r="E14" t="str">
        <f>VLOOKUP(NFLDataSet!E439,RushYards2,2,TRUE)</f>
        <v>Medium</v>
      </c>
      <c r="F14" t="str">
        <f>VLOOKUP(NFLDataSet!F439,TurnOverDiff2,2,TRUE)</f>
        <v>Medium</v>
      </c>
      <c r="G14" t="str">
        <f>NFLDataSet!G440</f>
        <v>W</v>
      </c>
    </row>
    <row r="15" spans="1:7" x14ac:dyDescent="0.35">
      <c r="A15" t="str">
        <f>NFLDataSet!A441</f>
        <v>H</v>
      </c>
      <c r="B15" t="str">
        <f>VLOOKUP(NFLDataSet!B441,FirstDownDiff2,2,TRUE)</f>
        <v>High</v>
      </c>
      <c r="C15" t="str">
        <f>VLOOKUP(NFLDataSet!C440,TotalYardDiff2,2,TRUE)</f>
        <v>Medium</v>
      </c>
      <c r="D15" t="str">
        <f>VLOOKUP(NFLDataSet!D440,PassYardsDiff2,2,TRUE)</f>
        <v>Medium</v>
      </c>
      <c r="E15" t="str">
        <f>VLOOKUP(NFLDataSet!E440,RushYards2,2,TRUE)</f>
        <v>Medium</v>
      </c>
      <c r="F15" t="str">
        <f>VLOOKUP(NFLDataSet!F440,TurnOverDiff2,2,TRUE)</f>
        <v>Low</v>
      </c>
      <c r="G15" t="str">
        <f>NFLDataSet!G441</f>
        <v>W</v>
      </c>
    </row>
    <row r="16" spans="1:7" x14ac:dyDescent="0.35">
      <c r="A16" t="str">
        <f>NFLDataSet!A442</f>
        <v>H</v>
      </c>
      <c r="B16" t="str">
        <f>VLOOKUP(NFLDataSet!B442,FirstDownDiff2,2,TRUE)</f>
        <v>Medium</v>
      </c>
      <c r="C16" t="str">
        <f>VLOOKUP(NFLDataSet!C441,TotalYardDiff2,2,TRUE)</f>
        <v>Medium</v>
      </c>
      <c r="D16" t="str">
        <f>VLOOKUP(NFLDataSet!D441,PassYardsDiff2,2,TRUE)</f>
        <v>Medium</v>
      </c>
      <c r="E16" t="str">
        <f>VLOOKUP(NFLDataSet!E441,RushYards2,2,TRUE)</f>
        <v>Medium</v>
      </c>
      <c r="F16" t="str">
        <f>VLOOKUP(NFLDataSet!F441,TurnOverDiff2,2,TRUE)</f>
        <v>Medium</v>
      </c>
      <c r="G16" t="str">
        <f>NFLDataSet!G442</f>
        <v>L</v>
      </c>
    </row>
    <row r="17" spans="1:7" x14ac:dyDescent="0.35">
      <c r="A17" t="str">
        <f>NFLDataSet!A443</f>
        <v>A</v>
      </c>
      <c r="B17" t="str">
        <f>VLOOKUP(NFLDataSet!B443,FirstDownDiff2,2,TRUE)</f>
        <v>Medium</v>
      </c>
      <c r="C17" t="str">
        <f>VLOOKUP(NFLDataSet!C442,TotalYardDiff2,2,TRUE)</f>
        <v>Medium</v>
      </c>
      <c r="D17" t="str">
        <f>VLOOKUP(NFLDataSet!D442,PassYardsDiff2,2,TRUE)</f>
        <v>Medium</v>
      </c>
      <c r="E17" t="str">
        <f>VLOOKUP(NFLDataSet!E442,RushYards2,2,TRUE)</f>
        <v>Medium</v>
      </c>
      <c r="F17" t="str">
        <f>VLOOKUP(NFLDataSet!F442,TurnOverDiff2,2,TRUE)</f>
        <v>Medium</v>
      </c>
      <c r="G17" t="str">
        <f>NFLDataSet!G443</f>
        <v>L</v>
      </c>
    </row>
    <row r="18" spans="1:7" x14ac:dyDescent="0.35">
      <c r="A18" t="str">
        <f>NFLDataSet!A444</f>
        <v>H</v>
      </c>
      <c r="B18" t="str">
        <f>VLOOKUP(NFLDataSet!B444,FirstDownDiff2,2,TRUE)</f>
        <v>Medium</v>
      </c>
      <c r="C18" t="str">
        <f>VLOOKUP(NFLDataSet!C443,TotalYardDiff2,2,TRUE)</f>
        <v>Medium</v>
      </c>
      <c r="D18" t="str">
        <f>VLOOKUP(NFLDataSet!D443,PassYardsDiff2,2,TRUE)</f>
        <v>Medium</v>
      </c>
      <c r="E18" t="str">
        <f>VLOOKUP(NFLDataSet!E443,RushYards2,2,TRUE)</f>
        <v>Medium</v>
      </c>
      <c r="F18" t="str">
        <f>VLOOKUP(NFLDataSet!F443,TurnOverDiff2,2,TRUE)</f>
        <v>High</v>
      </c>
      <c r="G18" t="str">
        <f>NFLDataSet!G444</f>
        <v>W</v>
      </c>
    </row>
    <row r="19" spans="1:7" x14ac:dyDescent="0.35">
      <c r="A19" t="str">
        <f>NFLDataSet!A445</f>
        <v>A</v>
      </c>
      <c r="B19" t="str">
        <f>VLOOKUP(NFLDataSet!B445,FirstDownDiff2,2,TRUE)</f>
        <v>Medium</v>
      </c>
      <c r="C19" t="str">
        <f>VLOOKUP(NFLDataSet!C444,TotalYardDiff2,2,TRUE)</f>
        <v>Medium</v>
      </c>
      <c r="D19" t="str">
        <f>VLOOKUP(NFLDataSet!D444,PassYardsDiff2,2,TRUE)</f>
        <v>Medium</v>
      </c>
      <c r="E19" t="str">
        <f>VLOOKUP(NFLDataSet!E444,RushYards2,2,TRUE)</f>
        <v>Medium</v>
      </c>
      <c r="F19" t="str">
        <f>VLOOKUP(NFLDataSet!F444,TurnOverDiff2,2,TRUE)</f>
        <v>Medium</v>
      </c>
      <c r="G19" t="str">
        <f>NFLDataSet!G445</f>
        <v>W</v>
      </c>
    </row>
    <row r="20" spans="1:7" x14ac:dyDescent="0.35">
      <c r="A20" t="str">
        <f>NFLDataSet!A446</f>
        <v>A</v>
      </c>
      <c r="B20" t="str">
        <f>VLOOKUP(NFLDataSet!B446,FirstDownDiff2,2,TRUE)</f>
        <v>High</v>
      </c>
      <c r="C20" t="str">
        <f>VLOOKUP(NFLDataSet!C445,TotalYardDiff2,2,TRUE)</f>
        <v>High</v>
      </c>
      <c r="D20" t="str">
        <f>VLOOKUP(NFLDataSet!D445,PassYardsDiff2,2,TRUE)</f>
        <v>Medium</v>
      </c>
      <c r="E20" t="str">
        <f>VLOOKUP(NFLDataSet!E445,RushYards2,2,TRUE)</f>
        <v>High</v>
      </c>
      <c r="F20" t="str">
        <f>VLOOKUP(NFLDataSet!F445,TurnOverDiff2,2,TRUE)</f>
        <v>Medium</v>
      </c>
      <c r="G20" t="str">
        <f>NFLDataSet!G446</f>
        <v>W</v>
      </c>
    </row>
    <row r="21" spans="1:7" x14ac:dyDescent="0.35">
      <c r="A21" t="str">
        <f>NFLDataSet!A447</f>
        <v>H</v>
      </c>
      <c r="B21" t="str">
        <f>VLOOKUP(NFLDataSet!B447,FirstDownDiff2,2,TRUE)</f>
        <v>Low</v>
      </c>
      <c r="C21" t="str">
        <f>VLOOKUP(NFLDataSet!C446,TotalYardDiff2,2,TRUE)</f>
        <v>High</v>
      </c>
      <c r="D21" t="str">
        <f>VLOOKUP(NFLDataSet!D446,PassYardsDiff2,2,TRUE)</f>
        <v>High</v>
      </c>
      <c r="E21" t="str">
        <f>VLOOKUP(NFLDataSet!E446,RushYards2,2,TRUE)</f>
        <v>High</v>
      </c>
      <c r="F21" t="str">
        <f>VLOOKUP(NFLDataSet!F446,TurnOverDiff2,2,TRUE)</f>
        <v>Medium</v>
      </c>
      <c r="G21" t="str">
        <f>NFLDataSet!G447</f>
        <v>W</v>
      </c>
    </row>
    <row r="22" spans="1:7" x14ac:dyDescent="0.35">
      <c r="A22" t="str">
        <f>NFLDataSet!A448</f>
        <v>H</v>
      </c>
      <c r="B22" t="str">
        <f>VLOOKUP(NFLDataSet!B448,FirstDownDiff2,2,TRUE)</f>
        <v>Low</v>
      </c>
      <c r="C22" t="str">
        <f>VLOOKUP(NFLDataSet!C447,TotalYardDiff2,2,TRUE)</f>
        <v>Medium</v>
      </c>
      <c r="D22" t="str">
        <f>VLOOKUP(NFLDataSet!D447,PassYardsDiff2,2,TRUE)</f>
        <v>Medium</v>
      </c>
      <c r="E22" t="str">
        <f>VLOOKUP(NFLDataSet!E447,RushYards2,2,TRUE)</f>
        <v>Low</v>
      </c>
      <c r="F22" t="str">
        <f>VLOOKUP(NFLDataSet!F447,TurnOverDiff2,2,TRUE)</f>
        <v>Medium</v>
      </c>
      <c r="G22" t="str">
        <f>NFLDataSet!G448</f>
        <v>L</v>
      </c>
    </row>
    <row r="23" spans="1:7" x14ac:dyDescent="0.35">
      <c r="A23" t="str">
        <f>NFLDataSet!A449</f>
        <v>A</v>
      </c>
      <c r="B23" t="str">
        <f>VLOOKUP(NFLDataSet!B449,FirstDownDiff2,2,TRUE)</f>
        <v>Medium</v>
      </c>
      <c r="C23" t="str">
        <f>VLOOKUP(NFLDataSet!C448,TotalYardDiff2,2,TRUE)</f>
        <v>Medium</v>
      </c>
      <c r="D23" t="str">
        <f>VLOOKUP(NFLDataSet!D448,PassYardsDiff2,2,TRUE)</f>
        <v>Medium</v>
      </c>
      <c r="E23" t="str">
        <f>VLOOKUP(NFLDataSet!E448,RushYards2,2,TRUE)</f>
        <v>Medium</v>
      </c>
      <c r="F23" t="str">
        <f>VLOOKUP(NFLDataSet!F448,TurnOverDiff2,2,TRUE)</f>
        <v>High</v>
      </c>
      <c r="G23" t="str">
        <f>NFLDataSet!G449</f>
        <v>L</v>
      </c>
    </row>
    <row r="24" spans="1:7" x14ac:dyDescent="0.35">
      <c r="A24" t="str">
        <f>NFLDataSet!A450</f>
        <v>A</v>
      </c>
      <c r="B24" t="str">
        <f>VLOOKUP(NFLDataSet!B450,FirstDownDiff2,2,TRUE)</f>
        <v>High</v>
      </c>
      <c r="C24" t="str">
        <f>VLOOKUP(NFLDataSet!C449,TotalYardDiff2,2,TRUE)</f>
        <v>Medium</v>
      </c>
      <c r="D24" t="str">
        <f>VLOOKUP(NFLDataSet!D449,PassYardsDiff2,2,TRUE)</f>
        <v>High</v>
      </c>
      <c r="E24" t="str">
        <f>VLOOKUP(NFLDataSet!E449,RushYards2,2,TRUE)</f>
        <v>Medium</v>
      </c>
      <c r="F24" t="str">
        <f>VLOOKUP(NFLDataSet!F449,TurnOverDiff2,2,TRUE)</f>
        <v>Medium</v>
      </c>
      <c r="G24" t="str">
        <f>NFLDataSet!G450</f>
        <v>W</v>
      </c>
    </row>
    <row r="25" spans="1:7" x14ac:dyDescent="0.35">
      <c r="A25" t="str">
        <f>NFLDataSet!A451</f>
        <v>H</v>
      </c>
      <c r="B25" t="str">
        <f>VLOOKUP(NFLDataSet!B451,FirstDownDiff2,2,TRUE)</f>
        <v>Medium</v>
      </c>
      <c r="C25" t="str">
        <f>VLOOKUP(NFLDataSet!C450,TotalYardDiff2,2,TRUE)</f>
        <v>High</v>
      </c>
      <c r="D25" t="str">
        <f>VLOOKUP(NFLDataSet!D450,PassYardsDiff2,2,TRUE)</f>
        <v>Medium</v>
      </c>
      <c r="E25" t="str">
        <f>VLOOKUP(NFLDataSet!E450,RushYards2,2,TRUE)</f>
        <v>High</v>
      </c>
      <c r="F25" t="str">
        <f>VLOOKUP(NFLDataSet!F450,TurnOverDiff2,2,TRUE)</f>
        <v>Medium</v>
      </c>
      <c r="G25" t="str">
        <f>NFLDataSet!G451</f>
        <v>L</v>
      </c>
    </row>
    <row r="26" spans="1:7" x14ac:dyDescent="0.35">
      <c r="A26" t="str">
        <f>NFLDataSet!A452</f>
        <v>A</v>
      </c>
      <c r="B26" t="str">
        <f>VLOOKUP(NFLDataSet!B452,FirstDownDiff2,2,TRUE)</f>
        <v>Medium</v>
      </c>
      <c r="C26" t="str">
        <f>VLOOKUP(NFLDataSet!C451,TotalYardDiff2,2,TRUE)</f>
        <v>Low</v>
      </c>
      <c r="D26" t="str">
        <f>VLOOKUP(NFLDataSet!D451,PassYardsDiff2,2,TRUE)</f>
        <v>Medium</v>
      </c>
      <c r="E26" t="str">
        <f>VLOOKUP(NFLDataSet!E451,RushYards2,2,TRUE)</f>
        <v>Low</v>
      </c>
      <c r="F26" t="str">
        <f>VLOOKUP(NFLDataSet!F451,TurnOverDiff2,2,TRUE)</f>
        <v>Medium</v>
      </c>
      <c r="G26" t="str">
        <f>NFLDataSet!G452</f>
        <v>W</v>
      </c>
    </row>
    <row r="27" spans="1:7" x14ac:dyDescent="0.35">
      <c r="A27" t="str">
        <f>NFLDataSet!A453</f>
        <v>A</v>
      </c>
      <c r="B27" t="str">
        <f>VLOOKUP(NFLDataSet!B453,FirstDownDiff2,2,TRUE)</f>
        <v>High</v>
      </c>
      <c r="C27" t="str">
        <f>VLOOKUP(NFLDataSet!C452,TotalYardDiff2,2,TRUE)</f>
        <v>Low</v>
      </c>
      <c r="D27" t="str">
        <f>VLOOKUP(NFLDataSet!D452,PassYardsDiff2,2,TRUE)</f>
        <v>Low</v>
      </c>
      <c r="E27" t="str">
        <f>VLOOKUP(NFLDataSet!E452,RushYards2,2,TRUE)</f>
        <v>Medium</v>
      </c>
      <c r="F27" t="str">
        <f>VLOOKUP(NFLDataSet!F452,TurnOverDiff2,2,TRUE)</f>
        <v>Medium</v>
      </c>
      <c r="G27" t="str">
        <f>NFLDataSet!G453</f>
        <v>L</v>
      </c>
    </row>
    <row r="28" spans="1:7" x14ac:dyDescent="0.35">
      <c r="A28" t="str">
        <f>NFLDataSet!A454</f>
        <v>A</v>
      </c>
      <c r="B28" t="str">
        <f>VLOOKUP(NFLDataSet!B454,FirstDownDiff2,2,TRUE)</f>
        <v>Low</v>
      </c>
      <c r="C28" t="str">
        <f>VLOOKUP(NFLDataSet!C453,TotalYardDiff2,2,TRUE)</f>
        <v>Medium</v>
      </c>
      <c r="D28" t="str">
        <f>VLOOKUP(NFLDataSet!D453,PassYardsDiff2,2,TRUE)</f>
        <v>High</v>
      </c>
      <c r="E28" t="str">
        <f>VLOOKUP(NFLDataSet!E453,RushYards2,2,TRUE)</f>
        <v>Low</v>
      </c>
      <c r="F28" t="str">
        <f>VLOOKUP(NFLDataSet!F453,TurnOverDiff2,2,TRUE)</f>
        <v>High</v>
      </c>
      <c r="G28" t="str">
        <f>NFLDataSet!G454</f>
        <v>L</v>
      </c>
    </row>
    <row r="29" spans="1:7" x14ac:dyDescent="0.35">
      <c r="A29" t="str">
        <f>NFLDataSet!A455</f>
        <v>H</v>
      </c>
      <c r="B29" t="str">
        <f>VLOOKUP(NFLDataSet!B455,FirstDownDiff2,2,TRUE)</f>
        <v>Medium</v>
      </c>
      <c r="C29" t="str">
        <f>VLOOKUP(NFLDataSet!C454,TotalYardDiff2,2,TRUE)</f>
        <v>Low</v>
      </c>
      <c r="D29" t="str">
        <f>VLOOKUP(NFLDataSet!D454,PassYardsDiff2,2,TRUE)</f>
        <v>Low</v>
      </c>
      <c r="E29" t="str">
        <f>VLOOKUP(NFLDataSet!E454,RushYards2,2,TRUE)</f>
        <v>Low</v>
      </c>
      <c r="F29" t="str">
        <f>VLOOKUP(NFLDataSet!F454,TurnOverDiff2,2,TRUE)</f>
        <v>Medium</v>
      </c>
      <c r="G29" t="str">
        <f>NFLDataSet!G455</f>
        <v>L</v>
      </c>
    </row>
    <row r="30" spans="1:7" x14ac:dyDescent="0.35">
      <c r="A30" t="str">
        <f>NFLDataSet!A456</f>
        <v>H</v>
      </c>
      <c r="B30" t="str">
        <f>VLOOKUP(NFLDataSet!B456,FirstDownDiff2,2,TRUE)</f>
        <v>Medium</v>
      </c>
      <c r="C30" t="str">
        <f>VLOOKUP(NFLDataSet!C455,TotalYardDiff2,2,TRUE)</f>
        <v>Medium</v>
      </c>
      <c r="D30" t="str">
        <f>VLOOKUP(NFLDataSet!D455,PassYardsDiff2,2,TRUE)</f>
        <v>Medium</v>
      </c>
      <c r="E30" t="str">
        <f>VLOOKUP(NFLDataSet!E455,RushYards2,2,TRUE)</f>
        <v>Medium</v>
      </c>
      <c r="F30" t="str">
        <f>VLOOKUP(NFLDataSet!F455,TurnOverDiff2,2,TRUE)</f>
        <v>High</v>
      </c>
      <c r="G30" t="str">
        <f>NFLDataSet!G456</f>
        <v>L</v>
      </c>
    </row>
    <row r="31" spans="1:7" x14ac:dyDescent="0.35">
      <c r="A31" t="str">
        <f>NFLDataSet!A457</f>
        <v>A</v>
      </c>
      <c r="B31" t="str">
        <f>VLOOKUP(NFLDataSet!B457,FirstDownDiff2,2,TRUE)</f>
        <v>High</v>
      </c>
      <c r="C31" t="str">
        <f>VLOOKUP(NFLDataSet!C456,TotalYardDiff2,2,TRUE)</f>
        <v>Medium</v>
      </c>
      <c r="D31" t="str">
        <f>VLOOKUP(NFLDataSet!D456,PassYardsDiff2,2,TRUE)</f>
        <v>Medium</v>
      </c>
      <c r="E31" t="str">
        <f>VLOOKUP(NFLDataSet!E456,RushYards2,2,TRUE)</f>
        <v>Low</v>
      </c>
      <c r="F31" t="str">
        <f>VLOOKUP(NFLDataSet!F456,TurnOverDiff2,2,TRUE)</f>
        <v>Medium</v>
      </c>
      <c r="G31" t="str">
        <f>NFLDataSet!G457</f>
        <v>L</v>
      </c>
    </row>
    <row r="32" spans="1:7" x14ac:dyDescent="0.35">
      <c r="A32" t="str">
        <f>NFLDataSet!A458</f>
        <v>H</v>
      </c>
      <c r="B32" t="str">
        <f>VLOOKUP(NFLDataSet!B458,FirstDownDiff2,2,TRUE)</f>
        <v>Medium</v>
      </c>
      <c r="C32" t="str">
        <f>VLOOKUP(NFLDataSet!C457,TotalYardDiff2,2,TRUE)</f>
        <v>Medium</v>
      </c>
      <c r="D32" t="str">
        <f>VLOOKUP(NFLDataSet!D457,PassYardsDiff2,2,TRUE)</f>
        <v>Medium</v>
      </c>
      <c r="E32" t="str">
        <f>VLOOKUP(NFLDataSet!E457,RushYards2,2,TRUE)</f>
        <v>Medium</v>
      </c>
      <c r="F32" t="str">
        <f>VLOOKUP(NFLDataSet!F457,TurnOverDiff2,2,TRUE)</f>
        <v>Medium</v>
      </c>
      <c r="G32" t="str">
        <f>NFLDataSet!G458</f>
        <v>L</v>
      </c>
    </row>
    <row r="33" spans="1:7" x14ac:dyDescent="0.35">
      <c r="A33" t="str">
        <f>NFLDataSet!A459</f>
        <v>H</v>
      </c>
      <c r="B33" t="str">
        <f>VLOOKUP(NFLDataSet!B459,FirstDownDiff2,2,TRUE)</f>
        <v>Medium</v>
      </c>
      <c r="C33" t="str">
        <f>VLOOKUP(NFLDataSet!C458,TotalYardDiff2,2,TRUE)</f>
        <v>Low</v>
      </c>
      <c r="D33" t="str">
        <f>VLOOKUP(NFLDataSet!D458,PassYardsDiff2,2,TRUE)</f>
        <v>Low</v>
      </c>
      <c r="E33" t="str">
        <f>VLOOKUP(NFLDataSet!E458,RushYards2,2,TRUE)</f>
        <v>High</v>
      </c>
      <c r="F33" t="str">
        <f>VLOOKUP(NFLDataSet!F458,TurnOverDiff2,2,TRUE)</f>
        <v>Medium</v>
      </c>
      <c r="G33" t="str">
        <f>NFLDataSet!G459</f>
        <v>L</v>
      </c>
    </row>
    <row r="34" spans="1:7" x14ac:dyDescent="0.35">
      <c r="A34" t="str">
        <f>NFLDataSet!A460</f>
        <v>H</v>
      </c>
      <c r="B34" t="str">
        <f>VLOOKUP(NFLDataSet!B460,FirstDownDiff2,2,TRUE)</f>
        <v>High</v>
      </c>
      <c r="C34" t="str">
        <f>VLOOKUP(NFLDataSet!C459,TotalYardDiff2,2,TRUE)</f>
        <v>Low</v>
      </c>
      <c r="D34" t="str">
        <f>VLOOKUP(NFLDataSet!D459,PassYardsDiff2,2,TRUE)</f>
        <v>Low</v>
      </c>
      <c r="E34" t="str">
        <f>VLOOKUP(NFLDataSet!E459,RushYards2,2,TRUE)</f>
        <v>Medium</v>
      </c>
      <c r="F34" t="str">
        <f>VLOOKUP(NFLDataSet!F459,TurnOverDiff2,2,TRUE)</f>
        <v>Medium</v>
      </c>
      <c r="G34" t="str">
        <f>NFLDataSet!G460</f>
        <v>W</v>
      </c>
    </row>
    <row r="35" spans="1:7" x14ac:dyDescent="0.35">
      <c r="A35" t="str">
        <f>NFLDataSet!A461</f>
        <v>H</v>
      </c>
      <c r="B35" t="str">
        <f>VLOOKUP(NFLDataSet!B461,FirstDownDiff2,2,TRUE)</f>
        <v>High</v>
      </c>
      <c r="C35" t="str">
        <f>VLOOKUP(NFLDataSet!C460,TotalYardDiff2,2,TRUE)</f>
        <v>High</v>
      </c>
      <c r="D35" t="str">
        <f>VLOOKUP(NFLDataSet!D460,PassYardsDiff2,2,TRUE)</f>
        <v>Medium</v>
      </c>
      <c r="E35" t="str">
        <f>VLOOKUP(NFLDataSet!E460,RushYards2,2,TRUE)</f>
        <v>High</v>
      </c>
      <c r="F35" t="str">
        <f>VLOOKUP(NFLDataSet!F460,TurnOverDiff2,2,TRUE)</f>
        <v>Medium</v>
      </c>
      <c r="G35" t="str">
        <f>NFLDataSet!G461</f>
        <v>W</v>
      </c>
    </row>
    <row r="36" spans="1:7" x14ac:dyDescent="0.35">
      <c r="A36" t="str">
        <f>NFLDataSet!A462</f>
        <v>A</v>
      </c>
      <c r="B36" t="str">
        <f>VLOOKUP(NFLDataSet!B462,FirstDownDiff2,2,TRUE)</f>
        <v>Medium</v>
      </c>
      <c r="C36" t="str">
        <f>VLOOKUP(NFLDataSet!C461,TotalYardDiff2,2,TRUE)</f>
        <v>High</v>
      </c>
      <c r="D36" t="str">
        <f>VLOOKUP(NFLDataSet!D461,PassYardsDiff2,2,TRUE)</f>
        <v>High</v>
      </c>
      <c r="E36" t="str">
        <f>VLOOKUP(NFLDataSet!E461,RushYards2,2,TRUE)</f>
        <v>High</v>
      </c>
      <c r="F36" t="str">
        <f>VLOOKUP(NFLDataSet!F461,TurnOverDiff2,2,TRUE)</f>
        <v>Medium</v>
      </c>
      <c r="G36" t="str">
        <f>NFLDataSet!G462</f>
        <v>L</v>
      </c>
    </row>
    <row r="37" spans="1:7" x14ac:dyDescent="0.35">
      <c r="A37" t="str">
        <f>NFLDataSet!A463</f>
        <v>A</v>
      </c>
      <c r="B37" t="str">
        <f>VLOOKUP(NFLDataSet!B463,FirstDownDiff2,2,TRUE)</f>
        <v>Medium</v>
      </c>
      <c r="C37" t="str">
        <f>VLOOKUP(NFLDataSet!C462,TotalYardDiff2,2,TRUE)</f>
        <v>Medium</v>
      </c>
      <c r="D37" t="str">
        <f>VLOOKUP(NFLDataSet!D462,PassYardsDiff2,2,TRUE)</f>
        <v>High</v>
      </c>
      <c r="E37" t="str">
        <f>VLOOKUP(NFLDataSet!E462,RushYards2,2,TRUE)</f>
        <v>Medium</v>
      </c>
      <c r="F37" t="str">
        <f>VLOOKUP(NFLDataSet!F462,TurnOverDiff2,2,TRUE)</f>
        <v>Medium</v>
      </c>
      <c r="G37" t="str">
        <f>NFLDataSet!G463</f>
        <v>W</v>
      </c>
    </row>
    <row r="38" spans="1:7" x14ac:dyDescent="0.35">
      <c r="A38" t="str">
        <f>NFLDataSet!A464</f>
        <v>A</v>
      </c>
      <c r="B38" t="str">
        <f>VLOOKUP(NFLDataSet!B464,FirstDownDiff2,2,TRUE)</f>
        <v>Medium</v>
      </c>
      <c r="C38" t="str">
        <f>VLOOKUP(NFLDataSet!C463,TotalYardDiff2,2,TRUE)</f>
        <v>Medium</v>
      </c>
      <c r="D38" t="str">
        <f>VLOOKUP(NFLDataSet!D463,PassYardsDiff2,2,TRUE)</f>
        <v>Low</v>
      </c>
      <c r="E38" t="str">
        <f>VLOOKUP(NFLDataSet!E463,RushYards2,2,TRUE)</f>
        <v>High</v>
      </c>
      <c r="F38" t="str">
        <f>VLOOKUP(NFLDataSet!F463,TurnOverDiff2,2,TRUE)</f>
        <v>Medium</v>
      </c>
      <c r="G38" t="str">
        <f>NFLDataSet!G464</f>
        <v>W</v>
      </c>
    </row>
    <row r="39" spans="1:7" x14ac:dyDescent="0.35">
      <c r="A39" t="str">
        <f>NFLDataSet!A465</f>
        <v>H</v>
      </c>
      <c r="B39" t="str">
        <f>VLOOKUP(NFLDataSet!B465,FirstDownDiff2,2,TRUE)</f>
        <v>Medium</v>
      </c>
      <c r="C39" t="str">
        <f>VLOOKUP(NFLDataSet!C464,TotalYardDiff2,2,TRUE)</f>
        <v>Medium</v>
      </c>
      <c r="D39" t="str">
        <f>VLOOKUP(NFLDataSet!D464,PassYardsDiff2,2,TRUE)</f>
        <v>Low</v>
      </c>
      <c r="E39" t="str">
        <f>VLOOKUP(NFLDataSet!E464,RushYards2,2,TRUE)</f>
        <v>High</v>
      </c>
      <c r="F39" t="str">
        <f>VLOOKUP(NFLDataSet!F464,TurnOverDiff2,2,TRUE)</f>
        <v>Medium</v>
      </c>
      <c r="G39" t="str">
        <f>NFLDataSet!G465</f>
        <v>W</v>
      </c>
    </row>
    <row r="40" spans="1:7" x14ac:dyDescent="0.35">
      <c r="A40" t="str">
        <f>NFLDataSet!A466</f>
        <v>H</v>
      </c>
      <c r="B40" t="str">
        <f>VLOOKUP(NFLDataSet!B466,FirstDownDiff2,2,TRUE)</f>
        <v>Medium</v>
      </c>
      <c r="C40" t="str">
        <f>VLOOKUP(NFLDataSet!C465,TotalYardDiff2,2,TRUE)</f>
        <v>Medium</v>
      </c>
      <c r="D40" t="str">
        <f>VLOOKUP(NFLDataSet!D465,PassYardsDiff2,2,TRUE)</f>
        <v>Medium</v>
      </c>
      <c r="E40" t="str">
        <f>VLOOKUP(NFLDataSet!E465,RushYards2,2,TRUE)</f>
        <v>High</v>
      </c>
      <c r="F40" t="str">
        <f>VLOOKUP(NFLDataSet!F465,TurnOverDiff2,2,TRUE)</f>
        <v>Medium</v>
      </c>
      <c r="G40" t="str">
        <f>NFLDataSet!G466</f>
        <v>L</v>
      </c>
    </row>
    <row r="41" spans="1:7" x14ac:dyDescent="0.35">
      <c r="A41" t="str">
        <f>NFLDataSet!A467</f>
        <v>H</v>
      </c>
      <c r="B41" t="str">
        <f>VLOOKUP(NFLDataSet!B467,FirstDownDiff2,2,TRUE)</f>
        <v>High</v>
      </c>
      <c r="C41" t="str">
        <f>VLOOKUP(NFLDataSet!C466,TotalYardDiff2,2,TRUE)</f>
        <v>Low</v>
      </c>
      <c r="D41" t="str">
        <f>VLOOKUP(NFLDataSet!D466,PassYardsDiff2,2,TRUE)</f>
        <v>Low</v>
      </c>
      <c r="E41" t="str">
        <f>VLOOKUP(NFLDataSet!E466,RushYards2,2,TRUE)</f>
        <v>Low</v>
      </c>
      <c r="F41" t="str">
        <f>VLOOKUP(NFLDataSet!F466,TurnOverDiff2,2,TRUE)</f>
        <v>Medium</v>
      </c>
      <c r="G41" t="str">
        <f>NFLDataSet!G467</f>
        <v>L</v>
      </c>
    </row>
    <row r="42" spans="1:7" x14ac:dyDescent="0.35">
      <c r="A42" t="str">
        <f>NFLDataSet!A468</f>
        <v>H</v>
      </c>
      <c r="B42" t="str">
        <f>VLOOKUP(NFLDataSet!B468,FirstDownDiff2,2,TRUE)</f>
        <v>Medium</v>
      </c>
      <c r="C42" t="str">
        <f>VLOOKUP(NFLDataSet!C467,TotalYardDiff2,2,TRUE)</f>
        <v>Medium</v>
      </c>
      <c r="D42" t="str">
        <f>VLOOKUP(NFLDataSet!D467,PassYardsDiff2,2,TRUE)</f>
        <v>Medium</v>
      </c>
      <c r="E42" t="str">
        <f>VLOOKUP(NFLDataSet!E467,RushYards2,2,TRUE)</f>
        <v>Medium</v>
      </c>
      <c r="F42" t="str">
        <f>VLOOKUP(NFLDataSet!F467,TurnOverDiff2,2,TRUE)</f>
        <v>Medium</v>
      </c>
      <c r="G42" t="str">
        <f>NFLDataSet!G468</f>
        <v>W</v>
      </c>
    </row>
    <row r="43" spans="1:7" x14ac:dyDescent="0.35">
      <c r="A43" t="str">
        <f>NFLDataSet!A469</f>
        <v>A</v>
      </c>
      <c r="B43" t="str">
        <f>VLOOKUP(NFLDataSet!B469,FirstDownDiff2,2,TRUE)</f>
        <v>Low</v>
      </c>
      <c r="C43" t="str">
        <f>VLOOKUP(NFLDataSet!C468,TotalYardDiff2,2,TRUE)</f>
        <v>High</v>
      </c>
      <c r="D43" t="str">
        <f>VLOOKUP(NFLDataSet!D468,PassYardsDiff2,2,TRUE)</f>
        <v>High</v>
      </c>
      <c r="E43" t="str">
        <f>VLOOKUP(NFLDataSet!E468,RushYards2,2,TRUE)</f>
        <v>Low</v>
      </c>
      <c r="F43" t="str">
        <f>VLOOKUP(NFLDataSet!F468,TurnOverDiff2,2,TRUE)</f>
        <v>Medium</v>
      </c>
      <c r="G43" t="str">
        <f>NFLDataSet!G469</f>
        <v>W</v>
      </c>
    </row>
    <row r="44" spans="1:7" x14ac:dyDescent="0.35">
      <c r="A44" t="str">
        <f>NFLDataSet!A470</f>
        <v>A</v>
      </c>
      <c r="B44" t="str">
        <f>VLOOKUP(NFLDataSet!B470,FirstDownDiff2,2,TRUE)</f>
        <v>High</v>
      </c>
      <c r="C44" t="str">
        <f>VLOOKUP(NFLDataSet!C469,TotalYardDiff2,2,TRUE)</f>
        <v>Low</v>
      </c>
      <c r="D44" t="str">
        <f>VLOOKUP(NFLDataSet!D469,PassYardsDiff2,2,TRUE)</f>
        <v>Medium</v>
      </c>
      <c r="E44" t="str">
        <f>VLOOKUP(NFLDataSet!E469,RushYards2,2,TRUE)</f>
        <v>Medium</v>
      </c>
      <c r="F44" t="str">
        <f>VLOOKUP(NFLDataSet!F469,TurnOverDiff2,2,TRUE)</f>
        <v>Medium</v>
      </c>
      <c r="G44" t="str">
        <f>NFLDataSet!G470</f>
        <v>W</v>
      </c>
    </row>
    <row r="45" spans="1:7" x14ac:dyDescent="0.35">
      <c r="A45" t="str">
        <f>NFLDataSet!A471</f>
        <v>A</v>
      </c>
      <c r="B45" t="str">
        <f>VLOOKUP(NFLDataSet!B471,FirstDownDiff2,2,TRUE)</f>
        <v>Low</v>
      </c>
      <c r="C45" t="str">
        <f>VLOOKUP(NFLDataSet!C470,TotalYardDiff2,2,TRUE)</f>
        <v>Medium</v>
      </c>
      <c r="D45" t="str">
        <f>VLOOKUP(NFLDataSet!D470,PassYardsDiff2,2,TRUE)</f>
        <v>Medium</v>
      </c>
      <c r="E45" t="str">
        <f>VLOOKUP(NFLDataSet!E470,RushYards2,2,TRUE)</f>
        <v>High</v>
      </c>
      <c r="F45" t="str">
        <f>VLOOKUP(NFLDataSet!F470,TurnOverDiff2,2,TRUE)</f>
        <v>Medium</v>
      </c>
      <c r="G45" t="str">
        <f>NFLDataSet!G471</f>
        <v>L</v>
      </c>
    </row>
    <row r="46" spans="1:7" x14ac:dyDescent="0.35">
      <c r="A46" t="str">
        <f>NFLDataSet!A472</f>
        <v>A</v>
      </c>
      <c r="B46" t="str">
        <f>VLOOKUP(NFLDataSet!B472,FirstDownDiff2,2,TRUE)</f>
        <v>High</v>
      </c>
      <c r="C46" t="str">
        <f>VLOOKUP(NFLDataSet!C471,TotalYardDiff2,2,TRUE)</f>
        <v>Low</v>
      </c>
      <c r="D46" t="str">
        <f>VLOOKUP(NFLDataSet!D471,PassYardsDiff2,2,TRUE)</f>
        <v>Low</v>
      </c>
      <c r="E46" t="str">
        <f>VLOOKUP(NFLDataSet!E471,RushYards2,2,TRUE)</f>
        <v>Low</v>
      </c>
      <c r="F46" t="str">
        <f>VLOOKUP(NFLDataSet!F471,TurnOverDiff2,2,TRUE)</f>
        <v>Medium</v>
      </c>
      <c r="G46" t="str">
        <f>NFLDataSet!G472</f>
        <v>W</v>
      </c>
    </row>
    <row r="47" spans="1:7" x14ac:dyDescent="0.35">
      <c r="A47" t="str">
        <f>NFLDataSet!A473</f>
        <v>H</v>
      </c>
      <c r="B47" t="str">
        <f>VLOOKUP(NFLDataSet!B473,FirstDownDiff2,2,TRUE)</f>
        <v>Low</v>
      </c>
      <c r="C47" t="str">
        <f>VLOOKUP(NFLDataSet!C472,TotalYardDiff2,2,TRUE)</f>
        <v>Medium</v>
      </c>
      <c r="D47" t="str">
        <f>VLOOKUP(NFLDataSet!D472,PassYardsDiff2,2,TRUE)</f>
        <v>Medium</v>
      </c>
      <c r="E47" t="str">
        <f>VLOOKUP(NFLDataSet!E472,RushYards2,2,TRUE)</f>
        <v>Medium</v>
      </c>
      <c r="F47" t="str">
        <f>VLOOKUP(NFLDataSet!F472,TurnOverDiff2,2,TRUE)</f>
        <v>Medium</v>
      </c>
      <c r="G47" t="str">
        <f>NFLDataSet!G473</f>
        <v>L</v>
      </c>
    </row>
    <row r="48" spans="1:7" x14ac:dyDescent="0.35">
      <c r="A48" t="str">
        <f>NFLDataSet!A474</f>
        <v>A</v>
      </c>
      <c r="B48" t="str">
        <f>VLOOKUP(NFLDataSet!B474,FirstDownDiff2,2,TRUE)</f>
        <v>Low</v>
      </c>
      <c r="C48" t="str">
        <f>VLOOKUP(NFLDataSet!C473,TotalYardDiff2,2,TRUE)</f>
        <v>Low</v>
      </c>
      <c r="D48" t="str">
        <f>VLOOKUP(NFLDataSet!D473,PassYardsDiff2,2,TRUE)</f>
        <v>Low</v>
      </c>
      <c r="E48" t="str">
        <f>VLOOKUP(NFLDataSet!E473,RushYards2,2,TRUE)</f>
        <v>Low</v>
      </c>
      <c r="F48" t="str">
        <f>VLOOKUP(NFLDataSet!F473,TurnOverDiff2,2,TRUE)</f>
        <v>Medium</v>
      </c>
      <c r="G48" t="str">
        <f>NFLDataSet!G474</f>
        <v>L</v>
      </c>
    </row>
    <row r="49" spans="1:7" x14ac:dyDescent="0.35">
      <c r="A49" t="str">
        <f>NFLDataSet!A475</f>
        <v>H</v>
      </c>
      <c r="B49" t="str">
        <f>VLOOKUP(NFLDataSet!B475,FirstDownDiff2,2,TRUE)</f>
        <v>High</v>
      </c>
      <c r="C49" t="str">
        <f>VLOOKUP(NFLDataSet!C474,TotalYardDiff2,2,TRUE)</f>
        <v>Low</v>
      </c>
      <c r="D49" t="str">
        <f>VLOOKUP(NFLDataSet!D474,PassYardsDiff2,2,TRUE)</f>
        <v>Medium</v>
      </c>
      <c r="E49" t="str">
        <f>VLOOKUP(NFLDataSet!E474,RushYards2,2,TRUE)</f>
        <v>Low</v>
      </c>
      <c r="F49" t="str">
        <f>VLOOKUP(NFLDataSet!F474,TurnOverDiff2,2,TRUE)</f>
        <v>Medium</v>
      </c>
      <c r="G49" t="str">
        <f>NFLDataSet!G475</f>
        <v>L</v>
      </c>
    </row>
    <row r="50" spans="1:7" x14ac:dyDescent="0.35">
      <c r="A50" t="str">
        <f>NFLDataSet!A476</f>
        <v>A</v>
      </c>
      <c r="B50" t="str">
        <f>VLOOKUP(NFLDataSet!B476,FirstDownDiff2,2,TRUE)</f>
        <v>Medium</v>
      </c>
      <c r="C50" t="str">
        <f>VLOOKUP(NFLDataSet!C475,TotalYardDiff2,2,TRUE)</f>
        <v>High</v>
      </c>
      <c r="D50" t="str">
        <f>VLOOKUP(NFLDataSet!D475,PassYardsDiff2,2,TRUE)</f>
        <v>High</v>
      </c>
      <c r="E50" t="str">
        <f>VLOOKUP(NFLDataSet!E475,RushYards2,2,TRUE)</f>
        <v>Low</v>
      </c>
      <c r="F50" t="str">
        <f>VLOOKUP(NFLDataSet!F475,TurnOverDiff2,2,TRUE)</f>
        <v>Medium</v>
      </c>
      <c r="G50" t="str">
        <f>NFLDataSet!G476</f>
        <v>L</v>
      </c>
    </row>
    <row r="51" spans="1:7" x14ac:dyDescent="0.35">
      <c r="A51" t="str">
        <f>NFLDataSet!A477</f>
        <v>A</v>
      </c>
      <c r="B51" t="str">
        <f>VLOOKUP(NFLDataSet!B477,FirstDownDiff2,2,TRUE)</f>
        <v>Low</v>
      </c>
      <c r="C51" t="str">
        <f>VLOOKUP(NFLDataSet!C476,TotalYardDiff2,2,TRUE)</f>
        <v>Low</v>
      </c>
      <c r="D51" t="str">
        <f>VLOOKUP(NFLDataSet!D476,PassYardsDiff2,2,TRUE)</f>
        <v>Medium</v>
      </c>
      <c r="E51" t="str">
        <f>VLOOKUP(NFLDataSet!E476,RushYards2,2,TRUE)</f>
        <v>Low</v>
      </c>
      <c r="F51" t="str">
        <f>VLOOKUP(NFLDataSet!F476,TurnOverDiff2,2,TRUE)</f>
        <v>High</v>
      </c>
      <c r="G51" t="str">
        <f>NFLDataSet!G477</f>
        <v>W</v>
      </c>
    </row>
    <row r="52" spans="1:7" x14ac:dyDescent="0.35">
      <c r="A52" t="str">
        <f>NFLDataSet!A478</f>
        <v>H</v>
      </c>
      <c r="B52" t="str">
        <f>VLOOKUP(NFLDataSet!B478,FirstDownDiff2,2,TRUE)</f>
        <v>Medium</v>
      </c>
      <c r="C52" t="str">
        <f>VLOOKUP(NFLDataSet!C477,TotalYardDiff2,2,TRUE)</f>
        <v>Low</v>
      </c>
      <c r="D52" t="str">
        <f>VLOOKUP(NFLDataSet!D477,PassYardsDiff2,2,TRUE)</f>
        <v>Low</v>
      </c>
      <c r="E52" t="str">
        <f>VLOOKUP(NFLDataSet!E477,RushYards2,2,TRUE)</f>
        <v>Medium</v>
      </c>
      <c r="F52" t="str">
        <f>VLOOKUP(NFLDataSet!F477,TurnOverDiff2,2,TRUE)</f>
        <v>Medium</v>
      </c>
      <c r="G52" t="str">
        <f>NFLDataSet!G478</f>
        <v>W</v>
      </c>
    </row>
    <row r="53" spans="1:7" x14ac:dyDescent="0.35">
      <c r="A53" t="str">
        <f>NFLDataSet!A479</f>
        <v>H</v>
      </c>
      <c r="B53" t="str">
        <f>VLOOKUP(NFLDataSet!B479,FirstDownDiff2,2,TRUE)</f>
        <v>Medium</v>
      </c>
      <c r="C53" t="str">
        <f>VLOOKUP(NFLDataSet!C478,TotalYardDiff2,2,TRUE)</f>
        <v>Medium</v>
      </c>
      <c r="D53" t="str">
        <f>VLOOKUP(NFLDataSet!D478,PassYardsDiff2,2,TRUE)</f>
        <v>Medium</v>
      </c>
      <c r="E53" t="str">
        <f>VLOOKUP(NFLDataSet!E478,RushYards2,2,TRUE)</f>
        <v>Medium</v>
      </c>
      <c r="F53" t="str">
        <f>VLOOKUP(NFLDataSet!F478,TurnOverDiff2,2,TRUE)</f>
        <v>Medium</v>
      </c>
      <c r="G53" t="str">
        <f>NFLDataSet!G479</f>
        <v>L</v>
      </c>
    </row>
    <row r="54" spans="1:7" x14ac:dyDescent="0.35">
      <c r="A54" t="str">
        <f>NFLDataSet!A480</f>
        <v>H</v>
      </c>
      <c r="B54" t="str">
        <f>VLOOKUP(NFLDataSet!B480,FirstDownDiff2,2,TRUE)</f>
        <v>High</v>
      </c>
      <c r="C54" t="str">
        <f>VLOOKUP(NFLDataSet!C479,TotalYardDiff2,2,TRUE)</f>
        <v>High</v>
      </c>
      <c r="D54" t="str">
        <f>VLOOKUP(NFLDataSet!D479,PassYardsDiff2,2,TRUE)</f>
        <v>High</v>
      </c>
      <c r="E54" t="str">
        <f>VLOOKUP(NFLDataSet!E479,RushYards2,2,TRUE)</f>
        <v>Medium</v>
      </c>
      <c r="F54" t="str">
        <f>VLOOKUP(NFLDataSet!F479,TurnOverDiff2,2,TRUE)</f>
        <v>High</v>
      </c>
      <c r="G54" t="str">
        <f>NFLDataSet!G480</f>
        <v>W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selection activeCell="B3" sqref="B3"/>
    </sheetView>
  </sheetViews>
  <sheetFormatPr defaultRowHeight="14.5" x14ac:dyDescent="0.35"/>
  <sheetData>
    <row r="1" spans="1:7" x14ac:dyDescent="0.35">
      <c r="A1" t="str">
        <f>NFLDataSet!A481</f>
        <v>A</v>
      </c>
      <c r="B1" t="str">
        <f>VLOOKUP(NFLDataSet!B481,FirstDownDiff2,2,TRUE)</f>
        <v>High</v>
      </c>
      <c r="C1" t="str">
        <f>VLOOKUP(NFLDataSet!C481,TotalYardDiff2,2,TRUE)</f>
        <v>Medium</v>
      </c>
      <c r="D1" t="str">
        <f>VLOOKUP(NFLDataSet!D481,PassYardsDiff2,2,TRUE)</f>
        <v>High</v>
      </c>
      <c r="E1" t="str">
        <f>VLOOKUP(NFLDataSet!E481,RushYards2,2,TRUE)</f>
        <v>Low</v>
      </c>
      <c r="F1" t="str">
        <f>VLOOKUP(NFLDataSet!F481,TurnOverDiff2,2,TRUE)</f>
        <v>Medium</v>
      </c>
      <c r="G1" t="str">
        <f>NFLDataSet!G481</f>
        <v>W</v>
      </c>
    </row>
    <row r="2" spans="1:7" x14ac:dyDescent="0.35">
      <c r="A2" t="str">
        <f>NFLDataSet!A482</f>
        <v>H</v>
      </c>
      <c r="B2" t="str">
        <f>VLOOKUP(NFLDataSet!B482,FirstDownDiff2,2,TRUE)</f>
        <v>Medium</v>
      </c>
      <c r="C2" t="str">
        <f>VLOOKUP(NFLDataSet!C482,TotalYardDiff2,2,TRUE)</f>
        <v>Medium</v>
      </c>
      <c r="D2" t="str">
        <f>VLOOKUP(NFLDataSet!D482,PassYardsDiff2,2,TRUE)</f>
        <v>Medium</v>
      </c>
      <c r="E2" t="str">
        <f>VLOOKUP(NFLDataSet!E482,RushYards2,2,TRUE)</f>
        <v>Medium</v>
      </c>
      <c r="F2" t="str">
        <f>VLOOKUP(NFLDataSet!F482,TurnOverDiff2,2,TRUE)</f>
        <v>Medium</v>
      </c>
      <c r="G2" t="str">
        <f>NFLDataSet!G482</f>
        <v>W</v>
      </c>
    </row>
    <row r="3" spans="1:7" x14ac:dyDescent="0.35">
      <c r="A3" t="str">
        <f>NFLDataSet!A483</f>
        <v>A</v>
      </c>
      <c r="B3" t="str">
        <f>VLOOKUP(NFLDataSet!B483,FirstDownDiff2,2,TRUE)</f>
        <v>High</v>
      </c>
      <c r="C3" t="str">
        <f>VLOOKUP(NFLDataSet!C483,TotalYardDiff2,2,TRUE)</f>
        <v>High</v>
      </c>
      <c r="D3" t="str">
        <f>VLOOKUP(NFLDataSet!D483,PassYardsDiff2,2,TRUE)</f>
        <v>High</v>
      </c>
      <c r="E3" t="str">
        <f>VLOOKUP(NFLDataSet!E483,RushYards2,2,TRUE)</f>
        <v>Low</v>
      </c>
      <c r="F3" t="str">
        <f>VLOOKUP(NFLDataSet!F483,TurnOverDiff2,2,TRUE)</f>
        <v>Medium</v>
      </c>
      <c r="G3" t="str">
        <f>NFLDataSet!G483</f>
        <v>L</v>
      </c>
    </row>
    <row r="4" spans="1:7" x14ac:dyDescent="0.35">
      <c r="A4" t="str">
        <f>NFLDataSet!A484</f>
        <v>A</v>
      </c>
      <c r="B4" t="str">
        <f>VLOOKUP(NFLDataSet!B484,FirstDownDiff2,2,TRUE)</f>
        <v>High</v>
      </c>
      <c r="C4" t="str">
        <f>VLOOKUP(NFLDataSet!C484,TotalYardDiff2,2,TRUE)</f>
        <v>High</v>
      </c>
      <c r="D4" t="str">
        <f>VLOOKUP(NFLDataSet!D484,PassYardsDiff2,2,TRUE)</f>
        <v>High</v>
      </c>
      <c r="E4" t="str">
        <f>VLOOKUP(NFLDataSet!E484,RushYards2,2,TRUE)</f>
        <v>High</v>
      </c>
      <c r="F4" t="str">
        <f>VLOOKUP(NFLDataSet!F484,TurnOverDiff2,2,TRUE)</f>
        <v>Medium</v>
      </c>
      <c r="G4" t="str">
        <f>NFLDataSet!G484</f>
        <v>W</v>
      </c>
    </row>
    <row r="5" spans="1:7" x14ac:dyDescent="0.35">
      <c r="A5" t="str">
        <f>NFLDataSet!A485</f>
        <v>H</v>
      </c>
      <c r="B5" t="str">
        <f>VLOOKUP(NFLDataSet!B485,FirstDownDiff2,2,TRUE)</f>
        <v>Low</v>
      </c>
      <c r="C5" t="str">
        <f>VLOOKUP(NFLDataSet!C485,TotalYardDiff2,2,TRUE)</f>
        <v>Medium</v>
      </c>
      <c r="D5" t="str">
        <f>VLOOKUP(NFLDataSet!D485,PassYardsDiff2,2,TRUE)</f>
        <v>Low</v>
      </c>
      <c r="E5" t="str">
        <f>VLOOKUP(NFLDataSet!E485,RushYards2,2,TRUE)</f>
        <v>High</v>
      </c>
      <c r="F5" t="str">
        <f>VLOOKUP(NFLDataSet!F485,TurnOverDiff2,2,TRUE)</f>
        <v>Medium</v>
      </c>
      <c r="G5" t="str">
        <f>NFLDataSet!G485</f>
        <v>L</v>
      </c>
    </row>
    <row r="6" spans="1:7" x14ac:dyDescent="0.35">
      <c r="A6" t="str">
        <f>NFLDataSet!A486</f>
        <v>H</v>
      </c>
      <c r="B6" t="str">
        <f>VLOOKUP(NFLDataSet!B486,FirstDownDiff2,2,TRUE)</f>
        <v>Medium</v>
      </c>
      <c r="C6" t="str">
        <f>VLOOKUP(NFLDataSet!C486,TotalYardDiff2,2,TRUE)</f>
        <v>High</v>
      </c>
      <c r="D6" t="str">
        <f>VLOOKUP(NFLDataSet!D486,PassYardsDiff2,2,TRUE)</f>
        <v>High</v>
      </c>
      <c r="E6" t="str">
        <f>VLOOKUP(NFLDataSet!E486,RushYards2,2,TRUE)</f>
        <v>Medium</v>
      </c>
      <c r="F6" t="str">
        <f>VLOOKUP(NFLDataSet!F486,TurnOverDiff2,2,TRUE)</f>
        <v>Medium</v>
      </c>
      <c r="G6" t="str">
        <f>NFLDataSet!G486</f>
        <v>W</v>
      </c>
    </row>
    <row r="7" spans="1:7" x14ac:dyDescent="0.35">
      <c r="A7" t="str">
        <f>NFLDataSet!A487</f>
        <v>H</v>
      </c>
      <c r="B7" t="str">
        <f>VLOOKUP(NFLDataSet!B487,FirstDownDiff2,2,TRUE)</f>
        <v>Medium</v>
      </c>
      <c r="C7" t="str">
        <f>VLOOKUP(NFLDataSet!C487,TotalYardDiff2,2,TRUE)</f>
        <v>Low</v>
      </c>
      <c r="D7" t="str">
        <f>VLOOKUP(NFLDataSet!D487,PassYardsDiff2,2,TRUE)</f>
        <v>Medium</v>
      </c>
      <c r="E7" t="str">
        <f>VLOOKUP(NFLDataSet!E487,RushYards2,2,TRUE)</f>
        <v>Low</v>
      </c>
      <c r="F7" t="str">
        <f>VLOOKUP(NFLDataSet!F487,TurnOverDiff2,2,TRUE)</f>
        <v>Medium</v>
      </c>
      <c r="G7" t="str">
        <f>NFLDataSet!G487</f>
        <v>L</v>
      </c>
    </row>
    <row r="8" spans="1:7" x14ac:dyDescent="0.35">
      <c r="A8" t="str">
        <f>NFLDataSet!A488</f>
        <v>H</v>
      </c>
      <c r="B8" t="str">
        <f>VLOOKUP(NFLDataSet!B488,FirstDownDiff2,2,TRUE)</f>
        <v>High</v>
      </c>
      <c r="C8" t="str">
        <f>VLOOKUP(NFLDataSet!C488,TotalYardDiff2,2,TRUE)</f>
        <v>High</v>
      </c>
      <c r="D8" t="str">
        <f>VLOOKUP(NFLDataSet!D488,PassYardsDiff2,2,TRUE)</f>
        <v>High</v>
      </c>
      <c r="E8" t="str">
        <f>VLOOKUP(NFLDataSet!E488,RushYards2,2,TRUE)</f>
        <v>High</v>
      </c>
      <c r="F8" t="str">
        <f>VLOOKUP(NFLDataSet!F488,TurnOverDiff2,2,TRUE)</f>
        <v>Medium</v>
      </c>
      <c r="G8" t="str">
        <f>NFLDataSet!G488</f>
        <v>W</v>
      </c>
    </row>
    <row r="9" spans="1:7" x14ac:dyDescent="0.35">
      <c r="A9" t="str">
        <f>NFLDataSet!A489</f>
        <v>H</v>
      </c>
      <c r="B9" t="str">
        <f>VLOOKUP(NFLDataSet!B489,FirstDownDiff2,2,TRUE)</f>
        <v>High</v>
      </c>
      <c r="C9" t="str">
        <f>VLOOKUP(NFLDataSet!C489,TotalYardDiff2,2,TRUE)</f>
        <v>Medium</v>
      </c>
      <c r="D9" t="str">
        <f>VLOOKUP(NFLDataSet!D489,PassYardsDiff2,2,TRUE)</f>
        <v>Medium</v>
      </c>
      <c r="E9" t="str">
        <f>VLOOKUP(NFLDataSet!E489,RushYards2,2,TRUE)</f>
        <v>Low</v>
      </c>
      <c r="F9" t="str">
        <f>VLOOKUP(NFLDataSet!F489,TurnOverDiff2,2,TRUE)</f>
        <v>High</v>
      </c>
      <c r="G9" t="str">
        <f>NFLDataSet!G489</f>
        <v>L</v>
      </c>
    </row>
    <row r="10" spans="1:7" x14ac:dyDescent="0.35">
      <c r="A10" t="str">
        <f>NFLDataSet!A490</f>
        <v>A</v>
      </c>
      <c r="B10" t="str">
        <f>VLOOKUP(NFLDataSet!B490,FirstDownDiff2,2,TRUE)</f>
        <v>Low</v>
      </c>
      <c r="C10" t="str">
        <f>VLOOKUP(NFLDataSet!C490,TotalYardDiff2,2,TRUE)</f>
        <v>Medium</v>
      </c>
      <c r="D10" t="str">
        <f>VLOOKUP(NFLDataSet!D490,PassYardsDiff2,2,TRUE)</f>
        <v>Medium</v>
      </c>
      <c r="E10" t="str">
        <f>VLOOKUP(NFLDataSet!E490,RushYards2,2,TRUE)</f>
        <v>Medium</v>
      </c>
      <c r="F10" t="str">
        <f>VLOOKUP(NFLDataSet!F490,TurnOverDiff2,2,TRUE)</f>
        <v>Medium</v>
      </c>
      <c r="G10" t="str">
        <f>NFLDataSet!G490</f>
        <v>L</v>
      </c>
    </row>
    <row r="11" spans="1:7" x14ac:dyDescent="0.35">
      <c r="A11" t="str">
        <f>NFLDataSet!A491</f>
        <v>A</v>
      </c>
      <c r="B11" t="str">
        <f>VLOOKUP(NFLDataSet!B491,FirstDownDiff2,2,TRUE)</f>
        <v>Medium</v>
      </c>
      <c r="C11" t="str">
        <f>VLOOKUP(NFLDataSet!C491,TotalYardDiff2,2,TRUE)</f>
        <v>Medium</v>
      </c>
      <c r="D11" t="str">
        <f>VLOOKUP(NFLDataSet!D491,PassYardsDiff2,2,TRUE)</f>
        <v>High</v>
      </c>
      <c r="E11" t="str">
        <f>VLOOKUP(NFLDataSet!E491,RushYards2,2,TRUE)</f>
        <v>Low</v>
      </c>
      <c r="F11" t="str">
        <f>VLOOKUP(NFLDataSet!F491,TurnOverDiff2,2,TRUE)</f>
        <v>High</v>
      </c>
      <c r="G11" t="str">
        <f>NFLDataSet!G491</f>
        <v>L</v>
      </c>
    </row>
    <row r="12" spans="1:7" x14ac:dyDescent="0.35">
      <c r="A12" t="str">
        <f>NFLDataSet!A492</f>
        <v>A</v>
      </c>
      <c r="B12" t="str">
        <f>VLOOKUP(NFLDataSet!B492,FirstDownDiff2,2,TRUE)</f>
        <v>Medium</v>
      </c>
      <c r="C12" t="str">
        <f>VLOOKUP(NFLDataSet!C492,TotalYardDiff2,2,TRUE)</f>
        <v>Medium</v>
      </c>
      <c r="D12" t="str">
        <f>VLOOKUP(NFLDataSet!D492,PassYardsDiff2,2,TRUE)</f>
        <v>High</v>
      </c>
      <c r="E12" t="str">
        <f>VLOOKUP(NFLDataSet!E492,RushYards2,2,TRUE)</f>
        <v>Low</v>
      </c>
      <c r="F12" t="str">
        <f>VLOOKUP(NFLDataSet!F492,TurnOverDiff2,2,TRUE)</f>
        <v>Medium</v>
      </c>
      <c r="G12" t="str">
        <f>NFLDataSet!G492</f>
        <v>L</v>
      </c>
    </row>
    <row r="13" spans="1:7" x14ac:dyDescent="0.35">
      <c r="A13" t="str">
        <f>NFLDataSet!A493</f>
        <v>A</v>
      </c>
      <c r="B13" t="str">
        <f>VLOOKUP(NFLDataSet!B493,FirstDownDiff2,2,TRUE)</f>
        <v>Low</v>
      </c>
      <c r="C13" t="str">
        <f>VLOOKUP(NFLDataSet!C493,TotalYardDiff2,2,TRUE)</f>
        <v>Low</v>
      </c>
      <c r="D13" t="str">
        <f>VLOOKUP(NFLDataSet!D493,PassYardsDiff2,2,TRUE)</f>
        <v>Low</v>
      </c>
      <c r="E13" t="str">
        <f>VLOOKUP(NFLDataSet!E493,RushYards2,2,TRUE)</f>
        <v>Medium</v>
      </c>
      <c r="F13" t="str">
        <f>VLOOKUP(NFLDataSet!F493,TurnOverDiff2,2,TRUE)</f>
        <v>Medium</v>
      </c>
      <c r="G13" t="str">
        <f>NFLDataSet!G493</f>
        <v>L</v>
      </c>
    </row>
    <row r="14" spans="1:7" x14ac:dyDescent="0.35">
      <c r="A14" t="str">
        <f>NFLDataSet!A494</f>
        <v>A</v>
      </c>
      <c r="B14" t="str">
        <f>VLOOKUP(NFLDataSet!B494,FirstDownDiff2,2,TRUE)</f>
        <v>Low</v>
      </c>
      <c r="C14" t="str">
        <f>VLOOKUP(NFLDataSet!C494,TotalYardDiff2,2,TRUE)</f>
        <v>Medium</v>
      </c>
      <c r="D14" t="str">
        <f>VLOOKUP(NFLDataSet!D494,PassYardsDiff2,2,TRUE)</f>
        <v>Medium</v>
      </c>
      <c r="E14" t="str">
        <f>VLOOKUP(NFLDataSet!E494,RushYards2,2,TRUE)</f>
        <v>High</v>
      </c>
      <c r="F14" t="str">
        <f>VLOOKUP(NFLDataSet!F494,TurnOverDiff2,2,TRUE)</f>
        <v>Medium</v>
      </c>
      <c r="G14" t="str">
        <f>NFLDataSet!G494</f>
        <v>W</v>
      </c>
    </row>
    <row r="15" spans="1:7" x14ac:dyDescent="0.35">
      <c r="A15" t="str">
        <f>NFLDataSet!A495</f>
        <v>H</v>
      </c>
      <c r="B15" t="str">
        <f>VLOOKUP(NFLDataSet!B495,FirstDownDiff2,2,TRUE)</f>
        <v>High</v>
      </c>
      <c r="C15" t="str">
        <f>VLOOKUP(NFLDataSet!C495,TotalYardDiff2,2,TRUE)</f>
        <v>High</v>
      </c>
      <c r="D15" t="str">
        <f>VLOOKUP(NFLDataSet!D495,PassYardsDiff2,2,TRUE)</f>
        <v>Medium</v>
      </c>
      <c r="E15" t="str">
        <f>VLOOKUP(NFLDataSet!E495,RushYards2,2,TRUE)</f>
        <v>Medium</v>
      </c>
      <c r="F15" t="str">
        <f>VLOOKUP(NFLDataSet!F495,TurnOverDiff2,2,TRUE)</f>
        <v>Medium</v>
      </c>
      <c r="G15" t="str">
        <f>NFLDataSet!G495</f>
        <v>L</v>
      </c>
    </row>
    <row r="16" spans="1:7" x14ac:dyDescent="0.35">
      <c r="A16" t="str">
        <f>NFLDataSet!A496</f>
        <v>A</v>
      </c>
      <c r="B16" t="str">
        <f>VLOOKUP(NFLDataSet!B496,FirstDownDiff2,2,TRUE)</f>
        <v>Medium</v>
      </c>
      <c r="C16" t="str">
        <f>VLOOKUP(NFLDataSet!C496,TotalYardDiff2,2,TRUE)</f>
        <v>Medium</v>
      </c>
      <c r="D16" t="str">
        <f>VLOOKUP(NFLDataSet!D496,PassYardsDiff2,2,TRUE)</f>
        <v>Medium</v>
      </c>
      <c r="E16" t="str">
        <f>VLOOKUP(NFLDataSet!E496,RushYards2,2,TRUE)</f>
        <v>Medium</v>
      </c>
      <c r="F16" t="str">
        <f>VLOOKUP(NFLDataSet!F496,TurnOverDiff2,2,TRUE)</f>
        <v>Low</v>
      </c>
      <c r="G16" t="str">
        <f>NFLDataSet!G496</f>
        <v>W</v>
      </c>
    </row>
    <row r="17" spans="1:7" x14ac:dyDescent="0.35">
      <c r="A17" t="str">
        <f>NFLDataSet!A497</f>
        <v>H</v>
      </c>
      <c r="B17" t="str">
        <f>VLOOKUP(NFLDataSet!B497,FirstDownDiff2,2,TRUE)</f>
        <v>Medium</v>
      </c>
      <c r="C17" t="str">
        <f>VLOOKUP(NFLDataSet!C497,TotalYardDiff2,2,TRUE)</f>
        <v>Medium</v>
      </c>
      <c r="D17" t="str">
        <f>VLOOKUP(NFLDataSet!D497,PassYardsDiff2,2,TRUE)</f>
        <v>Low</v>
      </c>
      <c r="E17" t="str">
        <f>VLOOKUP(NFLDataSet!E497,RushYards2,2,TRUE)</f>
        <v>Medium</v>
      </c>
      <c r="F17" t="str">
        <f>VLOOKUP(NFLDataSet!F497,TurnOverDiff2,2,TRUE)</f>
        <v>Medium</v>
      </c>
      <c r="G17" t="str">
        <f>NFLDataSet!G497</f>
        <v>L</v>
      </c>
    </row>
    <row r="18" spans="1:7" x14ac:dyDescent="0.35">
      <c r="A18" t="str">
        <f>NFLDataSet!A498</f>
        <v>H</v>
      </c>
      <c r="B18" t="str">
        <f>VLOOKUP(NFLDataSet!B498,FirstDownDiff2,2,TRUE)</f>
        <v>High</v>
      </c>
      <c r="C18" t="str">
        <f>VLOOKUP(NFLDataSet!C498,TotalYardDiff2,2,TRUE)</f>
        <v>High</v>
      </c>
      <c r="D18" t="str">
        <f>VLOOKUP(NFLDataSet!D498,PassYardsDiff2,2,TRUE)</f>
        <v>High</v>
      </c>
      <c r="E18" t="str">
        <f>VLOOKUP(NFLDataSet!E498,RushYards2,2,TRUE)</f>
        <v>High</v>
      </c>
      <c r="F18" t="str">
        <f>VLOOKUP(NFLDataSet!F498,TurnOverDiff2,2,TRUE)</f>
        <v>Medium</v>
      </c>
      <c r="G18" t="str">
        <f>NFLDataSet!G498</f>
        <v>W</v>
      </c>
    </row>
    <row r="19" spans="1:7" x14ac:dyDescent="0.35">
      <c r="A19" t="str">
        <f>NFLDataSet!A499</f>
        <v>A</v>
      </c>
      <c r="B19" t="str">
        <f>VLOOKUP(NFLDataSet!B499,FirstDownDiff2,2,TRUE)</f>
        <v>Medium</v>
      </c>
      <c r="C19" t="str">
        <f>VLOOKUP(NFLDataSet!C499,TotalYardDiff2,2,TRUE)</f>
        <v>Medium</v>
      </c>
      <c r="D19" t="str">
        <f>VLOOKUP(NFLDataSet!D499,PassYardsDiff2,2,TRUE)</f>
        <v>Medium</v>
      </c>
      <c r="E19" t="str">
        <f>VLOOKUP(NFLDataSet!E499,RushYards2,2,TRUE)</f>
        <v>Medium</v>
      </c>
      <c r="F19" t="str">
        <f>VLOOKUP(NFLDataSet!F499,TurnOverDiff2,2,TRUE)</f>
        <v>Medium</v>
      </c>
      <c r="G19" t="str">
        <f>NFLDataSet!G499</f>
        <v>L</v>
      </c>
    </row>
    <row r="20" spans="1:7" x14ac:dyDescent="0.35">
      <c r="A20" t="str">
        <f>NFLDataSet!A500</f>
        <v>H</v>
      </c>
      <c r="B20" t="str">
        <f>VLOOKUP(NFLDataSet!B500,FirstDownDiff2,2,TRUE)</f>
        <v>Low</v>
      </c>
      <c r="C20" t="str">
        <f>VLOOKUP(NFLDataSet!C500,TotalYardDiff2,2,TRUE)</f>
        <v>Medium</v>
      </c>
      <c r="D20" t="str">
        <f>VLOOKUP(NFLDataSet!D500,PassYardsDiff2,2,TRUE)</f>
        <v>Medium</v>
      </c>
      <c r="E20" t="str">
        <f>VLOOKUP(NFLDataSet!E500,RushYards2,2,TRUE)</f>
        <v>Medium</v>
      </c>
      <c r="F20" t="str">
        <f>VLOOKUP(NFLDataSet!F500,TurnOverDiff2,2,TRUE)</f>
        <v>Medium</v>
      </c>
      <c r="G20" t="str">
        <f>NFLDataSet!G500</f>
        <v>W</v>
      </c>
    </row>
    <row r="21" spans="1:7" x14ac:dyDescent="0.35">
      <c r="A21" t="str">
        <f>NFLDataSet!A501</f>
        <v>H</v>
      </c>
      <c r="B21" t="str">
        <f>VLOOKUP(NFLDataSet!B501,FirstDownDiff2,2,TRUE)</f>
        <v>Low</v>
      </c>
      <c r="C21" t="str">
        <f>VLOOKUP(NFLDataSet!C501,TotalYardDiff2,2,TRUE)</f>
        <v>Low</v>
      </c>
      <c r="D21" t="str">
        <f>VLOOKUP(NFLDataSet!D501,PassYardsDiff2,2,TRUE)</f>
        <v>Low</v>
      </c>
      <c r="E21" t="str">
        <f>VLOOKUP(NFLDataSet!E501,RushYards2,2,TRUE)</f>
        <v>Medium</v>
      </c>
      <c r="F21" t="str">
        <f>VLOOKUP(NFLDataSet!F501,TurnOverDiff2,2,TRUE)</f>
        <v>Medium</v>
      </c>
      <c r="G21" t="str">
        <f>NFLDataSet!G501</f>
        <v>L</v>
      </c>
    </row>
    <row r="22" spans="1:7" x14ac:dyDescent="0.35">
      <c r="A22" t="str">
        <f>NFLDataSet!A502</f>
        <v>H</v>
      </c>
      <c r="B22" t="str">
        <f>VLOOKUP(NFLDataSet!B502,FirstDownDiff2,2,TRUE)</f>
        <v>High</v>
      </c>
      <c r="C22" t="str">
        <f>VLOOKUP(NFLDataSet!C502,TotalYardDiff2,2,TRUE)</f>
        <v>High</v>
      </c>
      <c r="D22" t="str">
        <f>VLOOKUP(NFLDataSet!D502,PassYardsDiff2,2,TRUE)</f>
        <v>Medium</v>
      </c>
      <c r="E22" t="str">
        <f>VLOOKUP(NFLDataSet!E502,RushYards2,2,TRUE)</f>
        <v>High</v>
      </c>
      <c r="F22" t="str">
        <f>VLOOKUP(NFLDataSet!F502,TurnOverDiff2,2,TRUE)</f>
        <v>Medium</v>
      </c>
      <c r="G22" t="str">
        <f>NFLDataSet!G502</f>
        <v>W</v>
      </c>
    </row>
    <row r="23" spans="1:7" x14ac:dyDescent="0.35">
      <c r="A23" t="str">
        <f>NFLDataSet!A503</f>
        <v>H</v>
      </c>
      <c r="B23" t="str">
        <f>VLOOKUP(NFLDataSet!B503,FirstDownDiff2,2,TRUE)</f>
        <v>Medium</v>
      </c>
      <c r="C23" t="str">
        <f>VLOOKUP(NFLDataSet!C503,TotalYardDiff2,2,TRUE)</f>
        <v>Medium</v>
      </c>
      <c r="D23" t="str">
        <f>VLOOKUP(NFLDataSet!D503,PassYardsDiff2,2,TRUE)</f>
        <v>Medium</v>
      </c>
      <c r="E23" t="str">
        <f>VLOOKUP(NFLDataSet!E503,RushYards2,2,TRUE)</f>
        <v>High</v>
      </c>
      <c r="F23" t="str">
        <f>VLOOKUP(NFLDataSet!F503,TurnOverDiff2,2,TRUE)</f>
        <v>Medium</v>
      </c>
      <c r="G23" t="str">
        <f>NFLDataSet!G503</f>
        <v>W</v>
      </c>
    </row>
    <row r="24" spans="1:7" x14ac:dyDescent="0.35">
      <c r="A24" t="str">
        <f>NFLDataSet!A504</f>
        <v>H</v>
      </c>
      <c r="B24" t="str">
        <f>VLOOKUP(NFLDataSet!B504,FirstDownDiff2,2,TRUE)</f>
        <v>Medium</v>
      </c>
      <c r="C24" t="str">
        <f>VLOOKUP(NFLDataSet!C504,TotalYardDiff2,2,TRUE)</f>
        <v>Medium</v>
      </c>
      <c r="D24" t="str">
        <f>VLOOKUP(NFLDataSet!D504,PassYardsDiff2,2,TRUE)</f>
        <v>Medium</v>
      </c>
      <c r="E24" t="str">
        <f>VLOOKUP(NFLDataSet!E504,RushYards2,2,TRUE)</f>
        <v>High</v>
      </c>
      <c r="F24" t="str">
        <f>VLOOKUP(NFLDataSet!F504,TurnOverDiff2,2,TRUE)</f>
        <v>Medium</v>
      </c>
      <c r="G24" t="str">
        <f>NFLDataSet!G504</f>
        <v>W</v>
      </c>
    </row>
    <row r="25" spans="1:7" x14ac:dyDescent="0.35">
      <c r="A25" t="str">
        <f>NFLDataSet!A505</f>
        <v>H</v>
      </c>
      <c r="B25" t="str">
        <f>VLOOKUP(NFLDataSet!B505,FirstDownDiff2,2,TRUE)</f>
        <v>High</v>
      </c>
      <c r="C25" t="str">
        <f>VLOOKUP(NFLDataSet!C505,TotalYardDiff2,2,TRUE)</f>
        <v>Medium</v>
      </c>
      <c r="D25" t="str">
        <f>VLOOKUP(NFLDataSet!D505,PassYardsDiff2,2,TRUE)</f>
        <v>Medium</v>
      </c>
      <c r="E25" t="str">
        <f>VLOOKUP(NFLDataSet!E505,RushYards2,2,TRUE)</f>
        <v>High</v>
      </c>
      <c r="F25" t="str">
        <f>VLOOKUP(NFLDataSet!F505,TurnOverDiff2,2,TRUE)</f>
        <v>Medium</v>
      </c>
      <c r="G25" t="str">
        <f>NFLDataSet!G505</f>
        <v>W</v>
      </c>
    </row>
    <row r="26" spans="1:7" x14ac:dyDescent="0.35">
      <c r="A26" t="str">
        <f>NFLDataSet!A506</f>
        <v>A</v>
      </c>
      <c r="B26" t="str">
        <f>VLOOKUP(NFLDataSet!B506,FirstDownDiff2,2,TRUE)</f>
        <v>Medium</v>
      </c>
      <c r="C26" t="str">
        <f>VLOOKUP(NFLDataSet!C506,TotalYardDiff2,2,TRUE)</f>
        <v>Low</v>
      </c>
      <c r="D26" t="str">
        <f>VLOOKUP(NFLDataSet!D506,PassYardsDiff2,2,TRUE)</f>
        <v>Low</v>
      </c>
      <c r="E26" t="str">
        <f>VLOOKUP(NFLDataSet!E506,RushYards2,2,TRUE)</f>
        <v>High</v>
      </c>
      <c r="F26" t="str">
        <f>VLOOKUP(NFLDataSet!F506,TurnOverDiff2,2,TRUE)</f>
        <v>Medium</v>
      </c>
      <c r="G26" t="str">
        <f>NFLDataSet!G506</f>
        <v>L</v>
      </c>
    </row>
    <row r="27" spans="1:7" x14ac:dyDescent="0.35">
      <c r="A27" t="str">
        <f>NFLDataSet!A507</f>
        <v>H</v>
      </c>
      <c r="B27" t="str">
        <f>VLOOKUP(NFLDataSet!B507,FirstDownDiff2,2,TRUE)</f>
        <v>Low</v>
      </c>
      <c r="C27" t="str">
        <f>VLOOKUP(NFLDataSet!C507,TotalYardDiff2,2,TRUE)</f>
        <v>Low</v>
      </c>
      <c r="D27" t="str">
        <f>VLOOKUP(NFLDataSet!D507,PassYardsDiff2,2,TRUE)</f>
        <v>Low</v>
      </c>
      <c r="E27" t="str">
        <f>VLOOKUP(NFLDataSet!E507,RushYards2,2,TRUE)</f>
        <v>Low</v>
      </c>
      <c r="F27" t="str">
        <f>VLOOKUP(NFLDataSet!F507,TurnOverDiff2,2,TRUE)</f>
        <v>Medium</v>
      </c>
      <c r="G27" t="str">
        <f>NFLDataSet!G507</f>
        <v>L</v>
      </c>
    </row>
    <row r="28" spans="1:7" x14ac:dyDescent="0.35">
      <c r="A28" t="str">
        <f>NFLDataSet!A508</f>
        <v>A</v>
      </c>
      <c r="B28" t="str">
        <f>VLOOKUP(NFLDataSet!B508,FirstDownDiff2,2,TRUE)</f>
        <v>Medium</v>
      </c>
      <c r="C28" t="str">
        <f>VLOOKUP(NFLDataSet!C508,TotalYardDiff2,2,TRUE)</f>
        <v>High</v>
      </c>
      <c r="D28" t="str">
        <f>VLOOKUP(NFLDataSet!D508,PassYardsDiff2,2,TRUE)</f>
        <v>High</v>
      </c>
      <c r="E28" t="str">
        <f>VLOOKUP(NFLDataSet!E508,RushYards2,2,TRUE)</f>
        <v>Medium</v>
      </c>
      <c r="F28" t="str">
        <f>VLOOKUP(NFLDataSet!F508,TurnOverDiff2,2,TRUE)</f>
        <v>Medium</v>
      </c>
      <c r="G28" t="str">
        <f>NFLDataSet!G508</f>
        <v>W</v>
      </c>
    </row>
    <row r="29" spans="1:7" x14ac:dyDescent="0.35">
      <c r="A29" t="str">
        <f>NFLDataSet!A509</f>
        <v>A</v>
      </c>
      <c r="B29" t="str">
        <f>VLOOKUP(NFLDataSet!B509,FirstDownDiff2,2,TRUE)</f>
        <v>Low</v>
      </c>
      <c r="C29" t="str">
        <f>VLOOKUP(NFLDataSet!C509,TotalYardDiff2,2,TRUE)</f>
        <v>Low</v>
      </c>
      <c r="D29" t="str">
        <f>VLOOKUP(NFLDataSet!D509,PassYardsDiff2,2,TRUE)</f>
        <v>Low</v>
      </c>
      <c r="E29" t="str">
        <f>VLOOKUP(NFLDataSet!E509,RushYards2,2,TRUE)</f>
        <v>Low</v>
      </c>
      <c r="F29" t="str">
        <f>VLOOKUP(NFLDataSet!F509,TurnOverDiff2,2,TRUE)</f>
        <v>Medium</v>
      </c>
      <c r="G29" t="str">
        <f>NFLDataSet!G509</f>
        <v>L</v>
      </c>
    </row>
    <row r="30" spans="1:7" x14ac:dyDescent="0.35">
      <c r="A30" t="str">
        <f>NFLDataSet!A510</f>
        <v>H</v>
      </c>
      <c r="B30" t="str">
        <f>VLOOKUP(NFLDataSet!B510,FirstDownDiff2,2,TRUE)</f>
        <v>High</v>
      </c>
      <c r="C30" t="str">
        <f>VLOOKUP(NFLDataSet!C510,TotalYardDiff2,2,TRUE)</f>
        <v>Medium</v>
      </c>
      <c r="D30" t="str">
        <f>VLOOKUP(NFLDataSet!D510,PassYardsDiff2,2,TRUE)</f>
        <v>Medium</v>
      </c>
      <c r="E30" t="str">
        <f>VLOOKUP(NFLDataSet!E510,RushYards2,2,TRUE)</f>
        <v>Medium</v>
      </c>
      <c r="F30" t="str">
        <f>VLOOKUP(NFLDataSet!F510,TurnOverDiff2,2,TRUE)</f>
        <v>Medium</v>
      </c>
      <c r="G30" t="str">
        <f>NFLDataSet!G510</f>
        <v>W</v>
      </c>
    </row>
    <row r="31" spans="1:7" x14ac:dyDescent="0.35">
      <c r="A31" t="str">
        <f>NFLDataSet!A511</f>
        <v>A</v>
      </c>
      <c r="B31" t="str">
        <f>VLOOKUP(NFLDataSet!B511,FirstDownDiff2,2,TRUE)</f>
        <v>Medium</v>
      </c>
      <c r="C31" t="str">
        <f>VLOOKUP(NFLDataSet!C511,TotalYardDiff2,2,TRUE)</f>
        <v>Low</v>
      </c>
      <c r="D31" t="str">
        <f>VLOOKUP(NFLDataSet!D511,PassYardsDiff2,2,TRUE)</f>
        <v>Medium</v>
      </c>
      <c r="E31" t="str">
        <f>VLOOKUP(NFLDataSet!E511,RushYards2,2,TRUE)</f>
        <v>Low</v>
      </c>
      <c r="F31" t="str">
        <f>VLOOKUP(NFLDataSet!F511,TurnOverDiff2,2,TRUE)</f>
        <v>Medium</v>
      </c>
      <c r="G31" t="str">
        <f>NFLDataSet!G511</f>
        <v>L</v>
      </c>
    </row>
    <row r="32" spans="1:7" x14ac:dyDescent="0.35">
      <c r="A32" t="str">
        <f>NFLDataSet!A512</f>
        <v>A</v>
      </c>
      <c r="B32" t="str">
        <f>VLOOKUP(NFLDataSet!B512,FirstDownDiff2,2,TRUE)</f>
        <v>Low</v>
      </c>
      <c r="C32" t="str">
        <f>VLOOKUP(NFLDataSet!C512,TotalYardDiff2,2,TRUE)</f>
        <v>Low</v>
      </c>
      <c r="D32" t="str">
        <f>VLOOKUP(NFLDataSet!D512,PassYardsDiff2,2,TRUE)</f>
        <v>Medium</v>
      </c>
      <c r="E32" t="str">
        <f>VLOOKUP(NFLDataSet!E512,RushYards2,2,TRUE)</f>
        <v>Low</v>
      </c>
      <c r="F32" t="str">
        <f>VLOOKUP(NFLDataSet!F512,TurnOverDiff2,2,TRUE)</f>
        <v>Medium</v>
      </c>
      <c r="G32" t="str">
        <f>NFLDataSet!G512</f>
        <v>W</v>
      </c>
    </row>
    <row r="33" spans="1:7" x14ac:dyDescent="0.35">
      <c r="A33" t="str">
        <f>NFLDataSet!A513</f>
        <v>A</v>
      </c>
      <c r="B33" t="str">
        <f>VLOOKUP(NFLDataSet!B513,FirstDownDiff2,2,TRUE)</f>
        <v>Low</v>
      </c>
      <c r="C33" t="str">
        <f>VLOOKUP(NFLDataSet!C513,TotalYardDiff2,2,TRUE)</f>
        <v>Low</v>
      </c>
      <c r="D33" t="str">
        <f>VLOOKUP(NFLDataSet!D513,PassYardsDiff2,2,TRUE)</f>
        <v>Low</v>
      </c>
      <c r="E33" t="str">
        <f>VLOOKUP(NFLDataSet!E513,RushYards2,2,TRUE)</f>
        <v>High</v>
      </c>
      <c r="F33" t="str">
        <f>VLOOKUP(NFLDataSet!F513,TurnOverDiff2,2,TRUE)</f>
        <v>Medium</v>
      </c>
      <c r="G33" t="str">
        <f>NFLDataSet!G513</f>
        <v>W</v>
      </c>
    </row>
    <row r="34" spans="1:7" x14ac:dyDescent="0.35">
      <c r="A34" t="str">
        <f>NFLDataSet!A514</f>
        <v>H</v>
      </c>
      <c r="B34" t="str">
        <f>VLOOKUP(NFLDataSet!B514,FirstDownDiff2,2,TRUE)</f>
        <v>Medium</v>
      </c>
      <c r="C34" t="str">
        <f>VLOOKUP(NFLDataSet!C514,TotalYardDiff2,2,TRUE)</f>
        <v>Medium</v>
      </c>
      <c r="D34" t="str">
        <f>VLOOKUP(NFLDataSet!D514,PassYardsDiff2,2,TRUE)</f>
        <v>Medium</v>
      </c>
      <c r="E34" t="str">
        <f>VLOOKUP(NFLDataSet!E514,RushYards2,2,TRUE)</f>
        <v>Medium</v>
      </c>
      <c r="F34" t="str">
        <f>VLOOKUP(NFLDataSet!F514,TurnOverDiff2,2,TRUE)</f>
        <v>Medium</v>
      </c>
      <c r="G34" t="str">
        <f>NFLDataSet!G514</f>
        <v>W</v>
      </c>
    </row>
    <row r="35" spans="1:7" x14ac:dyDescent="0.35">
      <c r="A35" t="str">
        <f>NFLDataSet!A515</f>
        <v>H</v>
      </c>
      <c r="B35" t="str">
        <f>VLOOKUP(NFLDataSet!B515,FirstDownDiff2,2,TRUE)</f>
        <v>Medium</v>
      </c>
      <c r="C35" t="str">
        <f>VLOOKUP(NFLDataSet!C515,TotalYardDiff2,2,TRUE)</f>
        <v>Low</v>
      </c>
      <c r="D35" t="str">
        <f>VLOOKUP(NFLDataSet!D515,PassYardsDiff2,2,TRUE)</f>
        <v>Low</v>
      </c>
      <c r="E35" t="str">
        <f>VLOOKUP(NFLDataSet!E515,RushYards2,2,TRUE)</f>
        <v>High</v>
      </c>
      <c r="F35" t="str">
        <f>VLOOKUP(NFLDataSet!F515,TurnOverDiff2,2,TRUE)</f>
        <v>Medium</v>
      </c>
      <c r="G35" t="str">
        <f>NFLDataSet!G515</f>
        <v>L</v>
      </c>
    </row>
    <row r="36" spans="1:7" x14ac:dyDescent="0.35">
      <c r="A36" t="str">
        <f>NFLDataSet!A516</f>
        <v>H</v>
      </c>
      <c r="B36" t="str">
        <f>VLOOKUP(NFLDataSet!B516,FirstDownDiff2,2,TRUE)</f>
        <v>Medium</v>
      </c>
      <c r="C36" t="str">
        <f>VLOOKUP(NFLDataSet!C516,TotalYardDiff2,2,TRUE)</f>
        <v>Medium</v>
      </c>
      <c r="D36" t="str">
        <f>VLOOKUP(NFLDataSet!D516,PassYardsDiff2,2,TRUE)</f>
        <v>Medium</v>
      </c>
      <c r="E36" t="str">
        <f>VLOOKUP(NFLDataSet!E516,RushYards2,2,TRUE)</f>
        <v>Medium</v>
      </c>
      <c r="F36" t="str">
        <f>VLOOKUP(NFLDataSet!F516,TurnOverDiff2,2,TRUE)</f>
        <v>Medium</v>
      </c>
      <c r="G36" t="str">
        <f>NFLDataSet!G516</f>
        <v>L</v>
      </c>
    </row>
    <row r="37" spans="1:7" x14ac:dyDescent="0.35">
      <c r="A37" t="str">
        <f>NFLDataSet!A517</f>
        <v>A</v>
      </c>
      <c r="B37" t="str">
        <f>VLOOKUP(NFLDataSet!B517,FirstDownDiff2,2,TRUE)</f>
        <v>Low</v>
      </c>
      <c r="C37" t="str">
        <f>VLOOKUP(NFLDataSet!C517,TotalYardDiff2,2,TRUE)</f>
        <v>Low</v>
      </c>
      <c r="D37" t="str">
        <f>VLOOKUP(NFLDataSet!D517,PassYardsDiff2,2,TRUE)</f>
        <v>Low</v>
      </c>
      <c r="E37" t="str">
        <f>VLOOKUP(NFLDataSet!E517,RushYards2,2,TRUE)</f>
        <v>Medium</v>
      </c>
      <c r="F37" t="str">
        <f>VLOOKUP(NFLDataSet!F517,TurnOverDiff2,2,TRUE)</f>
        <v>Medium</v>
      </c>
      <c r="G37" t="str">
        <f>NFLDataSet!G517</f>
        <v>L</v>
      </c>
    </row>
    <row r="38" spans="1:7" x14ac:dyDescent="0.35">
      <c r="A38" t="str">
        <f>NFLDataSet!A518</f>
        <v>H</v>
      </c>
      <c r="B38" t="str">
        <f>VLOOKUP(NFLDataSet!B518,FirstDownDiff2,2,TRUE)</f>
        <v>Low</v>
      </c>
      <c r="C38" t="str">
        <f>VLOOKUP(NFLDataSet!C518,TotalYardDiff2,2,TRUE)</f>
        <v>Medium</v>
      </c>
      <c r="D38" t="str">
        <f>VLOOKUP(NFLDataSet!D518,PassYardsDiff2,2,TRUE)</f>
        <v>Medium</v>
      </c>
      <c r="E38" t="str">
        <f>VLOOKUP(NFLDataSet!E518,RushYards2,2,TRUE)</f>
        <v>Medium</v>
      </c>
      <c r="F38" t="str">
        <f>VLOOKUP(NFLDataSet!F518,TurnOverDiff2,2,TRUE)</f>
        <v>Medium</v>
      </c>
      <c r="G38" t="str">
        <f>NFLDataSet!G518</f>
        <v>W</v>
      </c>
    </row>
    <row r="39" spans="1:7" x14ac:dyDescent="0.35">
      <c r="A39" t="str">
        <f>NFLDataSet!A519</f>
        <v>H</v>
      </c>
      <c r="B39" t="str">
        <f>VLOOKUP(NFLDataSet!B519,FirstDownDiff2,2,TRUE)</f>
        <v>Medium</v>
      </c>
      <c r="C39" t="str">
        <f>VLOOKUP(NFLDataSet!C519,TotalYardDiff2,2,TRUE)</f>
        <v>Medium</v>
      </c>
      <c r="D39" t="str">
        <f>VLOOKUP(NFLDataSet!D519,PassYardsDiff2,2,TRUE)</f>
        <v>Low</v>
      </c>
      <c r="E39" t="str">
        <f>VLOOKUP(NFLDataSet!E519,RushYards2,2,TRUE)</f>
        <v>High</v>
      </c>
      <c r="F39" t="str">
        <f>VLOOKUP(NFLDataSet!F519,TurnOverDiff2,2,TRUE)</f>
        <v>Medium</v>
      </c>
      <c r="G39" t="str">
        <f>NFLDataSet!G519</f>
        <v>W</v>
      </c>
    </row>
    <row r="40" spans="1:7" x14ac:dyDescent="0.35">
      <c r="A40" t="str">
        <f>NFLDataSet!A520</f>
        <v>H</v>
      </c>
      <c r="B40" t="str">
        <f>VLOOKUP(NFLDataSet!B520,FirstDownDiff2,2,TRUE)</f>
        <v>High</v>
      </c>
      <c r="C40" t="str">
        <f>VLOOKUP(NFLDataSet!C520,TotalYardDiff2,2,TRUE)</f>
        <v>High</v>
      </c>
      <c r="D40" t="str">
        <f>VLOOKUP(NFLDataSet!D520,PassYardsDiff2,2,TRUE)</f>
        <v>High</v>
      </c>
      <c r="E40" t="str">
        <f>VLOOKUP(NFLDataSet!E520,RushYards2,2,TRUE)</f>
        <v>High</v>
      </c>
      <c r="F40" t="str">
        <f>VLOOKUP(NFLDataSet!F520,TurnOverDiff2,2,TRUE)</f>
        <v>High</v>
      </c>
      <c r="G40" t="str">
        <f>NFLDataSet!G520</f>
        <v>W</v>
      </c>
    </row>
    <row r="41" spans="1:7" x14ac:dyDescent="0.35">
      <c r="A41" t="str">
        <f>NFLDataSet!A521</f>
        <v>A</v>
      </c>
      <c r="B41" t="str">
        <f>VLOOKUP(NFLDataSet!B521,FirstDownDiff2,2,TRUE)</f>
        <v>High</v>
      </c>
      <c r="C41" t="str">
        <f>VLOOKUP(NFLDataSet!C521,TotalYardDiff2,2,TRUE)</f>
        <v>High</v>
      </c>
      <c r="D41" t="str">
        <f>VLOOKUP(NFLDataSet!D521,PassYardsDiff2,2,TRUE)</f>
        <v>High</v>
      </c>
      <c r="E41" t="str">
        <f>VLOOKUP(NFLDataSet!E521,RushYards2,2,TRUE)</f>
        <v>High</v>
      </c>
      <c r="F41" t="str">
        <f>VLOOKUP(NFLDataSet!F521,TurnOverDiff2,2,TRUE)</f>
        <v>Medium</v>
      </c>
      <c r="G41" t="str">
        <f>NFLDataSet!G521</f>
        <v>L</v>
      </c>
    </row>
    <row r="42" spans="1:7" x14ac:dyDescent="0.35">
      <c r="A42" t="str">
        <f>NFLDataSet!A522</f>
        <v>H</v>
      </c>
      <c r="B42" t="str">
        <f>VLOOKUP(NFLDataSet!B522,FirstDownDiff2,2,TRUE)</f>
        <v>Medium</v>
      </c>
      <c r="C42" t="str">
        <f>VLOOKUP(NFLDataSet!C522,TotalYardDiff2,2,TRUE)</f>
        <v>Low</v>
      </c>
      <c r="D42" t="str">
        <f>VLOOKUP(NFLDataSet!D522,PassYardsDiff2,2,TRUE)</f>
        <v>Low</v>
      </c>
      <c r="E42" t="str">
        <f>VLOOKUP(NFLDataSet!E522,RushYards2,2,TRUE)</f>
        <v>Medium</v>
      </c>
      <c r="F42" t="str">
        <f>VLOOKUP(NFLDataSet!F522,TurnOverDiff2,2,TRUE)</f>
        <v>Medium</v>
      </c>
      <c r="G42" t="str">
        <f>NFLDataSet!G522</f>
        <v>L</v>
      </c>
    </row>
    <row r="43" spans="1:7" x14ac:dyDescent="0.35">
      <c r="A43" t="str">
        <f>NFLDataSet!A523</f>
        <v>A</v>
      </c>
      <c r="B43" t="str">
        <f>VLOOKUP(NFLDataSet!B523,FirstDownDiff2,2,TRUE)</f>
        <v>Medium</v>
      </c>
      <c r="C43" t="str">
        <f>VLOOKUP(NFLDataSet!C523,TotalYardDiff2,2,TRUE)</f>
        <v>High</v>
      </c>
      <c r="D43" t="str">
        <f>VLOOKUP(NFLDataSet!D523,PassYardsDiff2,2,TRUE)</f>
        <v>Medium</v>
      </c>
      <c r="E43" t="str">
        <f>VLOOKUP(NFLDataSet!E523,RushYards2,2,TRUE)</f>
        <v>High</v>
      </c>
      <c r="F43" t="str">
        <f>VLOOKUP(NFLDataSet!F523,TurnOverDiff2,2,TRUE)</f>
        <v>Medium</v>
      </c>
      <c r="G43" t="str">
        <f>NFLDataSet!G523</f>
        <v>W</v>
      </c>
    </row>
    <row r="44" spans="1:7" x14ac:dyDescent="0.35">
      <c r="A44" t="str">
        <f>NFLDataSet!A524</f>
        <v>A</v>
      </c>
      <c r="B44" t="str">
        <f>VLOOKUP(NFLDataSet!B524,FirstDownDiff2,2,TRUE)</f>
        <v>Medium</v>
      </c>
      <c r="C44" t="str">
        <f>VLOOKUP(NFLDataSet!C524,TotalYardDiff2,2,TRUE)</f>
        <v>Medium</v>
      </c>
      <c r="D44" t="str">
        <f>VLOOKUP(NFLDataSet!D524,PassYardsDiff2,2,TRUE)</f>
        <v>Medium</v>
      </c>
      <c r="E44" t="str">
        <f>VLOOKUP(NFLDataSet!E524,RushYards2,2,TRUE)</f>
        <v>Medium</v>
      </c>
      <c r="F44" t="str">
        <f>VLOOKUP(NFLDataSet!F524,TurnOverDiff2,2,TRUE)</f>
        <v>Medium</v>
      </c>
      <c r="G44" t="str">
        <f>NFLDataSet!G524</f>
        <v>W</v>
      </c>
    </row>
    <row r="45" spans="1:7" x14ac:dyDescent="0.35">
      <c r="A45" t="str">
        <f>NFLDataSet!A525</f>
        <v>A</v>
      </c>
      <c r="B45" t="str">
        <f>VLOOKUP(NFLDataSet!B525,FirstDownDiff2,2,TRUE)</f>
        <v>Low</v>
      </c>
      <c r="C45" t="str">
        <f>VLOOKUP(NFLDataSet!C525,TotalYardDiff2,2,TRUE)</f>
        <v>Medium</v>
      </c>
      <c r="D45" t="str">
        <f>VLOOKUP(NFLDataSet!D525,PassYardsDiff2,2,TRUE)</f>
        <v>Low</v>
      </c>
      <c r="E45" t="str">
        <f>VLOOKUP(NFLDataSet!E525,RushYards2,2,TRUE)</f>
        <v>Medium</v>
      </c>
      <c r="F45" t="str">
        <f>VLOOKUP(NFLDataSet!F525,TurnOverDiff2,2,TRUE)</f>
        <v>Medium</v>
      </c>
      <c r="G45" t="str">
        <f>NFLDataSet!G525</f>
        <v>W</v>
      </c>
    </row>
    <row r="46" spans="1:7" x14ac:dyDescent="0.35">
      <c r="A46" t="str">
        <f>NFLDataSet!A526</f>
        <v>A</v>
      </c>
      <c r="B46" t="str">
        <f>VLOOKUP(NFLDataSet!B526,FirstDownDiff2,2,TRUE)</f>
        <v>Medium</v>
      </c>
      <c r="C46" t="str">
        <f>VLOOKUP(NFLDataSet!C526,TotalYardDiff2,2,TRUE)</f>
        <v>Medium</v>
      </c>
      <c r="D46" t="str">
        <f>VLOOKUP(NFLDataSet!D526,PassYardsDiff2,2,TRUE)</f>
        <v>Medium</v>
      </c>
      <c r="E46" t="str">
        <f>VLOOKUP(NFLDataSet!E526,RushYards2,2,TRUE)</f>
        <v>Medium</v>
      </c>
      <c r="F46" t="str">
        <f>VLOOKUP(NFLDataSet!F526,TurnOverDiff2,2,TRUE)</f>
        <v>Medium</v>
      </c>
      <c r="G46" t="str">
        <f>NFLDataSet!G526</f>
        <v>W</v>
      </c>
    </row>
    <row r="47" spans="1:7" x14ac:dyDescent="0.35">
      <c r="A47" t="str">
        <f>NFLDataSet!A527</f>
        <v>A</v>
      </c>
      <c r="B47" t="str">
        <f>VLOOKUP(NFLDataSet!B527,FirstDownDiff2,2,TRUE)</f>
        <v>Medium</v>
      </c>
      <c r="C47" t="str">
        <f>VLOOKUP(NFLDataSet!C527,TotalYardDiff2,2,TRUE)</f>
        <v>High</v>
      </c>
      <c r="D47" t="str">
        <f>VLOOKUP(NFLDataSet!D527,PassYardsDiff2,2,TRUE)</f>
        <v>Medium</v>
      </c>
      <c r="E47" t="str">
        <f>VLOOKUP(NFLDataSet!E527,RushYards2,2,TRUE)</f>
        <v>High</v>
      </c>
      <c r="F47" t="str">
        <f>VLOOKUP(NFLDataSet!F527,TurnOverDiff2,2,TRUE)</f>
        <v>Low</v>
      </c>
      <c r="G47" t="str">
        <f>NFLDataSet!G527</f>
        <v>W</v>
      </c>
    </row>
    <row r="48" spans="1:7" x14ac:dyDescent="0.35">
      <c r="A48" t="str">
        <f>NFLDataSet!A528</f>
        <v>A</v>
      </c>
      <c r="B48" t="str">
        <f>VLOOKUP(NFLDataSet!B528,FirstDownDiff2,2,TRUE)</f>
        <v>Low</v>
      </c>
      <c r="C48" t="str">
        <f>VLOOKUP(NFLDataSet!C528,TotalYardDiff2,2,TRUE)</f>
        <v>Low</v>
      </c>
      <c r="D48" t="str">
        <f>VLOOKUP(NFLDataSet!D528,PassYardsDiff2,2,TRUE)</f>
        <v>Low</v>
      </c>
      <c r="E48" t="str">
        <f>VLOOKUP(NFLDataSet!E528,RushYards2,2,TRUE)</f>
        <v>Medium</v>
      </c>
      <c r="F48" t="str">
        <f>VLOOKUP(NFLDataSet!F528,TurnOverDiff2,2,TRUE)</f>
        <v>Medium</v>
      </c>
      <c r="G48" t="str">
        <f>NFLDataSet!G528</f>
        <v>W</v>
      </c>
    </row>
    <row r="49" spans="1:7" x14ac:dyDescent="0.35">
      <c r="A49" t="str">
        <f>NFLDataSet!A529</f>
        <v>H</v>
      </c>
      <c r="B49" t="str">
        <f>VLOOKUP(NFLDataSet!B529,FirstDownDiff2,2,TRUE)</f>
        <v>High</v>
      </c>
      <c r="C49" t="str">
        <f>VLOOKUP(NFLDataSet!C529,TotalYardDiff2,2,TRUE)</f>
        <v>High</v>
      </c>
      <c r="D49" t="str">
        <f>VLOOKUP(NFLDataSet!D529,PassYardsDiff2,2,TRUE)</f>
        <v>Medium</v>
      </c>
      <c r="E49" t="str">
        <f>VLOOKUP(NFLDataSet!E529,RushYards2,2,TRUE)</f>
        <v>High</v>
      </c>
      <c r="F49" t="str">
        <f>VLOOKUP(NFLDataSet!F529,TurnOverDiff2,2,TRUE)</f>
        <v>Medium</v>
      </c>
      <c r="G49" t="str">
        <f>NFLDataSet!G529</f>
        <v>W</v>
      </c>
    </row>
    <row r="50" spans="1:7" x14ac:dyDescent="0.35">
      <c r="A50" t="str">
        <f>NFLDataSet!A530</f>
        <v>A</v>
      </c>
      <c r="B50" t="str">
        <f>VLOOKUP(NFLDataSet!B530,FirstDownDiff2,2,TRUE)</f>
        <v>Low</v>
      </c>
      <c r="C50" t="str">
        <f>VLOOKUP(NFLDataSet!C530,TotalYardDiff2,2,TRUE)</f>
        <v>Low</v>
      </c>
      <c r="D50" t="str">
        <f>VLOOKUP(NFLDataSet!D530,PassYardsDiff2,2,TRUE)</f>
        <v>Low</v>
      </c>
      <c r="E50" t="str">
        <f>VLOOKUP(NFLDataSet!E530,RushYards2,2,TRUE)</f>
        <v>Low</v>
      </c>
      <c r="F50" t="str">
        <f>VLOOKUP(NFLDataSet!F530,TurnOverDiff2,2,TRUE)</f>
        <v>Medium</v>
      </c>
      <c r="G50" t="str">
        <f>NFLDataSet!G530</f>
        <v>W</v>
      </c>
    </row>
    <row r="51" spans="1:7" x14ac:dyDescent="0.35">
      <c r="A51" t="str">
        <f>NFLDataSet!A531</f>
        <v>H</v>
      </c>
      <c r="B51" t="str">
        <f>VLOOKUP(NFLDataSet!B531,FirstDownDiff2,2,TRUE)</f>
        <v>Medium</v>
      </c>
      <c r="C51" t="str">
        <f>VLOOKUP(NFLDataSet!C531,TotalYardDiff2,2,TRUE)</f>
        <v>Low</v>
      </c>
      <c r="D51" t="str">
        <f>VLOOKUP(NFLDataSet!D531,PassYardsDiff2,2,TRUE)</f>
        <v>Medium</v>
      </c>
      <c r="E51" t="str">
        <f>VLOOKUP(NFLDataSet!E531,RushYards2,2,TRUE)</f>
        <v>Low</v>
      </c>
      <c r="F51" t="str">
        <f>VLOOKUP(NFLDataSet!F531,TurnOverDiff2,2,TRUE)</f>
        <v>Medium</v>
      </c>
      <c r="G51" t="str">
        <f>NFLDataSet!G531</f>
        <v>L</v>
      </c>
    </row>
    <row r="52" spans="1:7" x14ac:dyDescent="0.35">
      <c r="A52" t="str">
        <f>NFLDataSet!A532</f>
        <v>A</v>
      </c>
      <c r="B52" t="str">
        <f>VLOOKUP(NFLDataSet!B532,FirstDownDiff2,2,TRUE)</f>
        <v>Medium</v>
      </c>
      <c r="C52" t="str">
        <f>VLOOKUP(NFLDataSet!C532,TotalYardDiff2,2,TRUE)</f>
        <v>High</v>
      </c>
      <c r="D52" t="str">
        <f>VLOOKUP(NFLDataSet!D532,PassYardsDiff2,2,TRUE)</f>
        <v>High</v>
      </c>
      <c r="E52" t="str">
        <f>VLOOKUP(NFLDataSet!E532,RushYards2,2,TRUE)</f>
        <v>Medium</v>
      </c>
      <c r="F52" t="str">
        <f>VLOOKUP(NFLDataSet!F532,TurnOverDiff2,2,TRUE)</f>
        <v>Medium</v>
      </c>
      <c r="G52" t="str">
        <f>NFLDataSet!G532</f>
        <v>L</v>
      </c>
    </row>
    <row r="53" spans="1:7" x14ac:dyDescent="0.35">
      <c r="A53" t="str">
        <f>NFLDataSet!A533</f>
        <v>H</v>
      </c>
      <c r="B53" t="str">
        <f>VLOOKUP(NFLDataSet!B533,FirstDownDiff2,2,TRUE)</f>
        <v>High</v>
      </c>
      <c r="C53" t="str">
        <f>VLOOKUP(NFLDataSet!C533,TotalYardDiff2,2,TRUE)</f>
        <v>High</v>
      </c>
      <c r="D53" t="str">
        <f>VLOOKUP(NFLDataSet!D533,PassYardsDiff2,2,TRUE)</f>
        <v>Medium</v>
      </c>
      <c r="E53" t="str">
        <f>VLOOKUP(NFLDataSet!E533,RushYards2,2,TRUE)</f>
        <v>High</v>
      </c>
      <c r="F53" t="str">
        <f>VLOOKUP(NFLDataSet!F533,TurnOverDiff2,2,TRUE)</f>
        <v>Medium</v>
      </c>
      <c r="G53" t="str">
        <f>NFLDataSet!G533</f>
        <v>W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abSelected="1" topLeftCell="A34" workbookViewId="0">
      <selection activeCell="R48" sqref="R48"/>
    </sheetView>
  </sheetViews>
  <sheetFormatPr defaultRowHeight="14.5" x14ac:dyDescent="0.35"/>
  <sheetData>
    <row r="1" spans="1:16" ht="29" x14ac:dyDescent="0.35"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</row>
    <row r="2" spans="1:16" x14ac:dyDescent="0.35">
      <c r="A2" t="s">
        <v>31</v>
      </c>
      <c r="B2" t="s">
        <v>32</v>
      </c>
      <c r="C2">
        <v>-19</v>
      </c>
      <c r="D2">
        <v>-443</v>
      </c>
      <c r="E2">
        <v>-293</v>
      </c>
      <c r="F2">
        <v>-263</v>
      </c>
      <c r="G2">
        <v>-6</v>
      </c>
    </row>
    <row r="3" spans="1:16" x14ac:dyDescent="0.35">
      <c r="A3" t="s">
        <v>35</v>
      </c>
      <c r="B3" t="s">
        <v>36</v>
      </c>
      <c r="C3">
        <v>0</v>
      </c>
      <c r="D3">
        <v>0</v>
      </c>
      <c r="E3">
        <v>0</v>
      </c>
      <c r="F3">
        <v>0</v>
      </c>
      <c r="G3">
        <v>0</v>
      </c>
    </row>
    <row r="4" spans="1:16" x14ac:dyDescent="0.35">
      <c r="A4" t="s">
        <v>39</v>
      </c>
      <c r="B4" t="s">
        <v>40</v>
      </c>
      <c r="C4">
        <v>19</v>
      </c>
      <c r="D4">
        <v>443</v>
      </c>
      <c r="E4">
        <v>293</v>
      </c>
      <c r="F4">
        <v>263</v>
      </c>
      <c r="G4">
        <v>6</v>
      </c>
    </row>
    <row r="6" spans="1:16" x14ac:dyDescent="0.35">
      <c r="A6">
        <v>-500</v>
      </c>
      <c r="B6" t="s">
        <v>31</v>
      </c>
      <c r="D6">
        <v>-500</v>
      </c>
      <c r="E6" t="s">
        <v>31</v>
      </c>
      <c r="G6">
        <v>-500</v>
      </c>
      <c r="H6" t="s">
        <v>31</v>
      </c>
      <c r="J6">
        <v>-500</v>
      </c>
      <c r="K6" t="s">
        <v>31</v>
      </c>
      <c r="M6">
        <v>-500</v>
      </c>
      <c r="N6" t="s">
        <v>31</v>
      </c>
    </row>
    <row r="7" spans="1:16" x14ac:dyDescent="0.35">
      <c r="A7">
        <v>-5.75</v>
      </c>
      <c r="B7" t="s">
        <v>35</v>
      </c>
      <c r="D7">
        <v>-78.75</v>
      </c>
      <c r="E7" t="s">
        <v>35</v>
      </c>
      <c r="G7">
        <v>-71</v>
      </c>
      <c r="H7" t="s">
        <v>35</v>
      </c>
      <c r="J7">
        <v>-54</v>
      </c>
      <c r="K7" t="s">
        <v>35</v>
      </c>
      <c r="M7">
        <v>-3</v>
      </c>
      <c r="N7" t="s">
        <v>35</v>
      </c>
    </row>
    <row r="8" spans="1:16" x14ac:dyDescent="0.35">
      <c r="A8">
        <v>5.75</v>
      </c>
      <c r="B8" t="s">
        <v>39</v>
      </c>
      <c r="D8">
        <v>78.75</v>
      </c>
      <c r="E8" t="s">
        <v>39</v>
      </c>
      <c r="G8">
        <v>71</v>
      </c>
      <c r="H8" t="s">
        <v>39</v>
      </c>
      <c r="J8">
        <v>54</v>
      </c>
      <c r="K8" t="s">
        <v>39</v>
      </c>
      <c r="M8">
        <v>3</v>
      </c>
      <c r="N8" t="s">
        <v>39</v>
      </c>
    </row>
    <row r="9" spans="1:16" x14ac:dyDescent="0.35">
      <c r="A9">
        <v>19</v>
      </c>
      <c r="D9">
        <v>443</v>
      </c>
      <c r="G9">
        <v>293</v>
      </c>
      <c r="J9">
        <v>263</v>
      </c>
      <c r="M9">
        <v>6</v>
      </c>
    </row>
    <row r="12" spans="1:16" x14ac:dyDescent="0.35">
      <c r="A12">
        <v>-500</v>
      </c>
      <c r="B12" t="s">
        <v>31</v>
      </c>
      <c r="D12">
        <v>-500</v>
      </c>
      <c r="E12" t="s">
        <v>31</v>
      </c>
      <c r="G12">
        <v>-500</v>
      </c>
      <c r="H12" t="s">
        <v>31</v>
      </c>
      <c r="J12">
        <v>-500</v>
      </c>
      <c r="K12" t="s">
        <v>31</v>
      </c>
      <c r="M12">
        <v>-500</v>
      </c>
      <c r="N12" t="s">
        <v>31</v>
      </c>
    </row>
    <row r="13" spans="1:16" x14ac:dyDescent="0.35">
      <c r="A13">
        <v>-5.75</v>
      </c>
      <c r="B13" t="s">
        <v>35</v>
      </c>
      <c r="D13">
        <v>-78.75</v>
      </c>
      <c r="E13" t="s">
        <v>35</v>
      </c>
      <c r="G13">
        <v>-71</v>
      </c>
      <c r="H13" t="s">
        <v>35</v>
      </c>
      <c r="J13">
        <v>-54</v>
      </c>
      <c r="K13" t="s">
        <v>35</v>
      </c>
      <c r="M13">
        <v>-1</v>
      </c>
      <c r="N13" t="s">
        <v>35</v>
      </c>
      <c r="P13">
        <v>79</v>
      </c>
    </row>
    <row r="14" spans="1:16" x14ac:dyDescent="0.35">
      <c r="A14">
        <v>5.75</v>
      </c>
      <c r="B14" t="s">
        <v>39</v>
      </c>
      <c r="D14">
        <v>78.75</v>
      </c>
      <c r="E14" t="s">
        <v>39</v>
      </c>
      <c r="G14">
        <v>71</v>
      </c>
      <c r="H14" t="s">
        <v>39</v>
      </c>
      <c r="J14">
        <v>54</v>
      </c>
      <c r="K14" t="s">
        <v>39</v>
      </c>
      <c r="M14">
        <v>1</v>
      </c>
      <c r="N14" t="s">
        <v>39</v>
      </c>
    </row>
    <row r="15" spans="1:16" x14ac:dyDescent="0.35">
      <c r="A15">
        <v>19</v>
      </c>
      <c r="D15">
        <v>443</v>
      </c>
      <c r="G15">
        <v>293</v>
      </c>
      <c r="J15">
        <v>263</v>
      </c>
      <c r="M15">
        <v>6</v>
      </c>
    </row>
    <row r="17" spans="1:16" x14ac:dyDescent="0.35">
      <c r="A17">
        <v>-500</v>
      </c>
      <c r="B17" t="s">
        <v>31</v>
      </c>
      <c r="D17">
        <v>-500</v>
      </c>
      <c r="E17" t="s">
        <v>31</v>
      </c>
      <c r="G17">
        <v>-500</v>
      </c>
      <c r="H17" t="s">
        <v>31</v>
      </c>
      <c r="J17">
        <v>-500</v>
      </c>
      <c r="K17" t="s">
        <v>31</v>
      </c>
      <c r="M17">
        <v>-500</v>
      </c>
      <c r="N17" t="s">
        <v>31</v>
      </c>
    </row>
    <row r="18" spans="1:16" x14ac:dyDescent="0.35">
      <c r="A18">
        <v>-5</v>
      </c>
      <c r="B18" t="s">
        <v>35</v>
      </c>
      <c r="D18">
        <v>-70</v>
      </c>
      <c r="E18" t="s">
        <v>35</v>
      </c>
      <c r="G18">
        <v>-65</v>
      </c>
      <c r="H18" t="s">
        <v>35</v>
      </c>
      <c r="J18">
        <v>-50</v>
      </c>
      <c r="K18" t="s">
        <v>35</v>
      </c>
      <c r="M18">
        <v>-2</v>
      </c>
      <c r="N18" t="s">
        <v>35</v>
      </c>
      <c r="P18">
        <v>77</v>
      </c>
    </row>
    <row r="19" spans="1:16" x14ac:dyDescent="0.35">
      <c r="A19">
        <v>5</v>
      </c>
      <c r="B19" t="s">
        <v>39</v>
      </c>
      <c r="D19">
        <v>70</v>
      </c>
      <c r="E19" t="s">
        <v>39</v>
      </c>
      <c r="G19">
        <v>65</v>
      </c>
      <c r="H19" t="s">
        <v>39</v>
      </c>
      <c r="J19">
        <v>50</v>
      </c>
      <c r="K19" t="s">
        <v>39</v>
      </c>
      <c r="M19">
        <v>2</v>
      </c>
      <c r="N19" t="s">
        <v>39</v>
      </c>
    </row>
    <row r="20" spans="1:16" x14ac:dyDescent="0.35">
      <c r="A20">
        <v>19</v>
      </c>
      <c r="D20">
        <v>443</v>
      </c>
      <c r="G20">
        <v>293</v>
      </c>
      <c r="J20">
        <v>263</v>
      </c>
      <c r="M20">
        <v>6</v>
      </c>
    </row>
    <row r="22" spans="1:16" x14ac:dyDescent="0.35">
      <c r="A22">
        <v>-500</v>
      </c>
      <c r="B22" t="s">
        <v>31</v>
      </c>
      <c r="D22">
        <v>-500</v>
      </c>
      <c r="E22" t="s">
        <v>31</v>
      </c>
      <c r="G22">
        <v>-500</v>
      </c>
      <c r="H22" t="s">
        <v>31</v>
      </c>
      <c r="J22">
        <v>-500</v>
      </c>
      <c r="K22" t="s">
        <v>31</v>
      </c>
      <c r="M22">
        <v>-500</v>
      </c>
      <c r="N22" t="s">
        <v>31</v>
      </c>
    </row>
    <row r="23" spans="1:16" x14ac:dyDescent="0.35">
      <c r="A23">
        <v>-6</v>
      </c>
      <c r="B23" t="s">
        <v>35</v>
      </c>
      <c r="D23">
        <v>-80</v>
      </c>
      <c r="E23" t="s">
        <v>35</v>
      </c>
      <c r="G23">
        <v>-75</v>
      </c>
      <c r="H23" t="s">
        <v>35</v>
      </c>
      <c r="J23">
        <v>-60</v>
      </c>
      <c r="K23" t="s">
        <v>35</v>
      </c>
      <c r="M23">
        <v>-0.5</v>
      </c>
      <c r="N23" t="s">
        <v>35</v>
      </c>
      <c r="P23">
        <v>73</v>
      </c>
    </row>
    <row r="24" spans="1:16" x14ac:dyDescent="0.35">
      <c r="A24">
        <v>6</v>
      </c>
      <c r="B24" t="s">
        <v>39</v>
      </c>
      <c r="D24">
        <v>80</v>
      </c>
      <c r="E24" t="s">
        <v>39</v>
      </c>
      <c r="G24">
        <v>75</v>
      </c>
      <c r="H24" t="s">
        <v>39</v>
      </c>
      <c r="J24">
        <v>60</v>
      </c>
      <c r="K24" t="s">
        <v>39</v>
      </c>
      <c r="M24">
        <v>0.5</v>
      </c>
      <c r="N24" t="s">
        <v>39</v>
      </c>
    </row>
    <row r="25" spans="1:16" x14ac:dyDescent="0.35">
      <c r="A25">
        <v>19</v>
      </c>
      <c r="D25">
        <v>443</v>
      </c>
      <c r="G25">
        <v>293</v>
      </c>
      <c r="J25">
        <v>263</v>
      </c>
      <c r="M25">
        <v>6</v>
      </c>
    </row>
    <row r="27" spans="1:16" x14ac:dyDescent="0.35">
      <c r="A27">
        <v>-500</v>
      </c>
      <c r="B27" t="s">
        <v>31</v>
      </c>
      <c r="D27">
        <v>-500</v>
      </c>
      <c r="E27" t="s">
        <v>31</v>
      </c>
      <c r="G27">
        <v>-500</v>
      </c>
      <c r="H27" t="s">
        <v>31</v>
      </c>
      <c r="J27">
        <v>-500</v>
      </c>
      <c r="K27" t="s">
        <v>31</v>
      </c>
      <c r="M27">
        <v>-500</v>
      </c>
      <c r="N27" t="s">
        <v>31</v>
      </c>
    </row>
    <row r="28" spans="1:16" x14ac:dyDescent="0.35">
      <c r="A28">
        <v>-5.4</v>
      </c>
      <c r="B28" t="s">
        <v>35</v>
      </c>
      <c r="D28">
        <v>-74</v>
      </c>
      <c r="E28" t="s">
        <v>35</v>
      </c>
      <c r="G28">
        <v>-68</v>
      </c>
      <c r="H28" t="s">
        <v>35</v>
      </c>
      <c r="J28">
        <v>-52</v>
      </c>
      <c r="K28" t="s">
        <v>35</v>
      </c>
      <c r="M28">
        <v>-1.5</v>
      </c>
      <c r="N28" t="s">
        <v>35</v>
      </c>
      <c r="P28">
        <v>77</v>
      </c>
    </row>
    <row r="29" spans="1:16" x14ac:dyDescent="0.35">
      <c r="A29">
        <v>5.4</v>
      </c>
      <c r="B29" t="s">
        <v>39</v>
      </c>
      <c r="D29">
        <v>74</v>
      </c>
      <c r="E29" t="s">
        <v>39</v>
      </c>
      <c r="G29">
        <v>68</v>
      </c>
      <c r="H29" t="s">
        <v>39</v>
      </c>
      <c r="J29">
        <v>52</v>
      </c>
      <c r="K29" t="s">
        <v>39</v>
      </c>
      <c r="M29">
        <v>1.5</v>
      </c>
      <c r="N29" t="s">
        <v>39</v>
      </c>
    </row>
    <row r="30" spans="1:16" x14ac:dyDescent="0.35">
      <c r="A30">
        <v>19</v>
      </c>
      <c r="D30">
        <v>443</v>
      </c>
      <c r="G30">
        <v>293</v>
      </c>
      <c r="J30">
        <v>263</v>
      </c>
      <c r="M30">
        <v>6</v>
      </c>
    </row>
    <row r="32" spans="1:16" x14ac:dyDescent="0.35">
      <c r="A32">
        <v>-500</v>
      </c>
      <c r="B32" t="s">
        <v>31</v>
      </c>
      <c r="D32">
        <v>-500</v>
      </c>
      <c r="E32" t="s">
        <v>31</v>
      </c>
      <c r="G32">
        <v>-500</v>
      </c>
      <c r="H32" t="s">
        <v>31</v>
      </c>
      <c r="J32">
        <v>-500</v>
      </c>
      <c r="K32" t="s">
        <v>31</v>
      </c>
      <c r="M32">
        <v>-500</v>
      </c>
      <c r="N32" t="s">
        <v>31</v>
      </c>
    </row>
    <row r="33" spans="1:16" x14ac:dyDescent="0.35">
      <c r="A33">
        <v>-5.6</v>
      </c>
      <c r="B33" t="s">
        <v>35</v>
      </c>
      <c r="D33">
        <v>-77</v>
      </c>
      <c r="E33" t="s">
        <v>35</v>
      </c>
      <c r="G33">
        <v>-70</v>
      </c>
      <c r="H33" t="s">
        <v>35</v>
      </c>
      <c r="J33">
        <v>-54</v>
      </c>
      <c r="K33" t="s">
        <v>35</v>
      </c>
      <c r="M33">
        <v>-1</v>
      </c>
      <c r="N33" t="s">
        <v>35</v>
      </c>
      <c r="P33">
        <v>79</v>
      </c>
    </row>
    <row r="34" spans="1:16" x14ac:dyDescent="0.35">
      <c r="A34">
        <v>5.6</v>
      </c>
      <c r="B34" t="s">
        <v>39</v>
      </c>
      <c r="D34">
        <v>77</v>
      </c>
      <c r="E34" t="s">
        <v>39</v>
      </c>
      <c r="G34">
        <v>70</v>
      </c>
      <c r="H34" t="s">
        <v>39</v>
      </c>
      <c r="J34">
        <v>54</v>
      </c>
      <c r="K34" t="s">
        <v>39</v>
      </c>
      <c r="M34">
        <v>1</v>
      </c>
      <c r="N34" t="s">
        <v>39</v>
      </c>
    </row>
    <row r="35" spans="1:16" x14ac:dyDescent="0.35">
      <c r="A35">
        <v>19</v>
      </c>
      <c r="D35">
        <v>443</v>
      </c>
      <c r="G35">
        <v>293</v>
      </c>
      <c r="J35">
        <v>263</v>
      </c>
      <c r="M35">
        <v>6</v>
      </c>
    </row>
    <row r="37" spans="1:16" x14ac:dyDescent="0.35">
      <c r="A37">
        <v>-500</v>
      </c>
      <c r="B37" t="s">
        <v>31</v>
      </c>
      <c r="D37">
        <v>-500</v>
      </c>
      <c r="E37" t="s">
        <v>31</v>
      </c>
      <c r="G37">
        <v>-500</v>
      </c>
      <c r="H37" t="s">
        <v>31</v>
      </c>
      <c r="J37">
        <v>-500</v>
      </c>
      <c r="K37" t="s">
        <v>31</v>
      </c>
      <c r="M37">
        <v>-500</v>
      </c>
      <c r="N37" t="s">
        <v>31</v>
      </c>
      <c r="P37">
        <v>79.2</v>
      </c>
    </row>
    <row r="38" spans="1:16" x14ac:dyDescent="0.35">
      <c r="A38">
        <v>-5.75</v>
      </c>
      <c r="B38" t="s">
        <v>35</v>
      </c>
      <c r="D38">
        <v>-70</v>
      </c>
      <c r="E38" t="s">
        <v>35</v>
      </c>
      <c r="G38">
        <v>-71</v>
      </c>
      <c r="H38" t="s">
        <v>35</v>
      </c>
      <c r="J38">
        <v>-54</v>
      </c>
      <c r="K38" t="s">
        <v>35</v>
      </c>
      <c r="M38">
        <v>-1</v>
      </c>
      <c r="N38" t="s">
        <v>35</v>
      </c>
    </row>
    <row r="39" spans="1:16" x14ac:dyDescent="0.35">
      <c r="A39">
        <v>5.75</v>
      </c>
      <c r="B39" t="s">
        <v>39</v>
      </c>
      <c r="D39">
        <v>70</v>
      </c>
      <c r="E39" t="s">
        <v>39</v>
      </c>
      <c r="G39">
        <v>71</v>
      </c>
      <c r="H39" t="s">
        <v>39</v>
      </c>
      <c r="J39">
        <v>54</v>
      </c>
      <c r="K39" t="s">
        <v>39</v>
      </c>
      <c r="M39">
        <v>1</v>
      </c>
      <c r="N39" t="s">
        <v>39</v>
      </c>
    </row>
    <row r="40" spans="1:16" x14ac:dyDescent="0.35">
      <c r="A40">
        <v>19</v>
      </c>
      <c r="D40">
        <v>443</v>
      </c>
      <c r="G40">
        <v>293</v>
      </c>
      <c r="J40">
        <v>263</v>
      </c>
      <c r="M40">
        <v>6</v>
      </c>
    </row>
    <row r="42" spans="1:16" x14ac:dyDescent="0.35">
      <c r="A42">
        <v>-500</v>
      </c>
      <c r="B42" t="s">
        <v>31</v>
      </c>
      <c r="D42">
        <v>-500</v>
      </c>
      <c r="E42" t="s">
        <v>31</v>
      </c>
      <c r="G42">
        <v>-500</v>
      </c>
      <c r="H42" t="s">
        <v>31</v>
      </c>
      <c r="J42">
        <v>-500</v>
      </c>
      <c r="K42" t="s">
        <v>31</v>
      </c>
      <c r="M42">
        <v>-500</v>
      </c>
      <c r="N42" t="s">
        <v>31</v>
      </c>
    </row>
    <row r="43" spans="1:16" x14ac:dyDescent="0.35">
      <c r="A43">
        <v>-6.75</v>
      </c>
      <c r="B43" t="s">
        <v>35</v>
      </c>
      <c r="D43">
        <v>-78.75</v>
      </c>
      <c r="E43" t="s">
        <v>35</v>
      </c>
      <c r="G43">
        <v>-71</v>
      </c>
      <c r="H43" t="s">
        <v>35</v>
      </c>
      <c r="J43">
        <v>-54</v>
      </c>
      <c r="K43" t="s">
        <v>35</v>
      </c>
      <c r="M43">
        <v>-1</v>
      </c>
      <c r="N43" t="s">
        <v>35</v>
      </c>
      <c r="P43">
        <v>79.2</v>
      </c>
    </row>
    <row r="44" spans="1:16" x14ac:dyDescent="0.35">
      <c r="A44">
        <v>6.75</v>
      </c>
      <c r="B44" t="s">
        <v>39</v>
      </c>
      <c r="D44">
        <v>78.75</v>
      </c>
      <c r="E44" t="s">
        <v>39</v>
      </c>
      <c r="G44">
        <v>71</v>
      </c>
      <c r="H44" t="s">
        <v>39</v>
      </c>
      <c r="J44">
        <v>54</v>
      </c>
      <c r="K44" t="s">
        <v>39</v>
      </c>
      <c r="M44">
        <v>1</v>
      </c>
      <c r="N44" t="s">
        <v>39</v>
      </c>
    </row>
    <row r="45" spans="1:16" x14ac:dyDescent="0.35">
      <c r="A45">
        <v>19</v>
      </c>
      <c r="D45">
        <v>443</v>
      </c>
      <c r="G45">
        <v>293</v>
      </c>
      <c r="J45">
        <v>263</v>
      </c>
      <c r="M45">
        <v>6</v>
      </c>
    </row>
    <row r="47" spans="1:16" x14ac:dyDescent="0.35">
      <c r="A47">
        <v>-500</v>
      </c>
      <c r="B47" t="s">
        <v>31</v>
      </c>
      <c r="D47">
        <v>-500</v>
      </c>
      <c r="E47" t="s">
        <v>31</v>
      </c>
      <c r="G47">
        <v>-500</v>
      </c>
      <c r="H47" t="s">
        <v>31</v>
      </c>
      <c r="J47">
        <v>-500</v>
      </c>
      <c r="K47" t="s">
        <v>31</v>
      </c>
      <c r="M47">
        <v>-500</v>
      </c>
      <c r="N47" t="s">
        <v>31</v>
      </c>
    </row>
    <row r="48" spans="1:16" x14ac:dyDescent="0.35">
      <c r="A48">
        <v>-5.75</v>
      </c>
      <c r="B48" t="s">
        <v>35</v>
      </c>
      <c r="D48">
        <v>-78.75</v>
      </c>
      <c r="E48" t="s">
        <v>35</v>
      </c>
      <c r="G48">
        <v>-71</v>
      </c>
      <c r="H48" t="s">
        <v>35</v>
      </c>
      <c r="J48">
        <v>-54</v>
      </c>
      <c r="K48" t="s">
        <v>35</v>
      </c>
      <c r="M48">
        <v>-3</v>
      </c>
      <c r="N48" t="s">
        <v>35</v>
      </c>
      <c r="P48">
        <v>77</v>
      </c>
    </row>
    <row r="49" spans="1:14" x14ac:dyDescent="0.35">
      <c r="A49">
        <v>5.75</v>
      </c>
      <c r="B49" t="s">
        <v>39</v>
      </c>
      <c r="D49">
        <v>78.75</v>
      </c>
      <c r="E49" t="s">
        <v>39</v>
      </c>
      <c r="G49">
        <v>71</v>
      </c>
      <c r="H49" t="s">
        <v>39</v>
      </c>
      <c r="J49">
        <v>54</v>
      </c>
      <c r="K49" t="s">
        <v>39</v>
      </c>
      <c r="M49">
        <v>3</v>
      </c>
      <c r="N49" t="s">
        <v>39</v>
      </c>
    </row>
    <row r="50" spans="1:14" x14ac:dyDescent="0.35">
      <c r="A50">
        <v>19</v>
      </c>
      <c r="D50">
        <v>443</v>
      </c>
      <c r="G50">
        <v>293</v>
      </c>
      <c r="J50">
        <v>263</v>
      </c>
      <c r="M50">
        <v>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3"/>
  <sheetViews>
    <sheetView workbookViewId="0">
      <selection activeCell="H7" sqref="H7"/>
    </sheetView>
  </sheetViews>
  <sheetFormatPr defaultRowHeight="14.5" x14ac:dyDescent="0.35"/>
  <sheetData>
    <row r="1" spans="1:15" ht="29" x14ac:dyDescent="0.35">
      <c r="A1" s="1" t="s">
        <v>10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9</v>
      </c>
      <c r="I1" s="1"/>
      <c r="J1" s="1"/>
      <c r="K1" s="1"/>
      <c r="L1" s="1"/>
      <c r="M1" s="1"/>
      <c r="N1" s="1"/>
      <c r="O1" s="1"/>
    </row>
    <row r="2" spans="1:15" x14ac:dyDescent="0.35">
      <c r="A2" t="s">
        <v>12</v>
      </c>
      <c r="B2" t="s">
        <v>39</v>
      </c>
      <c r="C2" t="s">
        <v>39</v>
      </c>
      <c r="D2" t="s">
        <v>39</v>
      </c>
      <c r="E2" t="s">
        <v>39</v>
      </c>
      <c r="F2" t="s">
        <v>33</v>
      </c>
      <c r="G2" t="s">
        <v>7</v>
      </c>
    </row>
    <row r="3" spans="1:15" x14ac:dyDescent="0.35">
      <c r="A3" t="s">
        <v>11</v>
      </c>
      <c r="B3" t="s">
        <v>35</v>
      </c>
      <c r="C3" t="s">
        <v>33</v>
      </c>
      <c r="D3" t="s">
        <v>33</v>
      </c>
      <c r="E3" t="s">
        <v>37</v>
      </c>
      <c r="F3" t="s">
        <v>39</v>
      </c>
      <c r="G3" t="s">
        <v>5</v>
      </c>
    </row>
    <row r="4" spans="1:15" x14ac:dyDescent="0.35">
      <c r="A4" t="s">
        <v>12</v>
      </c>
      <c r="B4" t="s">
        <v>39</v>
      </c>
      <c r="C4" t="s">
        <v>39</v>
      </c>
      <c r="D4" t="s">
        <v>39</v>
      </c>
      <c r="E4" t="s">
        <v>37</v>
      </c>
      <c r="F4" t="s">
        <v>39</v>
      </c>
      <c r="G4" t="s">
        <v>7</v>
      </c>
    </row>
    <row r="5" spans="1:15" x14ac:dyDescent="0.35">
      <c r="A5" t="s">
        <v>11</v>
      </c>
      <c r="B5" t="s">
        <v>35</v>
      </c>
      <c r="C5" t="s">
        <v>35</v>
      </c>
      <c r="D5" t="s">
        <v>35</v>
      </c>
      <c r="E5" t="s">
        <v>35</v>
      </c>
      <c r="F5" t="s">
        <v>37</v>
      </c>
      <c r="G5" t="s">
        <v>5</v>
      </c>
    </row>
    <row r="6" spans="1:15" x14ac:dyDescent="0.35">
      <c r="A6" t="s">
        <v>11</v>
      </c>
      <c r="B6" t="s">
        <v>39</v>
      </c>
      <c r="C6" t="s">
        <v>39</v>
      </c>
      <c r="D6" t="s">
        <v>39</v>
      </c>
      <c r="E6" t="s">
        <v>37</v>
      </c>
      <c r="F6" t="s">
        <v>33</v>
      </c>
      <c r="G6" t="s">
        <v>7</v>
      </c>
    </row>
    <row r="7" spans="1:15" x14ac:dyDescent="0.35">
      <c r="A7" t="s">
        <v>12</v>
      </c>
      <c r="B7" t="s">
        <v>39</v>
      </c>
      <c r="C7" t="s">
        <v>39</v>
      </c>
      <c r="D7" t="s">
        <v>37</v>
      </c>
      <c r="E7" t="s">
        <v>39</v>
      </c>
      <c r="F7" t="s">
        <v>37</v>
      </c>
      <c r="G7" t="s">
        <v>7</v>
      </c>
    </row>
    <row r="8" spans="1:15" x14ac:dyDescent="0.35">
      <c r="A8" t="s">
        <v>11</v>
      </c>
      <c r="B8" t="s">
        <v>33</v>
      </c>
      <c r="C8" t="s">
        <v>33</v>
      </c>
      <c r="D8" t="s">
        <v>35</v>
      </c>
      <c r="E8" t="s">
        <v>33</v>
      </c>
      <c r="F8" t="s">
        <v>37</v>
      </c>
      <c r="G8" t="s">
        <v>5</v>
      </c>
    </row>
    <row r="9" spans="1:15" x14ac:dyDescent="0.35">
      <c r="A9" t="s">
        <v>12</v>
      </c>
      <c r="B9" t="s">
        <v>37</v>
      </c>
      <c r="C9" t="s">
        <v>39</v>
      </c>
      <c r="D9" t="s">
        <v>39</v>
      </c>
      <c r="E9" t="s">
        <v>35</v>
      </c>
      <c r="F9" t="s">
        <v>37</v>
      </c>
      <c r="G9" t="s">
        <v>7</v>
      </c>
    </row>
    <row r="10" spans="1:15" x14ac:dyDescent="0.35">
      <c r="A10" t="s">
        <v>11</v>
      </c>
      <c r="B10" t="s">
        <v>39</v>
      </c>
      <c r="C10" t="s">
        <v>37</v>
      </c>
      <c r="D10" t="s">
        <v>37</v>
      </c>
      <c r="E10" t="s">
        <v>37</v>
      </c>
      <c r="F10" t="s">
        <v>37</v>
      </c>
      <c r="G10" t="s">
        <v>5</v>
      </c>
    </row>
    <row r="11" spans="1:15" x14ac:dyDescent="0.35">
      <c r="A11" t="s">
        <v>12</v>
      </c>
      <c r="B11" t="s">
        <v>37</v>
      </c>
      <c r="C11" t="s">
        <v>37</v>
      </c>
      <c r="D11" t="s">
        <v>37</v>
      </c>
      <c r="E11" t="s">
        <v>35</v>
      </c>
      <c r="F11" t="s">
        <v>37</v>
      </c>
      <c r="G11" t="s">
        <v>7</v>
      </c>
    </row>
    <row r="12" spans="1:15" x14ac:dyDescent="0.35">
      <c r="A12" t="s">
        <v>11</v>
      </c>
      <c r="B12" t="s">
        <v>33</v>
      </c>
      <c r="C12" t="s">
        <v>35</v>
      </c>
      <c r="D12" t="s">
        <v>37</v>
      </c>
      <c r="E12" t="s">
        <v>35</v>
      </c>
      <c r="F12" t="s">
        <v>37</v>
      </c>
      <c r="G12" t="s">
        <v>5</v>
      </c>
    </row>
    <row r="13" spans="1:15" x14ac:dyDescent="0.35">
      <c r="A13" t="s">
        <v>12</v>
      </c>
      <c r="B13" t="s">
        <v>33</v>
      </c>
      <c r="C13" t="s">
        <v>33</v>
      </c>
      <c r="D13" t="s">
        <v>33</v>
      </c>
      <c r="E13" t="s">
        <v>37</v>
      </c>
      <c r="F13" t="s">
        <v>33</v>
      </c>
      <c r="G13" t="s">
        <v>7</v>
      </c>
    </row>
    <row r="14" spans="1:15" x14ac:dyDescent="0.35">
      <c r="A14" t="s">
        <v>11</v>
      </c>
      <c r="B14" t="s">
        <v>37</v>
      </c>
      <c r="C14" t="s">
        <v>39</v>
      </c>
      <c r="D14" t="s">
        <v>37</v>
      </c>
      <c r="E14" t="s">
        <v>39</v>
      </c>
      <c r="F14" t="s">
        <v>35</v>
      </c>
      <c r="G14" t="s">
        <v>7</v>
      </c>
    </row>
    <row r="15" spans="1:15" x14ac:dyDescent="0.35">
      <c r="A15" t="s">
        <v>11</v>
      </c>
      <c r="B15" t="s">
        <v>35</v>
      </c>
      <c r="C15" t="s">
        <v>35</v>
      </c>
      <c r="D15" t="s">
        <v>35</v>
      </c>
      <c r="E15" t="s">
        <v>35</v>
      </c>
      <c r="F15" t="s">
        <v>39</v>
      </c>
      <c r="G15" t="s">
        <v>5</v>
      </c>
    </row>
    <row r="16" spans="1:15" x14ac:dyDescent="0.35">
      <c r="A16" t="s">
        <v>12</v>
      </c>
      <c r="B16" t="s">
        <v>37</v>
      </c>
      <c r="C16" t="s">
        <v>37</v>
      </c>
      <c r="D16" t="s">
        <v>35</v>
      </c>
      <c r="E16" t="s">
        <v>37</v>
      </c>
      <c r="F16" t="s">
        <v>33</v>
      </c>
      <c r="G16" t="s">
        <v>7</v>
      </c>
    </row>
    <row r="17" spans="1:7" x14ac:dyDescent="0.35">
      <c r="A17" t="s">
        <v>12</v>
      </c>
      <c r="B17" t="s">
        <v>35</v>
      </c>
      <c r="C17" t="s">
        <v>33</v>
      </c>
      <c r="D17" t="s">
        <v>35</v>
      </c>
      <c r="E17" t="s">
        <v>35</v>
      </c>
      <c r="F17" t="s">
        <v>37</v>
      </c>
      <c r="G17" t="s">
        <v>7</v>
      </c>
    </row>
    <row r="18" spans="1:7" x14ac:dyDescent="0.35">
      <c r="A18" t="s">
        <v>12</v>
      </c>
      <c r="B18" t="s">
        <v>37</v>
      </c>
      <c r="C18" t="s">
        <v>37</v>
      </c>
      <c r="D18" t="s">
        <v>35</v>
      </c>
      <c r="E18" t="s">
        <v>37</v>
      </c>
      <c r="F18" t="s">
        <v>33</v>
      </c>
      <c r="G18" t="s">
        <v>7</v>
      </c>
    </row>
    <row r="19" spans="1:7" x14ac:dyDescent="0.35">
      <c r="A19" t="s">
        <v>12</v>
      </c>
      <c r="B19" t="s">
        <v>39</v>
      </c>
      <c r="C19" t="s">
        <v>37</v>
      </c>
      <c r="D19" t="s">
        <v>39</v>
      </c>
      <c r="E19" t="s">
        <v>35</v>
      </c>
      <c r="F19" t="s">
        <v>39</v>
      </c>
      <c r="G19" t="s">
        <v>5</v>
      </c>
    </row>
    <row r="20" spans="1:7" x14ac:dyDescent="0.35">
      <c r="A20" t="s">
        <v>12</v>
      </c>
      <c r="B20" t="s">
        <v>35</v>
      </c>
      <c r="C20" t="s">
        <v>33</v>
      </c>
      <c r="D20" t="s">
        <v>37</v>
      </c>
      <c r="E20" t="s">
        <v>33</v>
      </c>
      <c r="F20" t="s">
        <v>39</v>
      </c>
      <c r="G20" t="s">
        <v>5</v>
      </c>
    </row>
    <row r="21" spans="1:7" x14ac:dyDescent="0.35">
      <c r="A21" t="s">
        <v>12</v>
      </c>
      <c r="B21" t="s">
        <v>33</v>
      </c>
      <c r="C21" t="s">
        <v>33</v>
      </c>
      <c r="D21" t="s">
        <v>33</v>
      </c>
      <c r="E21" t="s">
        <v>35</v>
      </c>
      <c r="F21" t="s">
        <v>39</v>
      </c>
      <c r="G21" t="s">
        <v>5</v>
      </c>
    </row>
    <row r="22" spans="1:7" x14ac:dyDescent="0.35">
      <c r="A22" t="s">
        <v>11</v>
      </c>
      <c r="B22" t="s">
        <v>37</v>
      </c>
      <c r="C22" t="s">
        <v>37</v>
      </c>
      <c r="D22" t="s">
        <v>39</v>
      </c>
      <c r="E22" t="s">
        <v>33</v>
      </c>
      <c r="F22" t="s">
        <v>39</v>
      </c>
      <c r="G22" t="s">
        <v>5</v>
      </c>
    </row>
    <row r="23" spans="1:7" x14ac:dyDescent="0.35">
      <c r="A23" t="s">
        <v>12</v>
      </c>
      <c r="B23" t="s">
        <v>35</v>
      </c>
      <c r="C23" t="s">
        <v>35</v>
      </c>
      <c r="D23" t="s">
        <v>35</v>
      </c>
      <c r="E23" t="s">
        <v>35</v>
      </c>
      <c r="F23" t="s">
        <v>37</v>
      </c>
      <c r="G23" t="s">
        <v>5</v>
      </c>
    </row>
    <row r="24" spans="1:7" x14ac:dyDescent="0.35">
      <c r="A24" t="s">
        <v>12</v>
      </c>
      <c r="B24" t="s">
        <v>39</v>
      </c>
      <c r="C24" t="s">
        <v>39</v>
      </c>
      <c r="D24" t="s">
        <v>37</v>
      </c>
      <c r="E24" t="s">
        <v>39</v>
      </c>
      <c r="F24" t="s">
        <v>33</v>
      </c>
      <c r="G24" t="s">
        <v>7</v>
      </c>
    </row>
    <row r="25" spans="1:7" x14ac:dyDescent="0.35">
      <c r="A25" t="s">
        <v>12</v>
      </c>
      <c r="B25" t="s">
        <v>37</v>
      </c>
      <c r="C25" t="s">
        <v>37</v>
      </c>
      <c r="D25" t="s">
        <v>39</v>
      </c>
      <c r="E25" t="s">
        <v>33</v>
      </c>
      <c r="F25" t="s">
        <v>39</v>
      </c>
      <c r="G25" t="s">
        <v>5</v>
      </c>
    </row>
    <row r="26" spans="1:7" x14ac:dyDescent="0.35">
      <c r="A26" t="s">
        <v>11</v>
      </c>
      <c r="B26" t="s">
        <v>39</v>
      </c>
      <c r="C26" t="s">
        <v>37</v>
      </c>
      <c r="D26" t="s">
        <v>35</v>
      </c>
      <c r="E26" t="s">
        <v>39</v>
      </c>
      <c r="F26" t="s">
        <v>33</v>
      </c>
      <c r="G26" t="s">
        <v>7</v>
      </c>
    </row>
    <row r="27" spans="1:7" x14ac:dyDescent="0.35">
      <c r="A27" t="s">
        <v>12</v>
      </c>
      <c r="B27" t="s">
        <v>35</v>
      </c>
      <c r="C27" t="s">
        <v>37</v>
      </c>
      <c r="D27" t="s">
        <v>39</v>
      </c>
      <c r="E27" t="s">
        <v>33</v>
      </c>
      <c r="F27" t="s">
        <v>39</v>
      </c>
      <c r="G27" t="s">
        <v>5</v>
      </c>
    </row>
    <row r="28" spans="1:7" x14ac:dyDescent="0.35">
      <c r="A28" t="s">
        <v>12</v>
      </c>
      <c r="B28" t="s">
        <v>33</v>
      </c>
      <c r="C28" t="s">
        <v>33</v>
      </c>
      <c r="D28" t="s">
        <v>35</v>
      </c>
      <c r="E28" t="s">
        <v>33</v>
      </c>
      <c r="F28" t="s">
        <v>37</v>
      </c>
      <c r="G28" t="s">
        <v>5</v>
      </c>
    </row>
    <row r="29" spans="1:7" x14ac:dyDescent="0.35">
      <c r="A29" t="s">
        <v>11</v>
      </c>
      <c r="B29" t="s">
        <v>39</v>
      </c>
      <c r="C29" t="s">
        <v>39</v>
      </c>
      <c r="D29" t="s">
        <v>37</v>
      </c>
      <c r="E29" t="s">
        <v>39</v>
      </c>
      <c r="F29" t="s">
        <v>37</v>
      </c>
      <c r="G29" t="s">
        <v>7</v>
      </c>
    </row>
    <row r="30" spans="1:7" x14ac:dyDescent="0.35">
      <c r="A30" t="s">
        <v>12</v>
      </c>
      <c r="B30" t="s">
        <v>37</v>
      </c>
      <c r="C30" t="s">
        <v>39</v>
      </c>
      <c r="D30" t="s">
        <v>39</v>
      </c>
      <c r="E30" t="s">
        <v>39</v>
      </c>
      <c r="F30" t="s">
        <v>37</v>
      </c>
      <c r="G30" t="s">
        <v>7</v>
      </c>
    </row>
    <row r="31" spans="1:7" x14ac:dyDescent="0.35">
      <c r="A31" t="s">
        <v>12</v>
      </c>
      <c r="B31" t="s">
        <v>33</v>
      </c>
      <c r="C31" t="s">
        <v>33</v>
      </c>
      <c r="D31" t="s">
        <v>33</v>
      </c>
      <c r="E31" t="s">
        <v>37</v>
      </c>
      <c r="F31" t="s">
        <v>35</v>
      </c>
      <c r="G31" t="s">
        <v>5</v>
      </c>
    </row>
    <row r="32" spans="1:7" x14ac:dyDescent="0.35">
      <c r="A32" t="s">
        <v>11</v>
      </c>
      <c r="B32" t="s">
        <v>33</v>
      </c>
      <c r="C32" t="s">
        <v>33</v>
      </c>
      <c r="D32" t="s">
        <v>33</v>
      </c>
      <c r="E32" t="s">
        <v>33</v>
      </c>
      <c r="F32" t="s">
        <v>37</v>
      </c>
      <c r="G32" t="s">
        <v>5</v>
      </c>
    </row>
    <row r="33" spans="1:7" x14ac:dyDescent="0.35">
      <c r="A33" t="s">
        <v>11</v>
      </c>
      <c r="B33" t="s">
        <v>37</v>
      </c>
      <c r="C33" t="s">
        <v>33</v>
      </c>
      <c r="D33" t="s">
        <v>33</v>
      </c>
      <c r="E33" t="s">
        <v>39</v>
      </c>
      <c r="F33" t="s">
        <v>35</v>
      </c>
      <c r="G33" t="s">
        <v>7</v>
      </c>
    </row>
    <row r="34" spans="1:7" x14ac:dyDescent="0.35">
      <c r="A34" t="s">
        <v>12</v>
      </c>
      <c r="B34" t="s">
        <v>39</v>
      </c>
      <c r="C34" t="s">
        <v>39</v>
      </c>
      <c r="D34" t="s">
        <v>35</v>
      </c>
      <c r="E34" t="s">
        <v>39</v>
      </c>
      <c r="F34" t="s">
        <v>35</v>
      </c>
      <c r="G34" t="s">
        <v>7</v>
      </c>
    </row>
    <row r="35" spans="1:7" x14ac:dyDescent="0.35">
      <c r="A35" t="s">
        <v>12</v>
      </c>
      <c r="B35" t="s">
        <v>35</v>
      </c>
      <c r="C35" t="s">
        <v>37</v>
      </c>
      <c r="D35" t="s">
        <v>39</v>
      </c>
      <c r="E35" t="s">
        <v>33</v>
      </c>
      <c r="F35" t="s">
        <v>37</v>
      </c>
      <c r="G35" t="s">
        <v>7</v>
      </c>
    </row>
    <row r="36" spans="1:7" x14ac:dyDescent="0.35">
      <c r="A36" t="s">
        <v>12</v>
      </c>
      <c r="B36" t="s">
        <v>33</v>
      </c>
      <c r="C36" t="s">
        <v>33</v>
      </c>
      <c r="D36" t="s">
        <v>33</v>
      </c>
      <c r="E36" t="s">
        <v>37</v>
      </c>
      <c r="F36" t="s">
        <v>39</v>
      </c>
      <c r="G36" t="s">
        <v>5</v>
      </c>
    </row>
    <row r="37" spans="1:7" x14ac:dyDescent="0.35">
      <c r="A37" t="s">
        <v>12</v>
      </c>
      <c r="B37" t="s">
        <v>35</v>
      </c>
      <c r="C37" t="s">
        <v>35</v>
      </c>
      <c r="D37" t="s">
        <v>35</v>
      </c>
      <c r="E37" t="s">
        <v>37</v>
      </c>
      <c r="F37" t="s">
        <v>35</v>
      </c>
      <c r="G37" t="s">
        <v>7</v>
      </c>
    </row>
    <row r="38" spans="1:7" x14ac:dyDescent="0.35">
      <c r="A38" t="s">
        <v>12</v>
      </c>
      <c r="B38" t="s">
        <v>39</v>
      </c>
      <c r="C38" t="s">
        <v>39</v>
      </c>
      <c r="D38" t="s">
        <v>37</v>
      </c>
      <c r="E38" t="s">
        <v>39</v>
      </c>
      <c r="F38" t="s">
        <v>39</v>
      </c>
      <c r="G38" t="s">
        <v>5</v>
      </c>
    </row>
    <row r="39" spans="1:7" x14ac:dyDescent="0.35">
      <c r="A39" t="s">
        <v>12</v>
      </c>
      <c r="B39" t="s">
        <v>35</v>
      </c>
      <c r="C39" t="s">
        <v>35</v>
      </c>
      <c r="D39" t="s">
        <v>35</v>
      </c>
      <c r="E39" t="s">
        <v>35</v>
      </c>
      <c r="F39" t="s">
        <v>33</v>
      </c>
      <c r="G39" t="s">
        <v>5</v>
      </c>
    </row>
    <row r="40" spans="1:7" x14ac:dyDescent="0.35">
      <c r="A40" t="s">
        <v>11</v>
      </c>
      <c r="B40" t="s">
        <v>33</v>
      </c>
      <c r="C40" t="s">
        <v>37</v>
      </c>
      <c r="D40" t="s">
        <v>35</v>
      </c>
      <c r="E40" t="s">
        <v>39</v>
      </c>
      <c r="F40" t="s">
        <v>33</v>
      </c>
      <c r="G40" t="s">
        <v>7</v>
      </c>
    </row>
    <row r="41" spans="1:7" x14ac:dyDescent="0.35">
      <c r="A41" t="s">
        <v>12</v>
      </c>
      <c r="B41" t="s">
        <v>39</v>
      </c>
      <c r="C41" t="s">
        <v>39</v>
      </c>
      <c r="D41" t="s">
        <v>39</v>
      </c>
      <c r="E41" t="s">
        <v>39</v>
      </c>
      <c r="F41" t="s">
        <v>35</v>
      </c>
      <c r="G41" t="s">
        <v>7</v>
      </c>
    </row>
    <row r="42" spans="1:7" x14ac:dyDescent="0.35">
      <c r="A42" t="s">
        <v>12</v>
      </c>
      <c r="B42" t="s">
        <v>37</v>
      </c>
      <c r="C42" t="s">
        <v>35</v>
      </c>
      <c r="D42" t="s">
        <v>37</v>
      </c>
      <c r="E42" t="s">
        <v>35</v>
      </c>
      <c r="F42" t="s">
        <v>35</v>
      </c>
      <c r="G42" t="s">
        <v>7</v>
      </c>
    </row>
    <row r="43" spans="1:7" x14ac:dyDescent="0.35">
      <c r="A43" t="s">
        <v>12</v>
      </c>
      <c r="B43" t="s">
        <v>35</v>
      </c>
      <c r="C43" t="s">
        <v>35</v>
      </c>
      <c r="D43" t="s">
        <v>35</v>
      </c>
      <c r="E43" t="s">
        <v>37</v>
      </c>
      <c r="F43" t="s">
        <v>37</v>
      </c>
      <c r="G43" t="s">
        <v>5</v>
      </c>
    </row>
    <row r="44" spans="1:7" x14ac:dyDescent="0.35">
      <c r="A44" t="s">
        <v>11</v>
      </c>
      <c r="B44" t="s">
        <v>35</v>
      </c>
      <c r="C44" t="s">
        <v>35</v>
      </c>
      <c r="D44" t="s">
        <v>39</v>
      </c>
      <c r="E44" t="s">
        <v>33</v>
      </c>
      <c r="F44" t="s">
        <v>37</v>
      </c>
      <c r="G44" t="s">
        <v>5</v>
      </c>
    </row>
    <row r="45" spans="1:7" x14ac:dyDescent="0.35">
      <c r="A45" t="s">
        <v>12</v>
      </c>
      <c r="B45" t="s">
        <v>37</v>
      </c>
      <c r="C45" t="s">
        <v>35</v>
      </c>
      <c r="D45" t="s">
        <v>39</v>
      </c>
      <c r="E45" t="s">
        <v>33</v>
      </c>
      <c r="F45" t="s">
        <v>39</v>
      </c>
      <c r="G45" t="s">
        <v>5</v>
      </c>
    </row>
    <row r="46" spans="1:7" x14ac:dyDescent="0.35">
      <c r="A46" t="s">
        <v>11</v>
      </c>
      <c r="B46" t="s">
        <v>37</v>
      </c>
      <c r="C46" t="s">
        <v>39</v>
      </c>
      <c r="D46" t="s">
        <v>39</v>
      </c>
      <c r="E46" t="s">
        <v>33</v>
      </c>
      <c r="F46" t="s">
        <v>35</v>
      </c>
      <c r="G46" t="s">
        <v>7</v>
      </c>
    </row>
    <row r="47" spans="1:7" x14ac:dyDescent="0.35">
      <c r="A47" t="s">
        <v>11</v>
      </c>
      <c r="B47" t="s">
        <v>39</v>
      </c>
      <c r="C47" t="s">
        <v>39</v>
      </c>
      <c r="D47" t="s">
        <v>39</v>
      </c>
      <c r="E47" t="s">
        <v>39</v>
      </c>
      <c r="F47" t="s">
        <v>39</v>
      </c>
      <c r="G47" t="s">
        <v>7</v>
      </c>
    </row>
    <row r="48" spans="1:7" x14ac:dyDescent="0.35">
      <c r="A48" t="s">
        <v>12</v>
      </c>
      <c r="B48" t="s">
        <v>39</v>
      </c>
      <c r="C48" t="s">
        <v>39</v>
      </c>
      <c r="D48" t="s">
        <v>33</v>
      </c>
      <c r="E48" t="s">
        <v>39</v>
      </c>
      <c r="F48" t="s">
        <v>39</v>
      </c>
      <c r="G48" t="s">
        <v>7</v>
      </c>
    </row>
    <row r="49" spans="1:7" x14ac:dyDescent="0.35">
      <c r="A49" t="s">
        <v>12</v>
      </c>
      <c r="B49" t="s">
        <v>37</v>
      </c>
      <c r="C49" t="s">
        <v>37</v>
      </c>
      <c r="D49" t="s">
        <v>35</v>
      </c>
      <c r="E49" t="s">
        <v>39</v>
      </c>
      <c r="F49" t="s">
        <v>35</v>
      </c>
      <c r="G49" t="s">
        <v>7</v>
      </c>
    </row>
    <row r="50" spans="1:7" x14ac:dyDescent="0.35">
      <c r="A50" t="s">
        <v>12</v>
      </c>
      <c r="B50" t="s">
        <v>39</v>
      </c>
      <c r="C50" t="s">
        <v>39</v>
      </c>
      <c r="D50" t="s">
        <v>37</v>
      </c>
      <c r="E50" t="s">
        <v>39</v>
      </c>
      <c r="F50" t="s">
        <v>37</v>
      </c>
      <c r="G50" t="s">
        <v>7</v>
      </c>
    </row>
    <row r="51" spans="1:7" x14ac:dyDescent="0.35">
      <c r="A51" t="s">
        <v>11</v>
      </c>
      <c r="B51" t="s">
        <v>37</v>
      </c>
      <c r="C51" t="s">
        <v>35</v>
      </c>
      <c r="D51" t="s">
        <v>35</v>
      </c>
      <c r="E51" t="s">
        <v>35</v>
      </c>
      <c r="F51" t="s">
        <v>39</v>
      </c>
      <c r="G51" t="s">
        <v>5</v>
      </c>
    </row>
    <row r="52" spans="1:7" x14ac:dyDescent="0.35">
      <c r="A52" t="s">
        <v>12</v>
      </c>
      <c r="B52" t="s">
        <v>33</v>
      </c>
      <c r="C52" t="s">
        <v>33</v>
      </c>
      <c r="D52" t="s">
        <v>33</v>
      </c>
      <c r="E52" t="s">
        <v>37</v>
      </c>
      <c r="F52" t="s">
        <v>37</v>
      </c>
      <c r="G52" t="s">
        <v>5</v>
      </c>
    </row>
    <row r="53" spans="1:7" x14ac:dyDescent="0.35">
      <c r="A53" t="s">
        <v>12</v>
      </c>
      <c r="B53" t="s">
        <v>33</v>
      </c>
      <c r="C53" t="s">
        <v>33</v>
      </c>
      <c r="D53" t="s">
        <v>35</v>
      </c>
      <c r="E53" t="s">
        <v>33</v>
      </c>
      <c r="F53" t="s">
        <v>37</v>
      </c>
      <c r="G53" t="s">
        <v>5</v>
      </c>
    </row>
    <row r="54" spans="1:7" x14ac:dyDescent="0.35">
      <c r="A54" t="s">
        <v>11</v>
      </c>
      <c r="B54" t="s">
        <v>33</v>
      </c>
      <c r="C54" t="s">
        <v>33</v>
      </c>
      <c r="D54" t="s">
        <v>35</v>
      </c>
      <c r="E54" t="s">
        <v>33</v>
      </c>
      <c r="F54" t="s">
        <v>39</v>
      </c>
      <c r="G54" t="s">
        <v>5</v>
      </c>
    </row>
    <row r="55" spans="1:7" x14ac:dyDescent="0.35">
      <c r="A55" t="s">
        <v>12</v>
      </c>
      <c r="B55" t="s">
        <v>33</v>
      </c>
      <c r="C55" t="s">
        <v>35</v>
      </c>
      <c r="D55" t="s">
        <v>35</v>
      </c>
      <c r="E55" t="s">
        <v>33</v>
      </c>
      <c r="F55" t="s">
        <v>37</v>
      </c>
      <c r="G55" t="s">
        <v>5</v>
      </c>
    </row>
    <row r="56" spans="1:7" x14ac:dyDescent="0.35">
      <c r="A56" t="s">
        <v>11</v>
      </c>
      <c r="B56" t="s">
        <v>37</v>
      </c>
      <c r="C56" t="s">
        <v>37</v>
      </c>
      <c r="D56" t="s">
        <v>39</v>
      </c>
      <c r="E56" t="s">
        <v>35</v>
      </c>
      <c r="F56" t="s">
        <v>39</v>
      </c>
      <c r="G56" t="s">
        <v>7</v>
      </c>
    </row>
    <row r="57" spans="1:7" x14ac:dyDescent="0.35">
      <c r="A57" t="s">
        <v>11</v>
      </c>
      <c r="B57" t="s">
        <v>35</v>
      </c>
      <c r="C57" t="s">
        <v>33</v>
      </c>
      <c r="D57" t="s">
        <v>33</v>
      </c>
      <c r="E57" t="s">
        <v>35</v>
      </c>
      <c r="F57" t="s">
        <v>39</v>
      </c>
      <c r="G57" t="s">
        <v>5</v>
      </c>
    </row>
    <row r="58" spans="1:7" x14ac:dyDescent="0.35">
      <c r="A58" t="s">
        <v>11</v>
      </c>
      <c r="B58" t="s">
        <v>33</v>
      </c>
      <c r="C58" t="s">
        <v>35</v>
      </c>
      <c r="D58" t="s">
        <v>35</v>
      </c>
      <c r="E58" t="s">
        <v>35</v>
      </c>
      <c r="F58" t="s">
        <v>35</v>
      </c>
      <c r="G58" t="s">
        <v>7</v>
      </c>
    </row>
    <row r="59" spans="1:7" x14ac:dyDescent="0.35">
      <c r="A59" t="s">
        <v>11</v>
      </c>
      <c r="B59" t="s">
        <v>33</v>
      </c>
      <c r="C59" t="s">
        <v>33</v>
      </c>
      <c r="D59" t="s">
        <v>33</v>
      </c>
      <c r="E59" t="s">
        <v>33</v>
      </c>
      <c r="F59" t="s">
        <v>39</v>
      </c>
      <c r="G59" t="s">
        <v>5</v>
      </c>
    </row>
    <row r="60" spans="1:7" x14ac:dyDescent="0.35">
      <c r="A60" t="s">
        <v>12</v>
      </c>
      <c r="B60" t="s">
        <v>33</v>
      </c>
      <c r="C60" t="s">
        <v>33</v>
      </c>
      <c r="D60" t="s">
        <v>33</v>
      </c>
      <c r="E60" t="s">
        <v>33</v>
      </c>
      <c r="F60" t="s">
        <v>35</v>
      </c>
      <c r="G60" t="s">
        <v>7</v>
      </c>
    </row>
    <row r="61" spans="1:7" x14ac:dyDescent="0.35">
      <c r="A61" t="s">
        <v>11</v>
      </c>
      <c r="B61" t="s">
        <v>33</v>
      </c>
      <c r="C61" t="s">
        <v>35</v>
      </c>
      <c r="D61" t="s">
        <v>39</v>
      </c>
      <c r="E61" t="s">
        <v>33</v>
      </c>
      <c r="F61" t="s">
        <v>39</v>
      </c>
      <c r="G61" t="s">
        <v>5</v>
      </c>
    </row>
    <row r="62" spans="1:7" x14ac:dyDescent="0.35">
      <c r="A62" t="s">
        <v>11</v>
      </c>
      <c r="B62" t="s">
        <v>35</v>
      </c>
      <c r="C62" t="s">
        <v>35</v>
      </c>
      <c r="D62" t="s">
        <v>37</v>
      </c>
      <c r="E62" t="s">
        <v>35</v>
      </c>
      <c r="F62" t="s">
        <v>39</v>
      </c>
      <c r="G62" t="s">
        <v>5</v>
      </c>
    </row>
    <row r="63" spans="1:7" x14ac:dyDescent="0.35">
      <c r="A63" t="s">
        <v>11</v>
      </c>
      <c r="B63" t="s">
        <v>33</v>
      </c>
      <c r="C63" t="s">
        <v>35</v>
      </c>
      <c r="D63" t="s">
        <v>35</v>
      </c>
      <c r="E63" t="s">
        <v>37</v>
      </c>
      <c r="F63" t="s">
        <v>37</v>
      </c>
      <c r="G63" t="s">
        <v>5</v>
      </c>
    </row>
    <row r="64" spans="1:7" x14ac:dyDescent="0.35">
      <c r="A64" t="s">
        <v>12</v>
      </c>
      <c r="B64" t="s">
        <v>35</v>
      </c>
      <c r="C64" t="s">
        <v>37</v>
      </c>
      <c r="D64" t="s">
        <v>39</v>
      </c>
      <c r="E64" t="s">
        <v>33</v>
      </c>
      <c r="F64" t="s">
        <v>33</v>
      </c>
      <c r="G64" t="s">
        <v>7</v>
      </c>
    </row>
    <row r="65" spans="1:7" x14ac:dyDescent="0.35">
      <c r="A65" t="s">
        <v>11</v>
      </c>
      <c r="B65" t="s">
        <v>35</v>
      </c>
      <c r="C65" t="s">
        <v>35</v>
      </c>
      <c r="D65" t="s">
        <v>37</v>
      </c>
      <c r="E65" t="s">
        <v>35</v>
      </c>
      <c r="F65" t="s">
        <v>33</v>
      </c>
      <c r="G65" t="s">
        <v>7</v>
      </c>
    </row>
    <row r="66" spans="1:7" x14ac:dyDescent="0.35">
      <c r="A66" t="s">
        <v>11</v>
      </c>
      <c r="B66" t="s">
        <v>35</v>
      </c>
      <c r="C66" t="s">
        <v>33</v>
      </c>
      <c r="D66" t="s">
        <v>33</v>
      </c>
      <c r="E66" t="s">
        <v>39</v>
      </c>
      <c r="F66" t="s">
        <v>37</v>
      </c>
      <c r="G66" t="s">
        <v>5</v>
      </c>
    </row>
    <row r="67" spans="1:7" x14ac:dyDescent="0.35">
      <c r="A67" t="s">
        <v>11</v>
      </c>
      <c r="B67" t="s">
        <v>37</v>
      </c>
      <c r="C67" t="s">
        <v>39</v>
      </c>
      <c r="D67" t="s">
        <v>39</v>
      </c>
      <c r="E67" t="s">
        <v>39</v>
      </c>
      <c r="F67" t="s">
        <v>35</v>
      </c>
      <c r="G67" t="s">
        <v>7</v>
      </c>
    </row>
    <row r="68" spans="1:7" x14ac:dyDescent="0.35">
      <c r="A68" t="s">
        <v>12</v>
      </c>
      <c r="B68" t="s">
        <v>39</v>
      </c>
      <c r="C68" t="s">
        <v>37</v>
      </c>
      <c r="D68" t="s">
        <v>37</v>
      </c>
      <c r="E68" t="s">
        <v>37</v>
      </c>
      <c r="F68" t="s">
        <v>39</v>
      </c>
      <c r="G68" t="s">
        <v>5</v>
      </c>
    </row>
    <row r="69" spans="1:7" x14ac:dyDescent="0.35">
      <c r="A69" t="s">
        <v>12</v>
      </c>
      <c r="B69" t="s">
        <v>37</v>
      </c>
      <c r="C69" t="s">
        <v>37</v>
      </c>
      <c r="D69" t="s">
        <v>37</v>
      </c>
      <c r="E69" t="s">
        <v>37</v>
      </c>
      <c r="F69" t="s">
        <v>37</v>
      </c>
      <c r="G69" t="s">
        <v>7</v>
      </c>
    </row>
    <row r="70" spans="1:7" x14ac:dyDescent="0.35">
      <c r="A70" t="s">
        <v>11</v>
      </c>
      <c r="B70" t="s">
        <v>39</v>
      </c>
      <c r="C70" t="s">
        <v>39</v>
      </c>
      <c r="D70" t="s">
        <v>39</v>
      </c>
      <c r="E70" t="s">
        <v>35</v>
      </c>
      <c r="F70" t="s">
        <v>33</v>
      </c>
      <c r="G70" t="s">
        <v>7</v>
      </c>
    </row>
    <row r="71" spans="1:7" x14ac:dyDescent="0.35">
      <c r="A71" t="s">
        <v>11</v>
      </c>
      <c r="B71" t="s">
        <v>35</v>
      </c>
      <c r="C71" t="s">
        <v>35</v>
      </c>
      <c r="D71" t="s">
        <v>35</v>
      </c>
      <c r="E71" t="s">
        <v>35</v>
      </c>
      <c r="F71" t="s">
        <v>33</v>
      </c>
      <c r="G71" t="s">
        <v>5</v>
      </c>
    </row>
    <row r="72" spans="1:7" x14ac:dyDescent="0.35">
      <c r="A72" t="s">
        <v>11</v>
      </c>
      <c r="B72" t="s">
        <v>35</v>
      </c>
      <c r="C72" t="s">
        <v>35</v>
      </c>
      <c r="D72" t="s">
        <v>35</v>
      </c>
      <c r="E72" t="s">
        <v>35</v>
      </c>
      <c r="F72" t="s">
        <v>37</v>
      </c>
      <c r="G72" t="s">
        <v>5</v>
      </c>
    </row>
    <row r="73" spans="1:7" x14ac:dyDescent="0.35">
      <c r="A73" t="s">
        <v>11</v>
      </c>
      <c r="B73" t="s">
        <v>37</v>
      </c>
      <c r="C73" t="s">
        <v>39</v>
      </c>
      <c r="D73" t="s">
        <v>39</v>
      </c>
      <c r="E73" t="s">
        <v>39</v>
      </c>
      <c r="F73" t="s">
        <v>37</v>
      </c>
      <c r="G73" t="s">
        <v>7</v>
      </c>
    </row>
    <row r="74" spans="1:7" x14ac:dyDescent="0.35">
      <c r="A74" t="s">
        <v>11</v>
      </c>
      <c r="B74" t="s">
        <v>39</v>
      </c>
      <c r="C74" t="s">
        <v>39</v>
      </c>
      <c r="D74" t="s">
        <v>39</v>
      </c>
      <c r="E74" t="s">
        <v>39</v>
      </c>
      <c r="F74" t="s">
        <v>37</v>
      </c>
      <c r="G74" t="s">
        <v>7</v>
      </c>
    </row>
    <row r="75" spans="1:7" x14ac:dyDescent="0.35">
      <c r="A75" t="s">
        <v>12</v>
      </c>
      <c r="B75" t="s">
        <v>37</v>
      </c>
      <c r="C75" t="s">
        <v>39</v>
      </c>
      <c r="D75" t="s">
        <v>39</v>
      </c>
      <c r="E75" t="s">
        <v>37</v>
      </c>
      <c r="F75" t="s">
        <v>39</v>
      </c>
      <c r="G75" t="s">
        <v>5</v>
      </c>
    </row>
    <row r="76" spans="1:7" x14ac:dyDescent="0.35">
      <c r="A76" t="s">
        <v>12</v>
      </c>
      <c r="B76" t="s">
        <v>37</v>
      </c>
      <c r="C76" t="s">
        <v>37</v>
      </c>
      <c r="D76" t="s">
        <v>35</v>
      </c>
      <c r="E76" t="s">
        <v>39</v>
      </c>
      <c r="F76" t="s">
        <v>35</v>
      </c>
      <c r="G76" t="s">
        <v>5</v>
      </c>
    </row>
    <row r="77" spans="1:7" x14ac:dyDescent="0.35">
      <c r="A77" t="s">
        <v>11</v>
      </c>
      <c r="B77" t="s">
        <v>37</v>
      </c>
      <c r="C77" t="s">
        <v>39</v>
      </c>
      <c r="D77" t="s">
        <v>39</v>
      </c>
      <c r="E77" t="s">
        <v>37</v>
      </c>
      <c r="F77" t="s">
        <v>39</v>
      </c>
      <c r="G77" t="s">
        <v>5</v>
      </c>
    </row>
    <row r="78" spans="1:7" x14ac:dyDescent="0.35">
      <c r="A78" t="s">
        <v>11</v>
      </c>
      <c r="B78" t="s">
        <v>35</v>
      </c>
      <c r="C78" t="s">
        <v>35</v>
      </c>
      <c r="D78" t="s">
        <v>33</v>
      </c>
      <c r="E78" t="s">
        <v>39</v>
      </c>
      <c r="F78" t="s">
        <v>35</v>
      </c>
      <c r="G78" t="s">
        <v>7</v>
      </c>
    </row>
    <row r="79" spans="1:7" x14ac:dyDescent="0.35">
      <c r="A79" t="s">
        <v>12</v>
      </c>
      <c r="B79" t="s">
        <v>33</v>
      </c>
      <c r="C79" t="s">
        <v>33</v>
      </c>
      <c r="D79" t="s">
        <v>35</v>
      </c>
      <c r="E79" t="s">
        <v>33</v>
      </c>
      <c r="F79" t="s">
        <v>39</v>
      </c>
      <c r="G79" t="s">
        <v>5</v>
      </c>
    </row>
    <row r="80" spans="1:7" x14ac:dyDescent="0.35">
      <c r="A80" t="s">
        <v>11</v>
      </c>
      <c r="B80" t="s">
        <v>37</v>
      </c>
      <c r="C80" t="s">
        <v>39</v>
      </c>
      <c r="D80" t="s">
        <v>39</v>
      </c>
      <c r="E80" t="s">
        <v>39</v>
      </c>
      <c r="F80" t="s">
        <v>37</v>
      </c>
      <c r="G80" t="s">
        <v>7</v>
      </c>
    </row>
    <row r="81" spans="1:7" x14ac:dyDescent="0.35">
      <c r="A81" t="s">
        <v>11</v>
      </c>
      <c r="B81" t="s">
        <v>33</v>
      </c>
      <c r="C81" t="s">
        <v>33</v>
      </c>
      <c r="D81" t="s">
        <v>33</v>
      </c>
      <c r="E81" t="s">
        <v>35</v>
      </c>
      <c r="F81" t="s">
        <v>33</v>
      </c>
      <c r="G81" t="s">
        <v>5</v>
      </c>
    </row>
    <row r="82" spans="1:7" x14ac:dyDescent="0.35">
      <c r="A82" t="s">
        <v>12</v>
      </c>
      <c r="B82" t="s">
        <v>37</v>
      </c>
      <c r="C82" t="s">
        <v>37</v>
      </c>
      <c r="D82" t="s">
        <v>37</v>
      </c>
      <c r="E82" t="s">
        <v>35</v>
      </c>
      <c r="F82" t="s">
        <v>37</v>
      </c>
      <c r="G82" t="s">
        <v>7</v>
      </c>
    </row>
    <row r="83" spans="1:7" x14ac:dyDescent="0.35">
      <c r="A83" t="s">
        <v>11</v>
      </c>
      <c r="B83" t="s">
        <v>37</v>
      </c>
      <c r="C83" t="s">
        <v>35</v>
      </c>
      <c r="D83" t="s">
        <v>33</v>
      </c>
      <c r="E83" t="s">
        <v>39</v>
      </c>
      <c r="F83" t="s">
        <v>33</v>
      </c>
      <c r="G83" t="s">
        <v>7</v>
      </c>
    </row>
    <row r="84" spans="1:7" x14ac:dyDescent="0.35">
      <c r="A84" t="s">
        <v>12</v>
      </c>
      <c r="B84" t="s">
        <v>39</v>
      </c>
      <c r="C84" t="s">
        <v>39</v>
      </c>
      <c r="D84" t="s">
        <v>37</v>
      </c>
      <c r="E84" t="s">
        <v>39</v>
      </c>
      <c r="F84" t="s">
        <v>33</v>
      </c>
      <c r="G84" t="s">
        <v>7</v>
      </c>
    </row>
    <row r="85" spans="1:7" x14ac:dyDescent="0.35">
      <c r="A85" t="s">
        <v>11</v>
      </c>
      <c r="B85" t="s">
        <v>37</v>
      </c>
      <c r="C85" t="s">
        <v>37</v>
      </c>
      <c r="D85" t="s">
        <v>35</v>
      </c>
      <c r="E85" t="s">
        <v>39</v>
      </c>
      <c r="F85" t="s">
        <v>35</v>
      </c>
      <c r="G85" t="s">
        <v>5</v>
      </c>
    </row>
    <row r="86" spans="1:7" x14ac:dyDescent="0.35">
      <c r="A86" t="s">
        <v>12</v>
      </c>
      <c r="B86" t="s">
        <v>35</v>
      </c>
      <c r="C86" t="s">
        <v>37</v>
      </c>
      <c r="D86" t="s">
        <v>37</v>
      </c>
      <c r="E86" t="s">
        <v>37</v>
      </c>
      <c r="F86" t="s">
        <v>35</v>
      </c>
      <c r="G86" t="s">
        <v>7</v>
      </c>
    </row>
    <row r="87" spans="1:7" x14ac:dyDescent="0.35">
      <c r="A87" t="s">
        <v>11</v>
      </c>
      <c r="B87" t="s">
        <v>33</v>
      </c>
      <c r="C87" t="s">
        <v>33</v>
      </c>
      <c r="D87" t="s">
        <v>33</v>
      </c>
      <c r="E87" t="s">
        <v>35</v>
      </c>
      <c r="F87" t="s">
        <v>37</v>
      </c>
      <c r="G87" t="s">
        <v>5</v>
      </c>
    </row>
    <row r="88" spans="1:7" x14ac:dyDescent="0.35">
      <c r="A88" t="s">
        <v>11</v>
      </c>
      <c r="B88" t="s">
        <v>35</v>
      </c>
      <c r="C88" t="s">
        <v>37</v>
      </c>
      <c r="D88" t="s">
        <v>33</v>
      </c>
      <c r="E88" t="s">
        <v>39</v>
      </c>
      <c r="F88" t="s">
        <v>39</v>
      </c>
      <c r="G88" t="s">
        <v>5</v>
      </c>
    </row>
    <row r="89" spans="1:7" x14ac:dyDescent="0.35">
      <c r="A89" t="s">
        <v>12</v>
      </c>
      <c r="B89" t="s">
        <v>37</v>
      </c>
      <c r="C89" t="s">
        <v>35</v>
      </c>
      <c r="D89" t="s">
        <v>35</v>
      </c>
      <c r="E89" t="s">
        <v>37</v>
      </c>
      <c r="F89" t="s">
        <v>37</v>
      </c>
      <c r="G89" t="s">
        <v>5</v>
      </c>
    </row>
    <row r="90" spans="1:7" x14ac:dyDescent="0.35">
      <c r="A90" t="s">
        <v>12</v>
      </c>
      <c r="B90" t="s">
        <v>39</v>
      </c>
      <c r="C90" t="s">
        <v>35</v>
      </c>
      <c r="D90" t="s">
        <v>35</v>
      </c>
      <c r="E90" t="s">
        <v>35</v>
      </c>
      <c r="F90" t="s">
        <v>37</v>
      </c>
      <c r="G90" t="s">
        <v>5</v>
      </c>
    </row>
    <row r="91" spans="1:7" x14ac:dyDescent="0.35">
      <c r="A91" t="s">
        <v>12</v>
      </c>
      <c r="B91" t="s">
        <v>33</v>
      </c>
      <c r="C91" t="s">
        <v>33</v>
      </c>
      <c r="D91" t="s">
        <v>33</v>
      </c>
      <c r="E91" t="s">
        <v>33</v>
      </c>
      <c r="F91" t="s">
        <v>33</v>
      </c>
      <c r="G91" t="s">
        <v>5</v>
      </c>
    </row>
    <row r="92" spans="1:7" x14ac:dyDescent="0.35">
      <c r="A92" t="s">
        <v>11</v>
      </c>
      <c r="B92" t="s">
        <v>39</v>
      </c>
      <c r="C92" t="s">
        <v>37</v>
      </c>
      <c r="D92" t="s">
        <v>37</v>
      </c>
      <c r="E92" t="s">
        <v>37</v>
      </c>
      <c r="F92" t="s">
        <v>33</v>
      </c>
      <c r="G92" t="s">
        <v>7</v>
      </c>
    </row>
    <row r="93" spans="1:7" x14ac:dyDescent="0.35">
      <c r="A93" t="s">
        <v>11</v>
      </c>
      <c r="B93" t="s">
        <v>33</v>
      </c>
      <c r="C93" t="s">
        <v>35</v>
      </c>
      <c r="D93" t="s">
        <v>37</v>
      </c>
      <c r="E93" t="s">
        <v>33</v>
      </c>
      <c r="F93" t="s">
        <v>37</v>
      </c>
      <c r="G93" t="s">
        <v>5</v>
      </c>
    </row>
    <row r="94" spans="1:7" x14ac:dyDescent="0.35">
      <c r="A94" t="s">
        <v>12</v>
      </c>
      <c r="B94" t="s">
        <v>39</v>
      </c>
      <c r="C94" t="s">
        <v>39</v>
      </c>
      <c r="D94" t="s">
        <v>39</v>
      </c>
      <c r="E94" t="s">
        <v>37</v>
      </c>
      <c r="F94" t="s">
        <v>39</v>
      </c>
      <c r="G94" t="s">
        <v>7</v>
      </c>
    </row>
    <row r="95" spans="1:7" x14ac:dyDescent="0.35">
      <c r="A95" t="s">
        <v>11</v>
      </c>
      <c r="B95" t="s">
        <v>37</v>
      </c>
      <c r="C95" t="s">
        <v>37</v>
      </c>
      <c r="D95" t="s">
        <v>35</v>
      </c>
      <c r="E95" t="s">
        <v>39</v>
      </c>
      <c r="F95" t="s">
        <v>35</v>
      </c>
      <c r="G95" t="s">
        <v>7</v>
      </c>
    </row>
    <row r="96" spans="1:7" x14ac:dyDescent="0.35">
      <c r="A96" t="s">
        <v>12</v>
      </c>
      <c r="B96" t="s">
        <v>37</v>
      </c>
      <c r="C96" t="s">
        <v>35</v>
      </c>
      <c r="D96" t="s">
        <v>35</v>
      </c>
      <c r="E96" t="s">
        <v>35</v>
      </c>
      <c r="F96" t="s">
        <v>39</v>
      </c>
      <c r="G96" t="s">
        <v>5</v>
      </c>
    </row>
    <row r="97" spans="1:7" x14ac:dyDescent="0.35">
      <c r="A97" t="s">
        <v>12</v>
      </c>
      <c r="B97" t="s">
        <v>33</v>
      </c>
      <c r="C97" t="s">
        <v>35</v>
      </c>
      <c r="D97" t="s">
        <v>33</v>
      </c>
      <c r="E97" t="s">
        <v>37</v>
      </c>
      <c r="F97" t="s">
        <v>39</v>
      </c>
      <c r="G97" t="s">
        <v>5</v>
      </c>
    </row>
    <row r="98" spans="1:7" x14ac:dyDescent="0.35">
      <c r="A98" t="s">
        <v>11</v>
      </c>
      <c r="B98" t="s">
        <v>39</v>
      </c>
      <c r="C98" t="s">
        <v>37</v>
      </c>
      <c r="D98" t="s">
        <v>37</v>
      </c>
      <c r="E98" t="s">
        <v>35</v>
      </c>
      <c r="F98" t="s">
        <v>33</v>
      </c>
      <c r="G98" t="s">
        <v>7</v>
      </c>
    </row>
    <row r="99" spans="1:7" x14ac:dyDescent="0.35">
      <c r="A99" t="s">
        <v>11</v>
      </c>
      <c r="B99" t="s">
        <v>37</v>
      </c>
      <c r="C99" t="s">
        <v>35</v>
      </c>
      <c r="D99" t="s">
        <v>35</v>
      </c>
      <c r="E99" t="s">
        <v>33</v>
      </c>
      <c r="F99" t="s">
        <v>39</v>
      </c>
      <c r="G99" t="s">
        <v>5</v>
      </c>
    </row>
    <row r="100" spans="1:7" x14ac:dyDescent="0.35">
      <c r="A100" t="s">
        <v>11</v>
      </c>
      <c r="B100" t="s">
        <v>35</v>
      </c>
      <c r="C100" t="s">
        <v>33</v>
      </c>
      <c r="D100" t="s">
        <v>35</v>
      </c>
      <c r="E100" t="s">
        <v>33</v>
      </c>
      <c r="F100" t="s">
        <v>39</v>
      </c>
      <c r="G100" t="s">
        <v>5</v>
      </c>
    </row>
    <row r="101" spans="1:7" x14ac:dyDescent="0.35">
      <c r="A101" t="s">
        <v>12</v>
      </c>
      <c r="B101" t="s">
        <v>39</v>
      </c>
      <c r="C101" t="s">
        <v>39</v>
      </c>
      <c r="D101" t="s">
        <v>37</v>
      </c>
      <c r="E101" t="s">
        <v>39</v>
      </c>
      <c r="F101" t="s">
        <v>37</v>
      </c>
      <c r="G101" t="s">
        <v>7</v>
      </c>
    </row>
    <row r="102" spans="1:7" x14ac:dyDescent="0.35">
      <c r="A102" t="s">
        <v>12</v>
      </c>
      <c r="B102" t="s">
        <v>33</v>
      </c>
      <c r="C102" t="s">
        <v>33</v>
      </c>
      <c r="D102" t="s">
        <v>33</v>
      </c>
      <c r="E102" t="s">
        <v>33</v>
      </c>
      <c r="F102" t="s">
        <v>35</v>
      </c>
      <c r="G102" t="s">
        <v>5</v>
      </c>
    </row>
    <row r="103" spans="1:7" x14ac:dyDescent="0.35">
      <c r="A103" t="s">
        <v>11</v>
      </c>
      <c r="B103" t="s">
        <v>35</v>
      </c>
      <c r="C103" t="s">
        <v>33</v>
      </c>
      <c r="D103" t="s">
        <v>33</v>
      </c>
      <c r="E103" t="s">
        <v>33</v>
      </c>
      <c r="F103" t="s">
        <v>37</v>
      </c>
      <c r="G103" t="s">
        <v>5</v>
      </c>
    </row>
    <row r="104" spans="1:7" x14ac:dyDescent="0.35">
      <c r="A104" t="s">
        <v>12</v>
      </c>
      <c r="B104" t="s">
        <v>33</v>
      </c>
      <c r="C104" t="s">
        <v>35</v>
      </c>
      <c r="D104" t="s">
        <v>35</v>
      </c>
      <c r="E104" t="s">
        <v>37</v>
      </c>
      <c r="F104" t="s">
        <v>39</v>
      </c>
      <c r="G104" t="s">
        <v>5</v>
      </c>
    </row>
    <row r="105" spans="1:7" x14ac:dyDescent="0.35">
      <c r="A105" t="s">
        <v>12</v>
      </c>
      <c r="B105" t="s">
        <v>39</v>
      </c>
      <c r="C105" t="s">
        <v>39</v>
      </c>
      <c r="D105" t="s">
        <v>35</v>
      </c>
      <c r="E105" t="s">
        <v>39</v>
      </c>
      <c r="F105" t="s">
        <v>37</v>
      </c>
      <c r="G105" t="s">
        <v>7</v>
      </c>
    </row>
    <row r="106" spans="1:7" x14ac:dyDescent="0.35">
      <c r="A106" t="s">
        <v>12</v>
      </c>
      <c r="B106" t="s">
        <v>35</v>
      </c>
      <c r="C106" t="s">
        <v>39</v>
      </c>
      <c r="D106" t="s">
        <v>37</v>
      </c>
      <c r="E106" t="s">
        <v>39</v>
      </c>
      <c r="F106" t="s">
        <v>39</v>
      </c>
      <c r="G106" t="s">
        <v>7</v>
      </c>
    </row>
    <row r="107" spans="1:7" x14ac:dyDescent="0.35">
      <c r="A107" t="s">
        <v>12</v>
      </c>
      <c r="B107" t="s">
        <v>37</v>
      </c>
      <c r="C107" t="s">
        <v>37</v>
      </c>
      <c r="D107" t="s">
        <v>35</v>
      </c>
      <c r="E107" t="s">
        <v>37</v>
      </c>
      <c r="F107" t="s">
        <v>39</v>
      </c>
      <c r="G107" t="s">
        <v>5</v>
      </c>
    </row>
    <row r="108" spans="1:7" x14ac:dyDescent="0.35">
      <c r="A108" t="s">
        <v>12</v>
      </c>
      <c r="B108" t="s">
        <v>35</v>
      </c>
      <c r="C108" t="s">
        <v>35</v>
      </c>
      <c r="D108" t="s">
        <v>35</v>
      </c>
      <c r="E108" t="s">
        <v>35</v>
      </c>
      <c r="F108" t="s">
        <v>39</v>
      </c>
      <c r="G108" t="s">
        <v>5</v>
      </c>
    </row>
    <row r="109" spans="1:7" x14ac:dyDescent="0.35">
      <c r="A109" t="s">
        <v>11</v>
      </c>
      <c r="B109" t="s">
        <v>37</v>
      </c>
      <c r="C109" t="s">
        <v>37</v>
      </c>
      <c r="D109" t="s">
        <v>39</v>
      </c>
      <c r="E109" t="s">
        <v>35</v>
      </c>
      <c r="F109" t="s">
        <v>37</v>
      </c>
      <c r="G109" t="s">
        <v>7</v>
      </c>
    </row>
    <row r="110" spans="1:7" x14ac:dyDescent="0.35">
      <c r="A110" t="s">
        <v>11</v>
      </c>
      <c r="B110" t="s">
        <v>33</v>
      </c>
      <c r="C110" t="s">
        <v>33</v>
      </c>
      <c r="D110" t="s">
        <v>33</v>
      </c>
      <c r="E110" t="s">
        <v>37</v>
      </c>
      <c r="F110" t="s">
        <v>33</v>
      </c>
      <c r="G110" t="s">
        <v>7</v>
      </c>
    </row>
    <row r="111" spans="1:7" x14ac:dyDescent="0.35">
      <c r="A111" t="s">
        <v>12</v>
      </c>
      <c r="B111" t="s">
        <v>35</v>
      </c>
      <c r="C111" t="s">
        <v>35</v>
      </c>
      <c r="D111" t="s">
        <v>35</v>
      </c>
      <c r="E111" t="s">
        <v>35</v>
      </c>
      <c r="F111" t="s">
        <v>37</v>
      </c>
      <c r="G111" t="s">
        <v>7</v>
      </c>
    </row>
    <row r="112" spans="1:7" x14ac:dyDescent="0.35">
      <c r="A112" t="s">
        <v>11</v>
      </c>
      <c r="B112" t="s">
        <v>33</v>
      </c>
      <c r="C112" t="s">
        <v>35</v>
      </c>
      <c r="D112" t="s">
        <v>33</v>
      </c>
      <c r="E112" t="s">
        <v>37</v>
      </c>
      <c r="F112" t="s">
        <v>33</v>
      </c>
      <c r="G112" t="s">
        <v>7</v>
      </c>
    </row>
    <row r="113" spans="1:7" x14ac:dyDescent="0.35">
      <c r="A113" t="s">
        <v>12</v>
      </c>
      <c r="B113" t="s">
        <v>33</v>
      </c>
      <c r="C113" t="s">
        <v>35</v>
      </c>
      <c r="D113" t="s">
        <v>33</v>
      </c>
      <c r="E113" t="s">
        <v>37</v>
      </c>
      <c r="F113" t="s">
        <v>33</v>
      </c>
      <c r="G113" t="s">
        <v>7</v>
      </c>
    </row>
    <row r="114" spans="1:7" x14ac:dyDescent="0.35">
      <c r="A114" t="s">
        <v>11</v>
      </c>
      <c r="B114" t="s">
        <v>33</v>
      </c>
      <c r="C114" t="s">
        <v>33</v>
      </c>
      <c r="D114" t="s">
        <v>33</v>
      </c>
      <c r="E114" t="s">
        <v>33</v>
      </c>
      <c r="F114" t="s">
        <v>39</v>
      </c>
      <c r="G114" t="s">
        <v>5</v>
      </c>
    </row>
    <row r="115" spans="1:7" x14ac:dyDescent="0.35">
      <c r="A115" t="s">
        <v>12</v>
      </c>
      <c r="B115" t="s">
        <v>37</v>
      </c>
      <c r="C115" t="s">
        <v>37</v>
      </c>
      <c r="D115" t="s">
        <v>35</v>
      </c>
      <c r="E115" t="s">
        <v>37</v>
      </c>
      <c r="F115" t="s">
        <v>39</v>
      </c>
      <c r="G115" t="s">
        <v>5</v>
      </c>
    </row>
    <row r="116" spans="1:7" x14ac:dyDescent="0.35">
      <c r="A116" t="s">
        <v>11</v>
      </c>
      <c r="B116" t="s">
        <v>37</v>
      </c>
      <c r="C116" t="s">
        <v>37</v>
      </c>
      <c r="D116" t="s">
        <v>37</v>
      </c>
      <c r="E116" t="s">
        <v>37</v>
      </c>
      <c r="F116" t="s">
        <v>39</v>
      </c>
      <c r="G116" t="s">
        <v>7</v>
      </c>
    </row>
    <row r="117" spans="1:7" x14ac:dyDescent="0.35">
      <c r="A117" t="s">
        <v>12</v>
      </c>
      <c r="B117" t="s">
        <v>35</v>
      </c>
      <c r="C117" t="s">
        <v>35</v>
      </c>
      <c r="D117" t="s">
        <v>35</v>
      </c>
      <c r="E117" t="s">
        <v>37</v>
      </c>
      <c r="F117" t="s">
        <v>33</v>
      </c>
      <c r="G117" t="s">
        <v>7</v>
      </c>
    </row>
    <row r="118" spans="1:7" x14ac:dyDescent="0.35">
      <c r="A118" t="s">
        <v>12</v>
      </c>
      <c r="B118" t="s">
        <v>35</v>
      </c>
      <c r="C118" t="s">
        <v>35</v>
      </c>
      <c r="D118" t="s">
        <v>37</v>
      </c>
      <c r="E118" t="s">
        <v>33</v>
      </c>
      <c r="F118" t="s">
        <v>39</v>
      </c>
      <c r="G118" t="s">
        <v>5</v>
      </c>
    </row>
    <row r="119" spans="1:7" x14ac:dyDescent="0.35">
      <c r="A119" t="s">
        <v>12</v>
      </c>
      <c r="B119" t="s">
        <v>37</v>
      </c>
      <c r="C119" t="s">
        <v>39</v>
      </c>
      <c r="D119" t="s">
        <v>37</v>
      </c>
      <c r="E119" t="s">
        <v>37</v>
      </c>
      <c r="F119" t="s">
        <v>37</v>
      </c>
      <c r="G119" t="s">
        <v>7</v>
      </c>
    </row>
    <row r="120" spans="1:7" x14ac:dyDescent="0.35">
      <c r="A120" t="s">
        <v>12</v>
      </c>
      <c r="B120" t="s">
        <v>39</v>
      </c>
      <c r="C120" t="s">
        <v>39</v>
      </c>
      <c r="D120" t="s">
        <v>39</v>
      </c>
      <c r="E120" t="s">
        <v>39</v>
      </c>
      <c r="F120" t="s">
        <v>35</v>
      </c>
      <c r="G120" t="s">
        <v>7</v>
      </c>
    </row>
    <row r="121" spans="1:7" x14ac:dyDescent="0.35">
      <c r="A121" t="s">
        <v>12</v>
      </c>
      <c r="B121" t="s">
        <v>37</v>
      </c>
      <c r="C121" t="s">
        <v>39</v>
      </c>
      <c r="D121" t="s">
        <v>37</v>
      </c>
      <c r="E121" t="s">
        <v>39</v>
      </c>
      <c r="F121" t="s">
        <v>33</v>
      </c>
      <c r="G121" t="s">
        <v>7</v>
      </c>
    </row>
    <row r="122" spans="1:7" x14ac:dyDescent="0.35">
      <c r="A122" t="s">
        <v>12</v>
      </c>
      <c r="B122" t="s">
        <v>39</v>
      </c>
      <c r="C122" t="s">
        <v>37</v>
      </c>
      <c r="D122" t="s">
        <v>33</v>
      </c>
      <c r="E122" t="s">
        <v>39</v>
      </c>
      <c r="F122" t="s">
        <v>33</v>
      </c>
      <c r="G122" t="s">
        <v>7</v>
      </c>
    </row>
    <row r="123" spans="1:7" x14ac:dyDescent="0.35">
      <c r="A123" t="s">
        <v>12</v>
      </c>
      <c r="B123" t="s">
        <v>33</v>
      </c>
      <c r="C123" t="s">
        <v>33</v>
      </c>
      <c r="D123" t="s">
        <v>33</v>
      </c>
      <c r="E123" t="s">
        <v>33</v>
      </c>
      <c r="F123" t="s">
        <v>37</v>
      </c>
      <c r="G123" t="s">
        <v>5</v>
      </c>
    </row>
    <row r="124" spans="1:7" x14ac:dyDescent="0.35">
      <c r="A124" t="s">
        <v>12</v>
      </c>
      <c r="B124" t="s">
        <v>39</v>
      </c>
      <c r="C124" t="s">
        <v>37</v>
      </c>
      <c r="D124" t="s">
        <v>37</v>
      </c>
      <c r="E124" t="s">
        <v>35</v>
      </c>
      <c r="F124" t="s">
        <v>37</v>
      </c>
      <c r="G124" t="s">
        <v>7</v>
      </c>
    </row>
    <row r="125" spans="1:7" x14ac:dyDescent="0.35">
      <c r="A125" t="s">
        <v>11</v>
      </c>
      <c r="B125" t="s">
        <v>37</v>
      </c>
      <c r="C125" t="s">
        <v>35</v>
      </c>
      <c r="D125" t="s">
        <v>37</v>
      </c>
      <c r="E125" t="s">
        <v>35</v>
      </c>
      <c r="F125" t="s">
        <v>35</v>
      </c>
      <c r="G125" t="s">
        <v>5</v>
      </c>
    </row>
    <row r="126" spans="1:7" x14ac:dyDescent="0.35">
      <c r="A126" t="s">
        <v>12</v>
      </c>
      <c r="B126" t="s">
        <v>33</v>
      </c>
      <c r="C126" t="s">
        <v>35</v>
      </c>
      <c r="D126" t="s">
        <v>39</v>
      </c>
      <c r="E126" t="s">
        <v>33</v>
      </c>
      <c r="F126" t="s">
        <v>37</v>
      </c>
      <c r="G126" t="s">
        <v>5</v>
      </c>
    </row>
    <row r="127" spans="1:7" x14ac:dyDescent="0.35">
      <c r="A127" t="s">
        <v>11</v>
      </c>
      <c r="B127" t="s">
        <v>33</v>
      </c>
      <c r="C127" t="s">
        <v>35</v>
      </c>
      <c r="D127" t="s">
        <v>37</v>
      </c>
      <c r="E127" t="s">
        <v>33</v>
      </c>
      <c r="F127" t="s">
        <v>39</v>
      </c>
      <c r="G127" t="s">
        <v>5</v>
      </c>
    </row>
    <row r="128" spans="1:7" x14ac:dyDescent="0.35">
      <c r="A128" t="s">
        <v>11</v>
      </c>
      <c r="B128" t="s">
        <v>33</v>
      </c>
      <c r="C128" t="s">
        <v>33</v>
      </c>
      <c r="D128" t="s">
        <v>35</v>
      </c>
      <c r="E128" t="s">
        <v>33</v>
      </c>
      <c r="F128" t="s">
        <v>39</v>
      </c>
      <c r="G128" t="s">
        <v>5</v>
      </c>
    </row>
    <row r="129" spans="1:7" x14ac:dyDescent="0.35">
      <c r="A129" t="s">
        <v>12</v>
      </c>
      <c r="B129" t="s">
        <v>35</v>
      </c>
      <c r="C129" t="s">
        <v>35</v>
      </c>
      <c r="D129" t="s">
        <v>33</v>
      </c>
      <c r="E129" t="s">
        <v>37</v>
      </c>
      <c r="F129" t="s">
        <v>39</v>
      </c>
      <c r="G129" t="s">
        <v>7</v>
      </c>
    </row>
    <row r="130" spans="1:7" x14ac:dyDescent="0.35">
      <c r="A130" t="s">
        <v>11</v>
      </c>
      <c r="B130" t="s">
        <v>33</v>
      </c>
      <c r="C130" t="s">
        <v>33</v>
      </c>
      <c r="D130" t="s">
        <v>33</v>
      </c>
      <c r="E130" t="s">
        <v>39</v>
      </c>
      <c r="F130" t="s">
        <v>35</v>
      </c>
      <c r="G130" t="s">
        <v>7</v>
      </c>
    </row>
    <row r="131" spans="1:7" x14ac:dyDescent="0.35">
      <c r="A131" t="s">
        <v>12</v>
      </c>
      <c r="B131" t="s">
        <v>37</v>
      </c>
      <c r="C131" t="s">
        <v>39</v>
      </c>
      <c r="D131" t="s">
        <v>39</v>
      </c>
      <c r="E131" t="s">
        <v>37</v>
      </c>
      <c r="F131" t="s">
        <v>37</v>
      </c>
      <c r="G131" t="s">
        <v>7</v>
      </c>
    </row>
    <row r="132" spans="1:7" x14ac:dyDescent="0.35">
      <c r="A132" t="s">
        <v>11</v>
      </c>
      <c r="B132" t="s">
        <v>39</v>
      </c>
      <c r="C132" t="s">
        <v>39</v>
      </c>
      <c r="D132" t="s">
        <v>37</v>
      </c>
      <c r="E132" t="s">
        <v>39</v>
      </c>
      <c r="F132" t="s">
        <v>33</v>
      </c>
      <c r="G132" t="s">
        <v>7</v>
      </c>
    </row>
    <row r="133" spans="1:7" x14ac:dyDescent="0.35">
      <c r="A133" t="s">
        <v>12</v>
      </c>
      <c r="B133" t="s">
        <v>33</v>
      </c>
      <c r="C133" t="s">
        <v>35</v>
      </c>
      <c r="D133" t="s">
        <v>37</v>
      </c>
      <c r="E133" t="s">
        <v>33</v>
      </c>
      <c r="F133" t="s">
        <v>39</v>
      </c>
      <c r="G133" t="s">
        <v>7</v>
      </c>
    </row>
    <row r="134" spans="1:7" x14ac:dyDescent="0.35">
      <c r="A134" t="s">
        <v>11</v>
      </c>
      <c r="B134" t="s">
        <v>35</v>
      </c>
      <c r="C134" t="s">
        <v>37</v>
      </c>
      <c r="D134" t="s">
        <v>37</v>
      </c>
      <c r="E134" t="s">
        <v>37</v>
      </c>
      <c r="F134" t="s">
        <v>35</v>
      </c>
      <c r="G134" t="s">
        <v>7</v>
      </c>
    </row>
    <row r="135" spans="1:7" x14ac:dyDescent="0.35">
      <c r="A135" t="s">
        <v>12</v>
      </c>
      <c r="B135" t="s">
        <v>39</v>
      </c>
      <c r="C135" t="s">
        <v>39</v>
      </c>
      <c r="D135" t="s">
        <v>39</v>
      </c>
      <c r="E135" t="s">
        <v>39</v>
      </c>
      <c r="F135" t="s">
        <v>37</v>
      </c>
      <c r="G135" t="s">
        <v>7</v>
      </c>
    </row>
    <row r="136" spans="1:7" x14ac:dyDescent="0.35">
      <c r="A136" t="s">
        <v>12</v>
      </c>
      <c r="B136" t="s">
        <v>35</v>
      </c>
      <c r="C136" t="s">
        <v>37</v>
      </c>
      <c r="D136" t="s">
        <v>37</v>
      </c>
      <c r="E136" t="s">
        <v>37</v>
      </c>
      <c r="F136" t="s">
        <v>33</v>
      </c>
      <c r="G136" t="s">
        <v>7</v>
      </c>
    </row>
    <row r="137" spans="1:7" x14ac:dyDescent="0.35">
      <c r="A137" t="s">
        <v>11</v>
      </c>
      <c r="B137" t="s">
        <v>33</v>
      </c>
      <c r="C137" t="s">
        <v>33</v>
      </c>
      <c r="D137" t="s">
        <v>33</v>
      </c>
      <c r="E137" t="s">
        <v>33</v>
      </c>
      <c r="F137" t="s">
        <v>39</v>
      </c>
      <c r="G137" t="s">
        <v>5</v>
      </c>
    </row>
    <row r="138" spans="1:7" x14ac:dyDescent="0.35">
      <c r="A138" t="s">
        <v>11</v>
      </c>
      <c r="B138" t="s">
        <v>33</v>
      </c>
      <c r="C138" t="s">
        <v>35</v>
      </c>
      <c r="D138" t="s">
        <v>33</v>
      </c>
      <c r="E138" t="s">
        <v>39</v>
      </c>
      <c r="F138" t="s">
        <v>33</v>
      </c>
      <c r="G138" t="s">
        <v>7</v>
      </c>
    </row>
    <row r="139" spans="1:7" x14ac:dyDescent="0.35">
      <c r="A139" t="s">
        <v>12</v>
      </c>
      <c r="B139" t="s">
        <v>33</v>
      </c>
      <c r="C139" t="s">
        <v>33</v>
      </c>
      <c r="D139" t="s">
        <v>33</v>
      </c>
      <c r="E139" t="s">
        <v>39</v>
      </c>
      <c r="F139" t="s">
        <v>37</v>
      </c>
      <c r="G139" t="s">
        <v>7</v>
      </c>
    </row>
    <row r="140" spans="1:7" x14ac:dyDescent="0.35">
      <c r="A140" t="s">
        <v>11</v>
      </c>
      <c r="B140" t="s">
        <v>33</v>
      </c>
      <c r="C140" t="s">
        <v>37</v>
      </c>
      <c r="D140" t="s">
        <v>37</v>
      </c>
      <c r="E140" t="s">
        <v>35</v>
      </c>
      <c r="F140" t="s">
        <v>37</v>
      </c>
      <c r="G140" t="s">
        <v>5</v>
      </c>
    </row>
    <row r="141" spans="1:7" x14ac:dyDescent="0.35">
      <c r="A141" t="s">
        <v>11</v>
      </c>
      <c r="B141" t="s">
        <v>39</v>
      </c>
      <c r="C141" t="s">
        <v>37</v>
      </c>
      <c r="D141" t="s">
        <v>35</v>
      </c>
      <c r="E141" t="s">
        <v>39</v>
      </c>
      <c r="F141" t="s">
        <v>39</v>
      </c>
      <c r="G141" t="s">
        <v>5</v>
      </c>
    </row>
    <row r="142" spans="1:7" x14ac:dyDescent="0.35">
      <c r="A142" t="s">
        <v>11</v>
      </c>
      <c r="B142" t="s">
        <v>39</v>
      </c>
      <c r="C142" t="s">
        <v>39</v>
      </c>
      <c r="D142" t="s">
        <v>39</v>
      </c>
      <c r="E142" t="s">
        <v>35</v>
      </c>
      <c r="F142" t="s">
        <v>39</v>
      </c>
      <c r="G142" t="s">
        <v>7</v>
      </c>
    </row>
    <row r="143" spans="1:7" x14ac:dyDescent="0.35">
      <c r="A143" t="s">
        <v>12</v>
      </c>
      <c r="B143" t="s">
        <v>35</v>
      </c>
      <c r="C143" t="s">
        <v>39</v>
      </c>
      <c r="D143" t="s">
        <v>39</v>
      </c>
      <c r="E143" t="s">
        <v>33</v>
      </c>
      <c r="F143" t="s">
        <v>39</v>
      </c>
      <c r="G143" t="s">
        <v>7</v>
      </c>
    </row>
    <row r="144" spans="1:7" x14ac:dyDescent="0.35">
      <c r="A144" t="s">
        <v>11</v>
      </c>
      <c r="B144" t="s">
        <v>35</v>
      </c>
      <c r="C144" t="s">
        <v>35</v>
      </c>
      <c r="D144" t="s">
        <v>37</v>
      </c>
      <c r="E144" t="s">
        <v>33</v>
      </c>
      <c r="F144" t="s">
        <v>39</v>
      </c>
      <c r="G144" t="s">
        <v>5</v>
      </c>
    </row>
    <row r="145" spans="1:7" x14ac:dyDescent="0.35">
      <c r="A145" t="s">
        <v>12</v>
      </c>
      <c r="B145" t="s">
        <v>33</v>
      </c>
      <c r="C145" t="s">
        <v>33</v>
      </c>
      <c r="D145" t="s">
        <v>33</v>
      </c>
      <c r="E145" t="s">
        <v>33</v>
      </c>
      <c r="F145" t="s">
        <v>39</v>
      </c>
      <c r="G145" t="s">
        <v>5</v>
      </c>
    </row>
    <row r="146" spans="1:7" x14ac:dyDescent="0.35">
      <c r="A146" t="s">
        <v>12</v>
      </c>
      <c r="B146" t="s">
        <v>33</v>
      </c>
      <c r="C146" t="s">
        <v>33</v>
      </c>
      <c r="D146" t="s">
        <v>33</v>
      </c>
      <c r="E146" t="s">
        <v>35</v>
      </c>
      <c r="F146" t="s">
        <v>35</v>
      </c>
      <c r="G146" t="s">
        <v>7</v>
      </c>
    </row>
    <row r="147" spans="1:7" x14ac:dyDescent="0.35">
      <c r="A147" t="s">
        <v>11</v>
      </c>
      <c r="B147" t="s">
        <v>37</v>
      </c>
      <c r="C147" t="s">
        <v>37</v>
      </c>
      <c r="D147" t="s">
        <v>37</v>
      </c>
      <c r="E147" t="s">
        <v>37</v>
      </c>
      <c r="F147" t="s">
        <v>37</v>
      </c>
      <c r="G147" t="s">
        <v>5</v>
      </c>
    </row>
    <row r="148" spans="1:7" x14ac:dyDescent="0.35">
      <c r="A148" t="s">
        <v>12</v>
      </c>
      <c r="B148" t="s">
        <v>35</v>
      </c>
      <c r="C148" t="s">
        <v>33</v>
      </c>
      <c r="D148" t="s">
        <v>37</v>
      </c>
      <c r="E148" t="s">
        <v>33</v>
      </c>
      <c r="F148" t="s">
        <v>37</v>
      </c>
      <c r="G148" t="s">
        <v>5</v>
      </c>
    </row>
    <row r="149" spans="1:7" x14ac:dyDescent="0.35">
      <c r="A149" t="s">
        <v>11</v>
      </c>
      <c r="B149" t="s">
        <v>35</v>
      </c>
      <c r="C149" t="s">
        <v>33</v>
      </c>
      <c r="D149" t="s">
        <v>33</v>
      </c>
      <c r="E149" t="s">
        <v>35</v>
      </c>
      <c r="F149" t="s">
        <v>33</v>
      </c>
      <c r="G149" t="s">
        <v>7</v>
      </c>
    </row>
    <row r="150" spans="1:7" x14ac:dyDescent="0.35">
      <c r="A150" t="s">
        <v>11</v>
      </c>
      <c r="B150" t="s">
        <v>33</v>
      </c>
      <c r="C150" t="s">
        <v>33</v>
      </c>
      <c r="D150" t="s">
        <v>33</v>
      </c>
      <c r="E150" t="s">
        <v>33</v>
      </c>
      <c r="F150" t="s">
        <v>39</v>
      </c>
      <c r="G150" t="s">
        <v>5</v>
      </c>
    </row>
    <row r="151" spans="1:7" x14ac:dyDescent="0.35">
      <c r="A151" t="s">
        <v>11</v>
      </c>
      <c r="B151" t="s">
        <v>35</v>
      </c>
      <c r="C151" t="s">
        <v>35</v>
      </c>
      <c r="D151" t="s">
        <v>35</v>
      </c>
      <c r="E151" t="s">
        <v>37</v>
      </c>
      <c r="F151" t="s">
        <v>37</v>
      </c>
      <c r="G151" t="s">
        <v>5</v>
      </c>
    </row>
    <row r="152" spans="1:7" x14ac:dyDescent="0.35">
      <c r="A152" t="s">
        <v>11</v>
      </c>
      <c r="B152" t="s">
        <v>37</v>
      </c>
      <c r="C152" t="s">
        <v>35</v>
      </c>
      <c r="D152" t="s">
        <v>33</v>
      </c>
      <c r="E152" t="s">
        <v>39</v>
      </c>
      <c r="F152" t="s">
        <v>39</v>
      </c>
      <c r="G152" t="s">
        <v>5</v>
      </c>
    </row>
    <row r="153" spans="1:7" x14ac:dyDescent="0.35">
      <c r="A153" t="s">
        <v>12</v>
      </c>
      <c r="B153" t="s">
        <v>35</v>
      </c>
      <c r="C153" t="s">
        <v>35</v>
      </c>
      <c r="D153" t="s">
        <v>37</v>
      </c>
      <c r="E153" t="s">
        <v>35</v>
      </c>
      <c r="F153" t="s">
        <v>39</v>
      </c>
      <c r="G153" t="s">
        <v>5</v>
      </c>
    </row>
    <row r="154" spans="1:7" x14ac:dyDescent="0.35">
      <c r="A154" t="s">
        <v>11</v>
      </c>
      <c r="B154" t="s">
        <v>33</v>
      </c>
      <c r="C154" t="s">
        <v>33</v>
      </c>
      <c r="D154" t="s">
        <v>33</v>
      </c>
      <c r="E154" t="s">
        <v>35</v>
      </c>
      <c r="F154" t="s">
        <v>35</v>
      </c>
      <c r="G154" t="s">
        <v>5</v>
      </c>
    </row>
    <row r="155" spans="1:7" x14ac:dyDescent="0.35">
      <c r="A155" t="s">
        <v>12</v>
      </c>
      <c r="B155" t="s">
        <v>33</v>
      </c>
      <c r="C155" t="s">
        <v>35</v>
      </c>
      <c r="D155" t="s">
        <v>33</v>
      </c>
      <c r="E155" t="s">
        <v>39</v>
      </c>
      <c r="F155" t="s">
        <v>33</v>
      </c>
      <c r="G155" t="s">
        <v>7</v>
      </c>
    </row>
    <row r="156" spans="1:7" x14ac:dyDescent="0.35">
      <c r="A156" t="s">
        <v>12</v>
      </c>
      <c r="B156" t="s">
        <v>35</v>
      </c>
      <c r="C156" t="s">
        <v>35</v>
      </c>
      <c r="D156" t="s">
        <v>33</v>
      </c>
      <c r="E156" t="s">
        <v>37</v>
      </c>
      <c r="F156" t="s">
        <v>35</v>
      </c>
      <c r="G156" t="s">
        <v>5</v>
      </c>
    </row>
    <row r="157" spans="1:7" x14ac:dyDescent="0.35">
      <c r="A157" t="s">
        <v>11</v>
      </c>
      <c r="B157" t="s">
        <v>33</v>
      </c>
      <c r="C157" t="s">
        <v>33</v>
      </c>
      <c r="D157" t="s">
        <v>33</v>
      </c>
      <c r="E157" t="s">
        <v>35</v>
      </c>
      <c r="F157" t="s">
        <v>39</v>
      </c>
      <c r="G157" t="s">
        <v>5</v>
      </c>
    </row>
    <row r="158" spans="1:7" x14ac:dyDescent="0.35">
      <c r="A158" t="s">
        <v>12</v>
      </c>
      <c r="B158" t="s">
        <v>35</v>
      </c>
      <c r="C158" t="s">
        <v>37</v>
      </c>
      <c r="D158" t="s">
        <v>39</v>
      </c>
      <c r="E158" t="s">
        <v>33</v>
      </c>
      <c r="F158" t="s">
        <v>39</v>
      </c>
      <c r="G158" t="s">
        <v>5</v>
      </c>
    </row>
    <row r="159" spans="1:7" x14ac:dyDescent="0.35">
      <c r="A159" t="s">
        <v>12</v>
      </c>
      <c r="B159" t="s">
        <v>33</v>
      </c>
      <c r="C159" t="s">
        <v>35</v>
      </c>
      <c r="D159" t="s">
        <v>33</v>
      </c>
      <c r="E159" t="s">
        <v>39</v>
      </c>
      <c r="F159" t="s">
        <v>33</v>
      </c>
      <c r="G159" t="s">
        <v>7</v>
      </c>
    </row>
    <row r="160" spans="1:7" x14ac:dyDescent="0.35">
      <c r="A160" t="s">
        <v>11</v>
      </c>
      <c r="B160" t="s">
        <v>37</v>
      </c>
      <c r="C160" t="s">
        <v>35</v>
      </c>
      <c r="D160" t="s">
        <v>37</v>
      </c>
      <c r="E160" t="s">
        <v>35</v>
      </c>
      <c r="F160" t="s">
        <v>35</v>
      </c>
      <c r="G160" t="s">
        <v>7</v>
      </c>
    </row>
    <row r="161" spans="1:7" x14ac:dyDescent="0.35">
      <c r="A161" t="s">
        <v>11</v>
      </c>
      <c r="B161" t="s">
        <v>37</v>
      </c>
      <c r="C161" t="s">
        <v>35</v>
      </c>
      <c r="D161" t="s">
        <v>35</v>
      </c>
      <c r="E161" t="s">
        <v>35</v>
      </c>
      <c r="F161" t="s">
        <v>39</v>
      </c>
      <c r="G161" t="s">
        <v>5</v>
      </c>
    </row>
    <row r="162" spans="1:7" x14ac:dyDescent="0.35">
      <c r="A162" t="s">
        <v>12</v>
      </c>
      <c r="B162" t="s">
        <v>39</v>
      </c>
      <c r="C162" t="s">
        <v>39</v>
      </c>
      <c r="D162" t="s">
        <v>39</v>
      </c>
      <c r="E162" t="s">
        <v>35</v>
      </c>
      <c r="F162" t="s">
        <v>39</v>
      </c>
      <c r="G162" t="s">
        <v>5</v>
      </c>
    </row>
    <row r="163" spans="1:7" x14ac:dyDescent="0.35">
      <c r="A163" t="s">
        <v>12</v>
      </c>
      <c r="B163" t="s">
        <v>39</v>
      </c>
      <c r="C163" t="s">
        <v>39</v>
      </c>
      <c r="D163" t="s">
        <v>39</v>
      </c>
      <c r="E163" t="s">
        <v>33</v>
      </c>
      <c r="F163" t="s">
        <v>39</v>
      </c>
      <c r="G163" t="s">
        <v>5</v>
      </c>
    </row>
    <row r="164" spans="1:7" x14ac:dyDescent="0.35">
      <c r="A164" t="s">
        <v>12</v>
      </c>
      <c r="B164" t="s">
        <v>35</v>
      </c>
      <c r="C164" t="s">
        <v>37</v>
      </c>
      <c r="D164" t="s">
        <v>37</v>
      </c>
      <c r="E164" t="s">
        <v>35</v>
      </c>
      <c r="F164" t="s">
        <v>39</v>
      </c>
      <c r="G164" t="s">
        <v>5</v>
      </c>
    </row>
    <row r="165" spans="1:7" x14ac:dyDescent="0.35">
      <c r="A165" t="s">
        <v>12</v>
      </c>
      <c r="B165" t="s">
        <v>37</v>
      </c>
      <c r="C165" t="s">
        <v>33</v>
      </c>
      <c r="D165" t="s">
        <v>33</v>
      </c>
      <c r="E165" t="s">
        <v>35</v>
      </c>
      <c r="F165" t="s">
        <v>39</v>
      </c>
      <c r="G165" t="s">
        <v>5</v>
      </c>
    </row>
    <row r="166" spans="1:7" x14ac:dyDescent="0.35">
      <c r="A166" t="s">
        <v>11</v>
      </c>
      <c r="B166" t="s">
        <v>39</v>
      </c>
      <c r="C166" t="s">
        <v>39</v>
      </c>
      <c r="D166" t="s">
        <v>37</v>
      </c>
      <c r="E166" t="s">
        <v>39</v>
      </c>
      <c r="F166" t="s">
        <v>39</v>
      </c>
      <c r="G166" t="s">
        <v>5</v>
      </c>
    </row>
    <row r="167" spans="1:7" x14ac:dyDescent="0.35">
      <c r="A167" t="s">
        <v>11</v>
      </c>
      <c r="B167" t="s">
        <v>33</v>
      </c>
      <c r="C167" t="s">
        <v>33</v>
      </c>
      <c r="D167" t="s">
        <v>33</v>
      </c>
      <c r="E167" t="s">
        <v>33</v>
      </c>
      <c r="F167" t="s">
        <v>37</v>
      </c>
      <c r="G167" t="s">
        <v>5</v>
      </c>
    </row>
    <row r="168" spans="1:7" x14ac:dyDescent="0.35">
      <c r="A168" t="s">
        <v>12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7</v>
      </c>
    </row>
    <row r="169" spans="1:7" x14ac:dyDescent="0.35">
      <c r="A169" t="s">
        <v>11</v>
      </c>
      <c r="B169" t="s">
        <v>33</v>
      </c>
      <c r="C169" t="s">
        <v>35</v>
      </c>
      <c r="D169" t="s">
        <v>35</v>
      </c>
      <c r="E169" t="s">
        <v>35</v>
      </c>
      <c r="F169" t="s">
        <v>39</v>
      </c>
      <c r="G169" t="s">
        <v>5</v>
      </c>
    </row>
    <row r="170" spans="1:7" x14ac:dyDescent="0.35">
      <c r="A170" t="s">
        <v>11</v>
      </c>
      <c r="B170" t="s">
        <v>35</v>
      </c>
      <c r="C170" t="s">
        <v>37</v>
      </c>
      <c r="D170" t="s">
        <v>39</v>
      </c>
      <c r="E170" t="s">
        <v>35</v>
      </c>
      <c r="F170" t="s">
        <v>33</v>
      </c>
      <c r="G170" t="s">
        <v>7</v>
      </c>
    </row>
    <row r="171" spans="1:7" x14ac:dyDescent="0.35">
      <c r="A171" t="s">
        <v>12</v>
      </c>
      <c r="B171" t="s">
        <v>37</v>
      </c>
      <c r="C171" t="s">
        <v>37</v>
      </c>
      <c r="D171" t="s">
        <v>37</v>
      </c>
      <c r="E171" t="s">
        <v>35</v>
      </c>
      <c r="F171" t="s">
        <v>39</v>
      </c>
      <c r="G171" t="s">
        <v>5</v>
      </c>
    </row>
    <row r="172" spans="1:7" x14ac:dyDescent="0.35">
      <c r="A172" t="s">
        <v>12</v>
      </c>
      <c r="B172" t="s">
        <v>37</v>
      </c>
      <c r="C172" t="s">
        <v>35</v>
      </c>
      <c r="D172" t="s">
        <v>35</v>
      </c>
      <c r="E172" t="s">
        <v>35</v>
      </c>
      <c r="F172" t="s">
        <v>33</v>
      </c>
      <c r="G172" t="s">
        <v>7</v>
      </c>
    </row>
    <row r="173" spans="1:7" x14ac:dyDescent="0.35">
      <c r="A173" t="s">
        <v>12</v>
      </c>
      <c r="B173" t="s">
        <v>35</v>
      </c>
      <c r="C173" t="s">
        <v>35</v>
      </c>
      <c r="D173" t="s">
        <v>35</v>
      </c>
      <c r="E173" t="s">
        <v>37</v>
      </c>
      <c r="F173" t="s">
        <v>39</v>
      </c>
      <c r="G173" t="s">
        <v>5</v>
      </c>
    </row>
    <row r="174" spans="1:7" x14ac:dyDescent="0.35">
      <c r="A174" t="s">
        <v>11</v>
      </c>
      <c r="B174" t="s">
        <v>37</v>
      </c>
      <c r="C174" t="s">
        <v>37</v>
      </c>
      <c r="D174" t="s">
        <v>33</v>
      </c>
      <c r="E174" t="s">
        <v>39</v>
      </c>
      <c r="F174" t="s">
        <v>33</v>
      </c>
      <c r="G174" t="s">
        <v>7</v>
      </c>
    </row>
    <row r="175" spans="1:7" x14ac:dyDescent="0.35">
      <c r="A175" t="s">
        <v>12</v>
      </c>
      <c r="B175" t="s">
        <v>39</v>
      </c>
      <c r="C175" t="s">
        <v>39</v>
      </c>
      <c r="D175" t="s">
        <v>39</v>
      </c>
      <c r="E175" t="s">
        <v>37</v>
      </c>
      <c r="F175" t="s">
        <v>39</v>
      </c>
      <c r="G175" t="s">
        <v>7</v>
      </c>
    </row>
    <row r="176" spans="1:7" x14ac:dyDescent="0.35">
      <c r="A176" t="s">
        <v>12</v>
      </c>
      <c r="B176" t="s">
        <v>37</v>
      </c>
      <c r="C176" t="s">
        <v>37</v>
      </c>
      <c r="D176" t="s">
        <v>37</v>
      </c>
      <c r="E176" t="s">
        <v>37</v>
      </c>
      <c r="F176" t="s">
        <v>37</v>
      </c>
      <c r="G176" t="s">
        <v>7</v>
      </c>
    </row>
    <row r="177" spans="1:7" x14ac:dyDescent="0.35">
      <c r="A177" t="s">
        <v>12</v>
      </c>
      <c r="B177" t="s">
        <v>37</v>
      </c>
      <c r="C177" t="s">
        <v>37</v>
      </c>
      <c r="D177" t="s">
        <v>37</v>
      </c>
      <c r="E177" t="s">
        <v>37</v>
      </c>
      <c r="F177" t="s">
        <v>39</v>
      </c>
      <c r="G177" t="s">
        <v>5</v>
      </c>
    </row>
    <row r="178" spans="1:7" x14ac:dyDescent="0.35">
      <c r="A178" t="s">
        <v>11</v>
      </c>
      <c r="B178" t="s">
        <v>33</v>
      </c>
      <c r="C178" t="s">
        <v>33</v>
      </c>
      <c r="D178" t="s">
        <v>35</v>
      </c>
      <c r="E178" t="s">
        <v>33</v>
      </c>
      <c r="F178" t="s">
        <v>35</v>
      </c>
      <c r="G178" t="s">
        <v>7</v>
      </c>
    </row>
    <row r="179" spans="1:7" x14ac:dyDescent="0.35">
      <c r="A179" t="s">
        <v>12</v>
      </c>
      <c r="B179" t="s">
        <v>37</v>
      </c>
      <c r="C179" t="s">
        <v>37</v>
      </c>
      <c r="D179" t="s">
        <v>37</v>
      </c>
      <c r="E179" t="s">
        <v>37</v>
      </c>
      <c r="F179" t="s">
        <v>39</v>
      </c>
      <c r="G179" t="s">
        <v>7</v>
      </c>
    </row>
    <row r="180" spans="1:7" x14ac:dyDescent="0.35">
      <c r="A180" t="s">
        <v>12</v>
      </c>
      <c r="B180" t="s">
        <v>39</v>
      </c>
      <c r="C180" t="s">
        <v>39</v>
      </c>
      <c r="D180" t="s">
        <v>37</v>
      </c>
      <c r="E180" t="s">
        <v>39</v>
      </c>
      <c r="F180" t="s">
        <v>33</v>
      </c>
      <c r="G180" t="s">
        <v>7</v>
      </c>
    </row>
    <row r="181" spans="1:7" x14ac:dyDescent="0.35">
      <c r="A181" t="s">
        <v>11</v>
      </c>
      <c r="B181" t="s">
        <v>35</v>
      </c>
      <c r="C181" t="s">
        <v>39</v>
      </c>
      <c r="D181" t="s">
        <v>37</v>
      </c>
      <c r="E181" t="s">
        <v>39</v>
      </c>
      <c r="F181" t="s">
        <v>37</v>
      </c>
      <c r="G181" t="s">
        <v>7</v>
      </c>
    </row>
    <row r="182" spans="1:7" x14ac:dyDescent="0.35">
      <c r="A182" t="s">
        <v>12</v>
      </c>
      <c r="B182" t="s">
        <v>39</v>
      </c>
      <c r="C182" t="s">
        <v>39</v>
      </c>
      <c r="D182" t="s">
        <v>39</v>
      </c>
      <c r="E182" t="s">
        <v>37</v>
      </c>
      <c r="F182" t="s">
        <v>37</v>
      </c>
      <c r="G182" t="s">
        <v>7</v>
      </c>
    </row>
    <row r="183" spans="1:7" x14ac:dyDescent="0.35">
      <c r="A183" t="s">
        <v>11</v>
      </c>
      <c r="B183" t="s">
        <v>35</v>
      </c>
      <c r="C183" t="s">
        <v>39</v>
      </c>
      <c r="D183" t="s">
        <v>37</v>
      </c>
      <c r="E183" t="s">
        <v>39</v>
      </c>
      <c r="F183" t="s">
        <v>39</v>
      </c>
      <c r="G183" t="s">
        <v>5</v>
      </c>
    </row>
    <row r="184" spans="1:7" x14ac:dyDescent="0.35">
      <c r="A184" t="s">
        <v>12</v>
      </c>
      <c r="B184" t="s">
        <v>35</v>
      </c>
      <c r="C184" t="s">
        <v>35</v>
      </c>
      <c r="D184" t="s">
        <v>33</v>
      </c>
      <c r="E184" t="s">
        <v>37</v>
      </c>
      <c r="F184" t="s">
        <v>33</v>
      </c>
      <c r="G184" t="s">
        <v>7</v>
      </c>
    </row>
    <row r="185" spans="1:7" x14ac:dyDescent="0.35">
      <c r="A185" t="s">
        <v>11</v>
      </c>
      <c r="B185" t="s">
        <v>39</v>
      </c>
      <c r="C185" t="s">
        <v>39</v>
      </c>
      <c r="D185" t="s">
        <v>39</v>
      </c>
      <c r="E185" t="s">
        <v>35</v>
      </c>
      <c r="F185" t="s">
        <v>35</v>
      </c>
      <c r="G185" t="s">
        <v>7</v>
      </c>
    </row>
    <row r="186" spans="1:7" x14ac:dyDescent="0.35">
      <c r="A186" t="s">
        <v>12</v>
      </c>
      <c r="B186" t="s">
        <v>39</v>
      </c>
      <c r="C186" t="s">
        <v>39</v>
      </c>
      <c r="D186" t="s">
        <v>39</v>
      </c>
      <c r="E186" t="s">
        <v>37</v>
      </c>
      <c r="F186" t="s">
        <v>39</v>
      </c>
      <c r="G186" t="s">
        <v>5</v>
      </c>
    </row>
    <row r="187" spans="1:7" x14ac:dyDescent="0.35">
      <c r="A187" t="s">
        <v>11</v>
      </c>
      <c r="B187" t="s">
        <v>37</v>
      </c>
      <c r="C187" t="s">
        <v>37</v>
      </c>
      <c r="D187" t="s">
        <v>39</v>
      </c>
      <c r="E187" t="s">
        <v>35</v>
      </c>
      <c r="F187" t="s">
        <v>39</v>
      </c>
      <c r="G187" t="s">
        <v>7</v>
      </c>
    </row>
    <row r="188" spans="1:7" x14ac:dyDescent="0.35">
      <c r="A188" t="s">
        <v>12</v>
      </c>
      <c r="B188" t="s">
        <v>39</v>
      </c>
      <c r="C188" t="s">
        <v>39</v>
      </c>
      <c r="D188" t="s">
        <v>39</v>
      </c>
      <c r="E188" t="s">
        <v>37</v>
      </c>
      <c r="F188" t="s">
        <v>39</v>
      </c>
      <c r="G188" t="s">
        <v>7</v>
      </c>
    </row>
    <row r="189" spans="1:7" x14ac:dyDescent="0.35">
      <c r="A189" t="s">
        <v>12</v>
      </c>
      <c r="B189" t="s">
        <v>35</v>
      </c>
      <c r="C189" t="s">
        <v>37</v>
      </c>
      <c r="D189" t="s">
        <v>37</v>
      </c>
      <c r="E189" t="s">
        <v>35</v>
      </c>
      <c r="F189" t="s">
        <v>37</v>
      </c>
      <c r="G189" t="s">
        <v>7</v>
      </c>
    </row>
    <row r="190" spans="1:7" x14ac:dyDescent="0.35">
      <c r="A190" t="s">
        <v>11</v>
      </c>
      <c r="B190" t="s">
        <v>35</v>
      </c>
      <c r="C190" t="s">
        <v>37</v>
      </c>
      <c r="D190" t="s">
        <v>37</v>
      </c>
      <c r="E190" t="s">
        <v>37</v>
      </c>
      <c r="F190" t="s">
        <v>39</v>
      </c>
      <c r="G190" t="s">
        <v>5</v>
      </c>
    </row>
    <row r="191" spans="1:7" x14ac:dyDescent="0.35">
      <c r="A191" t="s">
        <v>11</v>
      </c>
      <c r="B191" t="s">
        <v>33</v>
      </c>
      <c r="C191" t="s">
        <v>33</v>
      </c>
      <c r="D191" t="s">
        <v>33</v>
      </c>
      <c r="E191" t="s">
        <v>33</v>
      </c>
      <c r="F191" t="s">
        <v>35</v>
      </c>
      <c r="G191" t="s">
        <v>5</v>
      </c>
    </row>
    <row r="192" spans="1:7" x14ac:dyDescent="0.35">
      <c r="A192" t="s">
        <v>12</v>
      </c>
      <c r="B192" t="s">
        <v>33</v>
      </c>
      <c r="C192" t="s">
        <v>33</v>
      </c>
      <c r="D192" t="s">
        <v>33</v>
      </c>
      <c r="E192" t="s">
        <v>37</v>
      </c>
      <c r="F192" t="s">
        <v>33</v>
      </c>
      <c r="G192" t="s">
        <v>7</v>
      </c>
    </row>
    <row r="193" spans="1:7" x14ac:dyDescent="0.35">
      <c r="A193" t="s">
        <v>11</v>
      </c>
      <c r="B193" t="s">
        <v>35</v>
      </c>
      <c r="C193" t="s">
        <v>35</v>
      </c>
      <c r="D193" t="s">
        <v>35</v>
      </c>
      <c r="E193" t="s">
        <v>37</v>
      </c>
      <c r="F193" t="s">
        <v>37</v>
      </c>
      <c r="G193" t="s">
        <v>5</v>
      </c>
    </row>
    <row r="194" spans="1:7" x14ac:dyDescent="0.35">
      <c r="A194" t="s">
        <v>12</v>
      </c>
      <c r="B194" t="s">
        <v>37</v>
      </c>
      <c r="C194" t="s">
        <v>39</v>
      </c>
      <c r="D194" t="s">
        <v>35</v>
      </c>
      <c r="E194" t="s">
        <v>39</v>
      </c>
      <c r="F194" t="s">
        <v>35</v>
      </c>
      <c r="G194" t="s">
        <v>7</v>
      </c>
    </row>
    <row r="195" spans="1:7" x14ac:dyDescent="0.35">
      <c r="A195" t="s">
        <v>11</v>
      </c>
      <c r="B195" t="s">
        <v>39</v>
      </c>
      <c r="C195" t="s">
        <v>37</v>
      </c>
      <c r="D195" t="s">
        <v>39</v>
      </c>
      <c r="E195" t="s">
        <v>35</v>
      </c>
      <c r="F195" t="s">
        <v>35</v>
      </c>
      <c r="G195" t="s">
        <v>5</v>
      </c>
    </row>
    <row r="196" spans="1:7" x14ac:dyDescent="0.35">
      <c r="A196" t="s">
        <v>11</v>
      </c>
      <c r="B196" t="s">
        <v>39</v>
      </c>
      <c r="C196" t="s">
        <v>37</v>
      </c>
      <c r="D196" t="s">
        <v>33</v>
      </c>
      <c r="E196" t="s">
        <v>39</v>
      </c>
      <c r="F196" t="s">
        <v>39</v>
      </c>
      <c r="G196" t="s">
        <v>7</v>
      </c>
    </row>
    <row r="197" spans="1:7" x14ac:dyDescent="0.35">
      <c r="A197" t="s">
        <v>12</v>
      </c>
      <c r="B197" t="s">
        <v>39</v>
      </c>
      <c r="C197" t="s">
        <v>39</v>
      </c>
      <c r="D197" t="s">
        <v>39</v>
      </c>
      <c r="E197" t="s">
        <v>37</v>
      </c>
      <c r="F197" t="s">
        <v>39</v>
      </c>
      <c r="G197" t="s">
        <v>7</v>
      </c>
    </row>
    <row r="198" spans="1:7" x14ac:dyDescent="0.35">
      <c r="A198" t="s">
        <v>12</v>
      </c>
      <c r="B198" t="s">
        <v>39</v>
      </c>
      <c r="C198" t="s">
        <v>37</v>
      </c>
      <c r="D198" t="s">
        <v>35</v>
      </c>
      <c r="E198" t="s">
        <v>39</v>
      </c>
      <c r="F198" t="s">
        <v>33</v>
      </c>
      <c r="G198" t="s">
        <v>7</v>
      </c>
    </row>
    <row r="199" spans="1:7" x14ac:dyDescent="0.35">
      <c r="A199" t="s">
        <v>11</v>
      </c>
      <c r="B199" t="s">
        <v>39</v>
      </c>
      <c r="C199" t="s">
        <v>39</v>
      </c>
      <c r="D199" t="s">
        <v>39</v>
      </c>
      <c r="E199" t="s">
        <v>37</v>
      </c>
      <c r="F199" t="s">
        <v>37</v>
      </c>
      <c r="G199" t="s">
        <v>7</v>
      </c>
    </row>
    <row r="200" spans="1:7" x14ac:dyDescent="0.35">
      <c r="A200" t="s">
        <v>11</v>
      </c>
      <c r="B200" t="s">
        <v>35</v>
      </c>
      <c r="C200" t="s">
        <v>39</v>
      </c>
      <c r="D200" t="s">
        <v>33</v>
      </c>
      <c r="E200" t="s">
        <v>39</v>
      </c>
      <c r="F200" t="s">
        <v>33</v>
      </c>
      <c r="G200" t="s">
        <v>7</v>
      </c>
    </row>
    <row r="201" spans="1:7" x14ac:dyDescent="0.35">
      <c r="A201" t="s">
        <v>12</v>
      </c>
      <c r="B201" t="s">
        <v>35</v>
      </c>
      <c r="C201" t="s">
        <v>35</v>
      </c>
      <c r="D201" t="s">
        <v>37</v>
      </c>
      <c r="E201" t="s">
        <v>33</v>
      </c>
      <c r="F201" t="s">
        <v>35</v>
      </c>
      <c r="G201" t="s">
        <v>5</v>
      </c>
    </row>
    <row r="202" spans="1:7" x14ac:dyDescent="0.35">
      <c r="A202" t="s">
        <v>11</v>
      </c>
      <c r="B202" t="s">
        <v>39</v>
      </c>
      <c r="C202" t="s">
        <v>39</v>
      </c>
      <c r="D202" t="s">
        <v>39</v>
      </c>
      <c r="E202" t="s">
        <v>39</v>
      </c>
      <c r="F202" t="s">
        <v>35</v>
      </c>
      <c r="G202" t="s">
        <v>7</v>
      </c>
    </row>
    <row r="203" spans="1:7" x14ac:dyDescent="0.35">
      <c r="A203" t="s">
        <v>12</v>
      </c>
      <c r="B203" t="s">
        <v>37</v>
      </c>
      <c r="C203" t="s">
        <v>37</v>
      </c>
      <c r="D203" t="s">
        <v>39</v>
      </c>
      <c r="E203" t="s">
        <v>35</v>
      </c>
      <c r="F203" t="s">
        <v>39</v>
      </c>
      <c r="G203" t="s">
        <v>5</v>
      </c>
    </row>
    <row r="204" spans="1:7" x14ac:dyDescent="0.35">
      <c r="A204" t="s">
        <v>12</v>
      </c>
      <c r="B204" t="s">
        <v>35</v>
      </c>
      <c r="C204" t="s">
        <v>35</v>
      </c>
      <c r="D204" t="s">
        <v>37</v>
      </c>
      <c r="E204" t="s">
        <v>35</v>
      </c>
      <c r="F204" t="s">
        <v>39</v>
      </c>
      <c r="G204" t="s">
        <v>5</v>
      </c>
    </row>
    <row r="205" spans="1:7" x14ac:dyDescent="0.35">
      <c r="A205" t="s">
        <v>12</v>
      </c>
      <c r="B205" t="s">
        <v>37</v>
      </c>
      <c r="C205" t="s">
        <v>35</v>
      </c>
      <c r="D205" t="s">
        <v>35</v>
      </c>
      <c r="E205" t="s">
        <v>35</v>
      </c>
      <c r="F205" t="s">
        <v>39</v>
      </c>
      <c r="G205" t="s">
        <v>5</v>
      </c>
    </row>
    <row r="206" spans="1:7" x14ac:dyDescent="0.35">
      <c r="A206" t="s">
        <v>11</v>
      </c>
      <c r="B206" t="s">
        <v>39</v>
      </c>
      <c r="C206" t="s">
        <v>37</v>
      </c>
      <c r="D206" t="s">
        <v>39</v>
      </c>
      <c r="E206" t="s">
        <v>35</v>
      </c>
      <c r="F206" t="s">
        <v>39</v>
      </c>
      <c r="G206" t="s">
        <v>5</v>
      </c>
    </row>
    <row r="207" spans="1:7" x14ac:dyDescent="0.35">
      <c r="A207" t="s">
        <v>12</v>
      </c>
      <c r="B207" t="s">
        <v>35</v>
      </c>
      <c r="C207" t="s">
        <v>33</v>
      </c>
      <c r="D207" t="s">
        <v>33</v>
      </c>
      <c r="E207" t="s">
        <v>33</v>
      </c>
      <c r="F207" t="s">
        <v>39</v>
      </c>
      <c r="G207" t="s">
        <v>5</v>
      </c>
    </row>
    <row r="208" spans="1:7" x14ac:dyDescent="0.35">
      <c r="A208" t="s">
        <v>12</v>
      </c>
      <c r="B208" t="s">
        <v>37</v>
      </c>
      <c r="C208" t="s">
        <v>37</v>
      </c>
      <c r="D208" t="s">
        <v>37</v>
      </c>
      <c r="E208" t="s">
        <v>35</v>
      </c>
      <c r="F208" t="s">
        <v>39</v>
      </c>
      <c r="G208" t="s">
        <v>5</v>
      </c>
    </row>
    <row r="209" spans="1:7" x14ac:dyDescent="0.35">
      <c r="A209" t="s">
        <v>11</v>
      </c>
      <c r="B209" t="s">
        <v>35</v>
      </c>
      <c r="C209" t="s">
        <v>35</v>
      </c>
      <c r="D209" t="s">
        <v>35</v>
      </c>
      <c r="E209" t="s">
        <v>35</v>
      </c>
      <c r="F209" t="s">
        <v>39</v>
      </c>
      <c r="G209" t="s">
        <v>7</v>
      </c>
    </row>
    <row r="210" spans="1:7" x14ac:dyDescent="0.35">
      <c r="A210" t="s">
        <v>12</v>
      </c>
      <c r="B210" t="s">
        <v>33</v>
      </c>
      <c r="C210" t="s">
        <v>33</v>
      </c>
      <c r="D210" t="s">
        <v>33</v>
      </c>
      <c r="E210" t="s">
        <v>35</v>
      </c>
      <c r="F210" t="s">
        <v>37</v>
      </c>
      <c r="G210" t="s">
        <v>5</v>
      </c>
    </row>
    <row r="211" spans="1:7" x14ac:dyDescent="0.35">
      <c r="A211" t="s">
        <v>12</v>
      </c>
      <c r="B211" t="s">
        <v>35</v>
      </c>
      <c r="C211" t="s">
        <v>37</v>
      </c>
      <c r="D211" t="s">
        <v>39</v>
      </c>
      <c r="E211" t="s">
        <v>35</v>
      </c>
      <c r="F211" t="s">
        <v>37</v>
      </c>
      <c r="G211" t="s">
        <v>7</v>
      </c>
    </row>
    <row r="212" spans="1:7" x14ac:dyDescent="0.35">
      <c r="A212" t="s">
        <v>11</v>
      </c>
      <c r="B212" t="s">
        <v>37</v>
      </c>
      <c r="C212" t="s">
        <v>37</v>
      </c>
      <c r="D212" t="s">
        <v>37</v>
      </c>
      <c r="E212" t="s">
        <v>37</v>
      </c>
      <c r="F212" t="s">
        <v>33</v>
      </c>
      <c r="G212" t="s">
        <v>7</v>
      </c>
    </row>
    <row r="213" spans="1:7" x14ac:dyDescent="0.35">
      <c r="A213" t="s">
        <v>12</v>
      </c>
      <c r="B213" t="s">
        <v>37</v>
      </c>
      <c r="C213" t="s">
        <v>37</v>
      </c>
      <c r="D213" t="s">
        <v>37</v>
      </c>
      <c r="E213" t="s">
        <v>37</v>
      </c>
      <c r="F213" t="s">
        <v>37</v>
      </c>
      <c r="G213" t="s">
        <v>7</v>
      </c>
    </row>
    <row r="214" spans="1:7" x14ac:dyDescent="0.35">
      <c r="A214" t="s">
        <v>12</v>
      </c>
      <c r="B214" t="s">
        <v>35</v>
      </c>
      <c r="C214" t="s">
        <v>35</v>
      </c>
      <c r="D214" t="s">
        <v>33</v>
      </c>
      <c r="E214" t="s">
        <v>37</v>
      </c>
      <c r="F214" t="s">
        <v>37</v>
      </c>
      <c r="G214" t="s">
        <v>5</v>
      </c>
    </row>
    <row r="215" spans="1:7" x14ac:dyDescent="0.35">
      <c r="A215" t="s">
        <v>11</v>
      </c>
      <c r="B215" t="s">
        <v>33</v>
      </c>
      <c r="C215" t="s">
        <v>33</v>
      </c>
      <c r="D215" t="s">
        <v>35</v>
      </c>
      <c r="E215" t="s">
        <v>35</v>
      </c>
      <c r="F215" t="s">
        <v>33</v>
      </c>
      <c r="G215" t="s">
        <v>7</v>
      </c>
    </row>
    <row r="216" spans="1:7" x14ac:dyDescent="0.35">
      <c r="A216" t="s">
        <v>11</v>
      </c>
      <c r="B216" t="s">
        <v>39</v>
      </c>
      <c r="C216" t="s">
        <v>37</v>
      </c>
      <c r="D216" t="s">
        <v>39</v>
      </c>
      <c r="E216" t="s">
        <v>33</v>
      </c>
      <c r="F216" t="s">
        <v>39</v>
      </c>
      <c r="G216" t="s">
        <v>5</v>
      </c>
    </row>
    <row r="217" spans="1:7" x14ac:dyDescent="0.35">
      <c r="A217" t="s">
        <v>12</v>
      </c>
      <c r="B217" t="s">
        <v>39</v>
      </c>
      <c r="C217" t="s">
        <v>39</v>
      </c>
      <c r="D217" t="s">
        <v>39</v>
      </c>
      <c r="E217" t="s">
        <v>37</v>
      </c>
      <c r="F217" t="s">
        <v>39</v>
      </c>
      <c r="G217" t="s">
        <v>7</v>
      </c>
    </row>
    <row r="218" spans="1:7" x14ac:dyDescent="0.35">
      <c r="A218" t="s">
        <v>11</v>
      </c>
      <c r="B218" t="s">
        <v>37</v>
      </c>
      <c r="C218" t="s">
        <v>33</v>
      </c>
      <c r="D218" t="s">
        <v>33</v>
      </c>
      <c r="E218" t="s">
        <v>37</v>
      </c>
      <c r="F218" t="s">
        <v>39</v>
      </c>
      <c r="G218" t="s">
        <v>5</v>
      </c>
    </row>
    <row r="219" spans="1:7" x14ac:dyDescent="0.35">
      <c r="A219" t="s">
        <v>11</v>
      </c>
      <c r="B219" t="s">
        <v>37</v>
      </c>
      <c r="C219" t="s">
        <v>37</v>
      </c>
      <c r="D219" t="s">
        <v>37</v>
      </c>
      <c r="E219" t="s">
        <v>37</v>
      </c>
      <c r="F219" t="s">
        <v>39</v>
      </c>
      <c r="G219" t="s">
        <v>5</v>
      </c>
    </row>
    <row r="220" spans="1:7" x14ac:dyDescent="0.35">
      <c r="A220" t="s">
        <v>12</v>
      </c>
      <c r="B220" t="s">
        <v>35</v>
      </c>
      <c r="C220" t="s">
        <v>33</v>
      </c>
      <c r="D220" t="s">
        <v>35</v>
      </c>
      <c r="E220" t="s">
        <v>33</v>
      </c>
      <c r="F220" t="s">
        <v>39</v>
      </c>
      <c r="G220" t="s">
        <v>5</v>
      </c>
    </row>
    <row r="221" spans="1:7" x14ac:dyDescent="0.35">
      <c r="A221" t="s">
        <v>11</v>
      </c>
      <c r="B221" t="s">
        <v>35</v>
      </c>
      <c r="C221" t="s">
        <v>37</v>
      </c>
      <c r="D221" t="s">
        <v>35</v>
      </c>
      <c r="E221" t="s">
        <v>39</v>
      </c>
      <c r="F221" t="s">
        <v>39</v>
      </c>
      <c r="G221" t="s">
        <v>7</v>
      </c>
    </row>
    <row r="222" spans="1:7" x14ac:dyDescent="0.35">
      <c r="A222" t="s">
        <v>11</v>
      </c>
      <c r="B222" t="s">
        <v>39</v>
      </c>
      <c r="C222" t="s">
        <v>39</v>
      </c>
      <c r="D222" t="s">
        <v>39</v>
      </c>
      <c r="E222" t="s">
        <v>35</v>
      </c>
      <c r="F222" t="s">
        <v>39</v>
      </c>
      <c r="G222" t="s">
        <v>7</v>
      </c>
    </row>
    <row r="223" spans="1:7" x14ac:dyDescent="0.35">
      <c r="A223" t="s">
        <v>11</v>
      </c>
      <c r="B223" t="s">
        <v>37</v>
      </c>
      <c r="C223" t="s">
        <v>37</v>
      </c>
      <c r="D223" t="s">
        <v>37</v>
      </c>
      <c r="E223" t="s">
        <v>37</v>
      </c>
      <c r="F223" t="s">
        <v>35</v>
      </c>
      <c r="G223" t="s">
        <v>7</v>
      </c>
    </row>
    <row r="224" spans="1:7" x14ac:dyDescent="0.35">
      <c r="A224" t="s">
        <v>12</v>
      </c>
      <c r="B224" t="s">
        <v>39</v>
      </c>
      <c r="C224" t="s">
        <v>39</v>
      </c>
      <c r="D224" t="s">
        <v>39</v>
      </c>
      <c r="E224" t="s">
        <v>39</v>
      </c>
      <c r="F224" t="s">
        <v>33</v>
      </c>
      <c r="G224" t="s">
        <v>7</v>
      </c>
    </row>
    <row r="225" spans="1:7" x14ac:dyDescent="0.35">
      <c r="A225" t="s">
        <v>12</v>
      </c>
      <c r="B225" t="s">
        <v>39</v>
      </c>
      <c r="C225" t="s">
        <v>37</v>
      </c>
      <c r="D225" t="s">
        <v>39</v>
      </c>
      <c r="E225" t="s">
        <v>33</v>
      </c>
      <c r="F225" t="s">
        <v>35</v>
      </c>
      <c r="G225" t="s">
        <v>7</v>
      </c>
    </row>
    <row r="226" spans="1:7" x14ac:dyDescent="0.35">
      <c r="A226" t="s">
        <v>12</v>
      </c>
      <c r="B226" t="s">
        <v>37</v>
      </c>
      <c r="C226" t="s">
        <v>35</v>
      </c>
      <c r="D226" t="s">
        <v>39</v>
      </c>
      <c r="E226" t="s">
        <v>33</v>
      </c>
      <c r="F226" t="s">
        <v>33</v>
      </c>
      <c r="G226" t="s">
        <v>7</v>
      </c>
    </row>
    <row r="227" spans="1:7" x14ac:dyDescent="0.35">
      <c r="A227" t="s">
        <v>11</v>
      </c>
      <c r="B227" t="s">
        <v>33</v>
      </c>
      <c r="C227" t="s">
        <v>37</v>
      </c>
      <c r="D227" t="s">
        <v>37</v>
      </c>
      <c r="E227" t="s">
        <v>35</v>
      </c>
      <c r="F227" t="s">
        <v>37</v>
      </c>
      <c r="G227" t="s">
        <v>5</v>
      </c>
    </row>
    <row r="228" spans="1:7" x14ac:dyDescent="0.35">
      <c r="A228" t="s">
        <v>11</v>
      </c>
      <c r="B228" t="s">
        <v>37</v>
      </c>
      <c r="C228" t="s">
        <v>33</v>
      </c>
      <c r="D228" t="s">
        <v>35</v>
      </c>
      <c r="E228" t="s">
        <v>35</v>
      </c>
      <c r="F228" t="s">
        <v>37</v>
      </c>
      <c r="G228" t="s">
        <v>5</v>
      </c>
    </row>
    <row r="229" spans="1:7" x14ac:dyDescent="0.35">
      <c r="A229" t="s">
        <v>11</v>
      </c>
      <c r="B229" t="s">
        <v>35</v>
      </c>
      <c r="C229" t="s">
        <v>37</v>
      </c>
      <c r="D229" t="s">
        <v>35</v>
      </c>
      <c r="E229" t="s">
        <v>37</v>
      </c>
      <c r="F229" t="s">
        <v>39</v>
      </c>
      <c r="G229" t="s">
        <v>5</v>
      </c>
    </row>
    <row r="230" spans="1:7" x14ac:dyDescent="0.35">
      <c r="A230" t="s">
        <v>11</v>
      </c>
      <c r="B230" t="s">
        <v>37</v>
      </c>
      <c r="C230" t="s">
        <v>37</v>
      </c>
      <c r="D230" t="s">
        <v>37</v>
      </c>
      <c r="E230" t="s">
        <v>35</v>
      </c>
      <c r="F230" t="s">
        <v>39</v>
      </c>
      <c r="G230" t="s">
        <v>5</v>
      </c>
    </row>
    <row r="231" spans="1:7" x14ac:dyDescent="0.35">
      <c r="A231" t="s">
        <v>11</v>
      </c>
      <c r="B231" t="s">
        <v>33</v>
      </c>
      <c r="C231" t="s">
        <v>33</v>
      </c>
      <c r="D231" t="s">
        <v>35</v>
      </c>
      <c r="E231" t="s">
        <v>33</v>
      </c>
      <c r="F231" t="s">
        <v>39</v>
      </c>
      <c r="G231" t="s">
        <v>5</v>
      </c>
    </row>
    <row r="232" spans="1:7" x14ac:dyDescent="0.35">
      <c r="A232" t="s">
        <v>11</v>
      </c>
      <c r="B232" t="s">
        <v>33</v>
      </c>
      <c r="C232" t="s">
        <v>33</v>
      </c>
      <c r="D232" t="s">
        <v>33</v>
      </c>
      <c r="E232" t="s">
        <v>35</v>
      </c>
      <c r="F232" t="s">
        <v>35</v>
      </c>
      <c r="G232" t="s">
        <v>5</v>
      </c>
    </row>
    <row r="233" spans="1:7" x14ac:dyDescent="0.35">
      <c r="A233" t="s">
        <v>11</v>
      </c>
      <c r="B233" t="s">
        <v>35</v>
      </c>
      <c r="C233" t="s">
        <v>39</v>
      </c>
      <c r="D233" t="s">
        <v>35</v>
      </c>
      <c r="E233" t="s">
        <v>39</v>
      </c>
      <c r="F233" t="s">
        <v>35</v>
      </c>
      <c r="G233" t="s">
        <v>7</v>
      </c>
    </row>
    <row r="234" spans="1:7" x14ac:dyDescent="0.35">
      <c r="A234" t="s">
        <v>12</v>
      </c>
      <c r="B234" t="s">
        <v>39</v>
      </c>
      <c r="C234" t="s">
        <v>39</v>
      </c>
      <c r="D234" t="s">
        <v>39</v>
      </c>
      <c r="E234" t="s">
        <v>37</v>
      </c>
      <c r="F234" t="s">
        <v>33</v>
      </c>
      <c r="G234" t="s">
        <v>7</v>
      </c>
    </row>
    <row r="235" spans="1:7" x14ac:dyDescent="0.35">
      <c r="A235" t="s">
        <v>12</v>
      </c>
      <c r="B235" t="s">
        <v>37</v>
      </c>
      <c r="C235" t="s">
        <v>35</v>
      </c>
      <c r="D235" t="s">
        <v>33</v>
      </c>
      <c r="E235" t="s">
        <v>39</v>
      </c>
      <c r="F235" t="s">
        <v>39</v>
      </c>
      <c r="G235" t="s">
        <v>7</v>
      </c>
    </row>
    <row r="236" spans="1:7" x14ac:dyDescent="0.35">
      <c r="A236" t="s">
        <v>12</v>
      </c>
      <c r="B236" t="s">
        <v>37</v>
      </c>
      <c r="C236" t="s">
        <v>37</v>
      </c>
      <c r="D236" t="s">
        <v>37</v>
      </c>
      <c r="E236" t="s">
        <v>37</v>
      </c>
      <c r="F236" t="s">
        <v>39</v>
      </c>
      <c r="G236" t="s">
        <v>7</v>
      </c>
    </row>
    <row r="237" spans="1:7" x14ac:dyDescent="0.35">
      <c r="A237" t="s">
        <v>12</v>
      </c>
      <c r="B237" t="s">
        <v>33</v>
      </c>
      <c r="C237" t="s">
        <v>33</v>
      </c>
      <c r="D237" t="s">
        <v>33</v>
      </c>
      <c r="E237" t="s">
        <v>37</v>
      </c>
      <c r="F237" t="s">
        <v>39</v>
      </c>
      <c r="G237" t="s">
        <v>5</v>
      </c>
    </row>
    <row r="238" spans="1:7" x14ac:dyDescent="0.35">
      <c r="A238" t="s">
        <v>11</v>
      </c>
      <c r="B238" t="s">
        <v>33</v>
      </c>
      <c r="C238" t="s">
        <v>33</v>
      </c>
      <c r="D238" t="s">
        <v>33</v>
      </c>
      <c r="E238" t="s">
        <v>33</v>
      </c>
      <c r="F238" t="s">
        <v>39</v>
      </c>
      <c r="G238" t="s">
        <v>5</v>
      </c>
    </row>
    <row r="239" spans="1:7" x14ac:dyDescent="0.35">
      <c r="A239" t="s">
        <v>11</v>
      </c>
      <c r="B239" t="s">
        <v>37</v>
      </c>
      <c r="C239" t="s">
        <v>37</v>
      </c>
      <c r="D239" t="s">
        <v>37</v>
      </c>
      <c r="E239" t="s">
        <v>37</v>
      </c>
      <c r="F239" t="s">
        <v>39</v>
      </c>
      <c r="G239" t="s">
        <v>7</v>
      </c>
    </row>
    <row r="240" spans="1:7" x14ac:dyDescent="0.35">
      <c r="A240" t="s">
        <v>12</v>
      </c>
      <c r="B240" t="s">
        <v>37</v>
      </c>
      <c r="C240" t="s">
        <v>39</v>
      </c>
      <c r="D240" t="s">
        <v>39</v>
      </c>
      <c r="E240" t="s">
        <v>35</v>
      </c>
      <c r="F240" t="s">
        <v>35</v>
      </c>
      <c r="G240" t="s">
        <v>7</v>
      </c>
    </row>
    <row r="241" spans="1:7" x14ac:dyDescent="0.35">
      <c r="A241" t="s">
        <v>11</v>
      </c>
      <c r="B241" t="s">
        <v>39</v>
      </c>
      <c r="C241" t="s">
        <v>37</v>
      </c>
      <c r="D241" t="s">
        <v>39</v>
      </c>
      <c r="E241" t="s">
        <v>35</v>
      </c>
      <c r="F241" t="s">
        <v>39</v>
      </c>
      <c r="G241" t="s">
        <v>5</v>
      </c>
    </row>
    <row r="242" spans="1:7" x14ac:dyDescent="0.35">
      <c r="A242" t="s">
        <v>11</v>
      </c>
      <c r="B242" t="s">
        <v>35</v>
      </c>
      <c r="C242" t="s">
        <v>37</v>
      </c>
      <c r="D242" t="s">
        <v>33</v>
      </c>
      <c r="E242" t="s">
        <v>39</v>
      </c>
      <c r="F242" t="s">
        <v>35</v>
      </c>
      <c r="G242" t="s">
        <v>7</v>
      </c>
    </row>
    <row r="243" spans="1:7" x14ac:dyDescent="0.35">
      <c r="A243" t="s">
        <v>11</v>
      </c>
      <c r="B243" t="s">
        <v>37</v>
      </c>
      <c r="C243" t="s">
        <v>35</v>
      </c>
      <c r="D243" t="s">
        <v>33</v>
      </c>
      <c r="E243" t="s">
        <v>39</v>
      </c>
      <c r="F243" t="s">
        <v>37</v>
      </c>
      <c r="G243" t="s">
        <v>5</v>
      </c>
    </row>
    <row r="244" spans="1:7" x14ac:dyDescent="0.35">
      <c r="A244" t="s">
        <v>11</v>
      </c>
      <c r="B244" t="s">
        <v>33</v>
      </c>
      <c r="C244" t="s">
        <v>33</v>
      </c>
      <c r="D244" t="s">
        <v>33</v>
      </c>
      <c r="E244" t="s">
        <v>33</v>
      </c>
      <c r="F244" t="s">
        <v>39</v>
      </c>
      <c r="G244" t="s">
        <v>5</v>
      </c>
    </row>
    <row r="245" spans="1:7" x14ac:dyDescent="0.35">
      <c r="A245" t="s">
        <v>11</v>
      </c>
      <c r="B245" t="s">
        <v>37</v>
      </c>
      <c r="C245" t="s">
        <v>35</v>
      </c>
      <c r="D245" t="s">
        <v>33</v>
      </c>
      <c r="E245" t="s">
        <v>39</v>
      </c>
      <c r="F245" t="s">
        <v>33</v>
      </c>
      <c r="G245" t="s">
        <v>7</v>
      </c>
    </row>
    <row r="246" spans="1:7" x14ac:dyDescent="0.35">
      <c r="A246" t="s">
        <v>12</v>
      </c>
      <c r="B246" t="s">
        <v>39</v>
      </c>
      <c r="C246" t="s">
        <v>39</v>
      </c>
      <c r="D246" t="s">
        <v>39</v>
      </c>
      <c r="E246" t="s">
        <v>39</v>
      </c>
      <c r="F246" t="s">
        <v>39</v>
      </c>
      <c r="G246" t="s">
        <v>7</v>
      </c>
    </row>
    <row r="247" spans="1:7" x14ac:dyDescent="0.35">
      <c r="A247" t="s">
        <v>11</v>
      </c>
      <c r="B247" t="s">
        <v>35</v>
      </c>
      <c r="C247" t="s">
        <v>37</v>
      </c>
      <c r="D247" t="s">
        <v>37</v>
      </c>
      <c r="E247" t="s">
        <v>35</v>
      </c>
      <c r="F247" t="s">
        <v>35</v>
      </c>
      <c r="G247" t="s">
        <v>7</v>
      </c>
    </row>
    <row r="248" spans="1:7" x14ac:dyDescent="0.35">
      <c r="A248" t="s">
        <v>11</v>
      </c>
      <c r="B248" t="s">
        <v>37</v>
      </c>
      <c r="C248" t="s">
        <v>37</v>
      </c>
      <c r="D248" t="s">
        <v>37</v>
      </c>
      <c r="E248" t="s">
        <v>37</v>
      </c>
      <c r="F248" t="s">
        <v>37</v>
      </c>
      <c r="G248" t="s">
        <v>7</v>
      </c>
    </row>
    <row r="249" spans="1:7" x14ac:dyDescent="0.35">
      <c r="A249" t="s">
        <v>12</v>
      </c>
      <c r="B249" t="s">
        <v>37</v>
      </c>
      <c r="C249" t="s">
        <v>37</v>
      </c>
      <c r="D249" t="s">
        <v>39</v>
      </c>
      <c r="E249" t="s">
        <v>33</v>
      </c>
      <c r="F249" t="s">
        <v>39</v>
      </c>
      <c r="G249" t="s">
        <v>5</v>
      </c>
    </row>
    <row r="250" spans="1:7" x14ac:dyDescent="0.35">
      <c r="A250" t="s">
        <v>11</v>
      </c>
      <c r="B250" t="s">
        <v>39</v>
      </c>
      <c r="C250" t="s">
        <v>39</v>
      </c>
      <c r="D250" t="s">
        <v>37</v>
      </c>
      <c r="E250" t="s">
        <v>39</v>
      </c>
      <c r="F250" t="s">
        <v>39</v>
      </c>
      <c r="G250" t="s">
        <v>7</v>
      </c>
    </row>
    <row r="251" spans="1:7" x14ac:dyDescent="0.35">
      <c r="A251" t="s">
        <v>11</v>
      </c>
      <c r="B251" t="s">
        <v>39</v>
      </c>
      <c r="C251" t="s">
        <v>39</v>
      </c>
      <c r="D251" t="s">
        <v>39</v>
      </c>
      <c r="E251" t="s">
        <v>35</v>
      </c>
      <c r="F251" t="s">
        <v>37</v>
      </c>
      <c r="G251" t="s">
        <v>7</v>
      </c>
    </row>
    <row r="252" spans="1:7" x14ac:dyDescent="0.35">
      <c r="A252" t="s">
        <v>11</v>
      </c>
      <c r="B252" t="s">
        <v>37</v>
      </c>
      <c r="C252" t="s">
        <v>35</v>
      </c>
      <c r="D252" t="s">
        <v>33</v>
      </c>
      <c r="E252" t="s">
        <v>37</v>
      </c>
      <c r="F252" t="s">
        <v>37</v>
      </c>
      <c r="G252" t="s">
        <v>5</v>
      </c>
    </row>
    <row r="253" spans="1:7" x14ac:dyDescent="0.35">
      <c r="A253" t="s">
        <v>11</v>
      </c>
      <c r="B253" t="s">
        <v>35</v>
      </c>
      <c r="C253" t="s">
        <v>35</v>
      </c>
      <c r="D253" t="s">
        <v>33</v>
      </c>
      <c r="E253" t="s">
        <v>39</v>
      </c>
      <c r="F253" t="s">
        <v>33</v>
      </c>
      <c r="G253" t="s">
        <v>5</v>
      </c>
    </row>
    <row r="254" spans="1:7" x14ac:dyDescent="0.35">
      <c r="A254" t="s">
        <v>11</v>
      </c>
      <c r="B254" t="s">
        <v>39</v>
      </c>
      <c r="C254" t="s">
        <v>39</v>
      </c>
      <c r="D254" t="s">
        <v>39</v>
      </c>
      <c r="E254" t="s">
        <v>35</v>
      </c>
      <c r="F254" t="s">
        <v>39</v>
      </c>
      <c r="G254" t="s">
        <v>5</v>
      </c>
    </row>
    <row r="255" spans="1:7" x14ac:dyDescent="0.35">
      <c r="A255" t="s">
        <v>12</v>
      </c>
      <c r="B255" t="s">
        <v>37</v>
      </c>
      <c r="C255" t="s">
        <v>33</v>
      </c>
      <c r="D255" t="s">
        <v>39</v>
      </c>
      <c r="E255" t="s">
        <v>33</v>
      </c>
      <c r="F255" t="s">
        <v>39</v>
      </c>
      <c r="G255" t="s">
        <v>5</v>
      </c>
    </row>
    <row r="256" spans="1:7" x14ac:dyDescent="0.35">
      <c r="A256" t="s">
        <v>11</v>
      </c>
      <c r="B256" t="s">
        <v>39</v>
      </c>
      <c r="C256" t="s">
        <v>37</v>
      </c>
      <c r="D256" t="s">
        <v>33</v>
      </c>
      <c r="E256" t="s">
        <v>39</v>
      </c>
      <c r="F256" t="s">
        <v>37</v>
      </c>
      <c r="G256" t="s">
        <v>7</v>
      </c>
    </row>
    <row r="257" spans="1:7" x14ac:dyDescent="0.35">
      <c r="A257" t="s">
        <v>12</v>
      </c>
      <c r="B257" t="s">
        <v>37</v>
      </c>
      <c r="C257" t="s">
        <v>37</v>
      </c>
      <c r="D257" t="s">
        <v>37</v>
      </c>
      <c r="E257" t="s">
        <v>35</v>
      </c>
      <c r="F257" t="s">
        <v>37</v>
      </c>
      <c r="G257" t="s">
        <v>7</v>
      </c>
    </row>
    <row r="258" spans="1:7" x14ac:dyDescent="0.35">
      <c r="A258" t="s">
        <v>11</v>
      </c>
      <c r="B258" t="s">
        <v>37</v>
      </c>
      <c r="C258" t="s">
        <v>35</v>
      </c>
      <c r="D258" t="s">
        <v>35</v>
      </c>
      <c r="E258" t="s">
        <v>35</v>
      </c>
      <c r="F258" t="s">
        <v>35</v>
      </c>
      <c r="G258" t="s">
        <v>5</v>
      </c>
    </row>
    <row r="259" spans="1:7" x14ac:dyDescent="0.35">
      <c r="A259" t="s">
        <v>12</v>
      </c>
      <c r="B259" t="s">
        <v>37</v>
      </c>
      <c r="C259" t="s">
        <v>37</v>
      </c>
      <c r="D259" t="s">
        <v>35</v>
      </c>
      <c r="E259" t="s">
        <v>39</v>
      </c>
      <c r="F259" t="s">
        <v>33</v>
      </c>
      <c r="G259" t="s">
        <v>7</v>
      </c>
    </row>
    <row r="260" spans="1:7" x14ac:dyDescent="0.35">
      <c r="A260" t="s">
        <v>12</v>
      </c>
      <c r="B260" t="s">
        <v>35</v>
      </c>
      <c r="C260" t="s">
        <v>39</v>
      </c>
      <c r="D260" t="s">
        <v>39</v>
      </c>
      <c r="E260" t="s">
        <v>33</v>
      </c>
      <c r="F260" t="s">
        <v>39</v>
      </c>
      <c r="G260" t="s">
        <v>5</v>
      </c>
    </row>
    <row r="261" spans="1:7" x14ac:dyDescent="0.35">
      <c r="A261" t="s">
        <v>11</v>
      </c>
      <c r="B261" t="s">
        <v>35</v>
      </c>
      <c r="C261" t="s">
        <v>39</v>
      </c>
      <c r="D261" t="s">
        <v>37</v>
      </c>
      <c r="E261" t="s">
        <v>39</v>
      </c>
      <c r="F261" t="s">
        <v>37</v>
      </c>
      <c r="G261" t="s">
        <v>7</v>
      </c>
    </row>
    <row r="262" spans="1:7" x14ac:dyDescent="0.35">
      <c r="A262" t="s">
        <v>12</v>
      </c>
      <c r="B262" t="s">
        <v>39</v>
      </c>
      <c r="C262" t="s">
        <v>39</v>
      </c>
      <c r="D262" t="s">
        <v>39</v>
      </c>
      <c r="E262" t="s">
        <v>33</v>
      </c>
      <c r="F262" t="s">
        <v>39</v>
      </c>
      <c r="G262" t="s">
        <v>5</v>
      </c>
    </row>
    <row r="263" spans="1:7" x14ac:dyDescent="0.35">
      <c r="A263" t="s">
        <v>11</v>
      </c>
      <c r="B263" t="s">
        <v>37</v>
      </c>
      <c r="C263" t="s">
        <v>37</v>
      </c>
      <c r="D263" t="s">
        <v>39</v>
      </c>
      <c r="E263" t="s">
        <v>35</v>
      </c>
      <c r="F263" t="s">
        <v>39</v>
      </c>
      <c r="G263" t="s">
        <v>7</v>
      </c>
    </row>
    <row r="264" spans="1:7" x14ac:dyDescent="0.35">
      <c r="A264" t="s">
        <v>12</v>
      </c>
      <c r="B264" t="s">
        <v>39</v>
      </c>
      <c r="C264" t="s">
        <v>39</v>
      </c>
      <c r="D264" t="s">
        <v>39</v>
      </c>
      <c r="E264" t="s">
        <v>39</v>
      </c>
      <c r="F264" t="s">
        <v>35</v>
      </c>
      <c r="G264" t="s">
        <v>7</v>
      </c>
    </row>
    <row r="265" spans="1:7" x14ac:dyDescent="0.35">
      <c r="A265" t="s">
        <v>12</v>
      </c>
      <c r="B265" t="s">
        <v>33</v>
      </c>
      <c r="C265" t="s">
        <v>33</v>
      </c>
      <c r="D265" t="s">
        <v>39</v>
      </c>
      <c r="E265" t="s">
        <v>33</v>
      </c>
      <c r="F265" t="s">
        <v>39</v>
      </c>
      <c r="G265" t="s">
        <v>5</v>
      </c>
    </row>
    <row r="266" spans="1:7" x14ac:dyDescent="0.35">
      <c r="A266" t="s">
        <v>11</v>
      </c>
      <c r="B266" t="s">
        <v>39</v>
      </c>
      <c r="C266" t="s">
        <v>39</v>
      </c>
      <c r="D266" t="s">
        <v>39</v>
      </c>
      <c r="E266" t="s">
        <v>35</v>
      </c>
      <c r="F266" t="s">
        <v>39</v>
      </c>
      <c r="G266" t="s">
        <v>5</v>
      </c>
    </row>
    <row r="267" spans="1:7" x14ac:dyDescent="0.35">
      <c r="A267" t="s">
        <v>12</v>
      </c>
      <c r="B267" t="s">
        <v>39</v>
      </c>
      <c r="C267" t="s">
        <v>39</v>
      </c>
      <c r="D267" t="s">
        <v>39</v>
      </c>
      <c r="E267" t="s">
        <v>33</v>
      </c>
      <c r="F267" t="s">
        <v>39</v>
      </c>
      <c r="G267" t="s">
        <v>5</v>
      </c>
    </row>
    <row r="268" spans="1:7" x14ac:dyDescent="0.35">
      <c r="A268" t="s">
        <v>11</v>
      </c>
      <c r="B268" t="s">
        <v>37</v>
      </c>
      <c r="C268" t="s">
        <v>35</v>
      </c>
      <c r="D268" t="s">
        <v>35</v>
      </c>
      <c r="E268" t="s">
        <v>37</v>
      </c>
      <c r="F268" t="s">
        <v>37</v>
      </c>
      <c r="G268" t="s">
        <v>5</v>
      </c>
    </row>
    <row r="269" spans="1:7" x14ac:dyDescent="0.35">
      <c r="A269" t="s">
        <v>12</v>
      </c>
      <c r="B269" t="s">
        <v>33</v>
      </c>
      <c r="C269" t="s">
        <v>33</v>
      </c>
      <c r="D269" t="s">
        <v>37</v>
      </c>
      <c r="E269" t="s">
        <v>33</v>
      </c>
      <c r="F269" t="s">
        <v>39</v>
      </c>
      <c r="G269" t="s">
        <v>5</v>
      </c>
    </row>
    <row r="270" spans="1:7" x14ac:dyDescent="0.35">
      <c r="A270" t="s">
        <v>11</v>
      </c>
      <c r="B270" t="s">
        <v>33</v>
      </c>
      <c r="C270" t="s">
        <v>33</v>
      </c>
      <c r="D270" t="s">
        <v>33</v>
      </c>
      <c r="E270" t="s">
        <v>35</v>
      </c>
      <c r="F270" t="s">
        <v>35</v>
      </c>
      <c r="G270" t="s">
        <v>5</v>
      </c>
    </row>
    <row r="271" spans="1:7" x14ac:dyDescent="0.35">
      <c r="A271" t="s">
        <v>11</v>
      </c>
      <c r="B271" t="s">
        <v>33</v>
      </c>
      <c r="C271" t="s">
        <v>33</v>
      </c>
      <c r="D271" t="s">
        <v>33</v>
      </c>
      <c r="E271" t="s">
        <v>35</v>
      </c>
      <c r="F271" t="s">
        <v>37</v>
      </c>
      <c r="G271" t="s">
        <v>5</v>
      </c>
    </row>
    <row r="272" spans="1:7" x14ac:dyDescent="0.35">
      <c r="A272" t="s">
        <v>11</v>
      </c>
      <c r="B272" t="s">
        <v>37</v>
      </c>
      <c r="C272" t="s">
        <v>39</v>
      </c>
      <c r="D272" t="s">
        <v>35</v>
      </c>
      <c r="E272" t="s">
        <v>39</v>
      </c>
      <c r="F272" t="s">
        <v>35</v>
      </c>
      <c r="G272" t="s">
        <v>7</v>
      </c>
    </row>
    <row r="273" spans="1:7" x14ac:dyDescent="0.35">
      <c r="A273" t="s">
        <v>11</v>
      </c>
      <c r="B273" t="s">
        <v>39</v>
      </c>
      <c r="C273" t="s">
        <v>35</v>
      </c>
      <c r="D273" t="s">
        <v>35</v>
      </c>
      <c r="E273" t="s">
        <v>37</v>
      </c>
      <c r="F273" t="s">
        <v>35</v>
      </c>
      <c r="G273" t="s">
        <v>5</v>
      </c>
    </row>
    <row r="274" spans="1:7" x14ac:dyDescent="0.35">
      <c r="A274" t="s">
        <v>12</v>
      </c>
      <c r="B274" t="s">
        <v>37</v>
      </c>
      <c r="C274" t="s">
        <v>37</v>
      </c>
      <c r="D274" t="s">
        <v>37</v>
      </c>
      <c r="E274" t="s">
        <v>37</v>
      </c>
      <c r="F274" t="s">
        <v>33</v>
      </c>
      <c r="G274" t="s">
        <v>7</v>
      </c>
    </row>
    <row r="275" spans="1:7" x14ac:dyDescent="0.35">
      <c r="A275" t="s">
        <v>11</v>
      </c>
      <c r="B275" t="s">
        <v>39</v>
      </c>
      <c r="C275" t="s">
        <v>39</v>
      </c>
      <c r="D275" t="s">
        <v>39</v>
      </c>
      <c r="E275" t="s">
        <v>39</v>
      </c>
      <c r="F275" t="s">
        <v>33</v>
      </c>
      <c r="G275" t="s">
        <v>7</v>
      </c>
    </row>
    <row r="276" spans="1:7" x14ac:dyDescent="0.35">
      <c r="A276" t="s">
        <v>12</v>
      </c>
      <c r="B276" t="s">
        <v>37</v>
      </c>
      <c r="C276" t="s">
        <v>35</v>
      </c>
      <c r="D276" t="s">
        <v>37</v>
      </c>
      <c r="E276" t="s">
        <v>35</v>
      </c>
      <c r="F276" t="s">
        <v>35</v>
      </c>
      <c r="G276" t="s">
        <v>7</v>
      </c>
    </row>
    <row r="277" spans="1:7" x14ac:dyDescent="0.35">
      <c r="A277" t="s">
        <v>11</v>
      </c>
      <c r="B277" t="s">
        <v>39</v>
      </c>
      <c r="C277" t="s">
        <v>39</v>
      </c>
      <c r="D277" t="s">
        <v>39</v>
      </c>
      <c r="E277" t="s">
        <v>37</v>
      </c>
      <c r="F277" t="s">
        <v>35</v>
      </c>
      <c r="G277" t="s">
        <v>7</v>
      </c>
    </row>
    <row r="278" spans="1:7" x14ac:dyDescent="0.35">
      <c r="A278" t="s">
        <v>11</v>
      </c>
      <c r="B278" t="s">
        <v>37</v>
      </c>
      <c r="C278" t="s">
        <v>39</v>
      </c>
      <c r="D278" t="s">
        <v>37</v>
      </c>
      <c r="E278" t="s">
        <v>39</v>
      </c>
      <c r="F278" t="s">
        <v>37</v>
      </c>
      <c r="G278" t="s">
        <v>7</v>
      </c>
    </row>
    <row r="279" spans="1:7" x14ac:dyDescent="0.35">
      <c r="A279" t="s">
        <v>11</v>
      </c>
      <c r="B279" t="s">
        <v>33</v>
      </c>
      <c r="C279" t="s">
        <v>33</v>
      </c>
      <c r="D279" t="s">
        <v>33</v>
      </c>
      <c r="E279" t="s">
        <v>33</v>
      </c>
      <c r="F279" t="s">
        <v>39</v>
      </c>
      <c r="G279" t="s">
        <v>5</v>
      </c>
    </row>
    <row r="280" spans="1:7" x14ac:dyDescent="0.35">
      <c r="A280" t="s">
        <v>11</v>
      </c>
      <c r="B280" t="s">
        <v>37</v>
      </c>
      <c r="C280" t="s">
        <v>35</v>
      </c>
      <c r="D280" t="s">
        <v>33</v>
      </c>
      <c r="E280" t="s">
        <v>39</v>
      </c>
      <c r="F280" t="s">
        <v>39</v>
      </c>
      <c r="G280" t="s">
        <v>5</v>
      </c>
    </row>
    <row r="281" spans="1:7" x14ac:dyDescent="0.35">
      <c r="A281" t="s">
        <v>11</v>
      </c>
      <c r="B281" t="s">
        <v>39</v>
      </c>
      <c r="C281" t="s">
        <v>39</v>
      </c>
      <c r="D281" t="s">
        <v>37</v>
      </c>
      <c r="E281" t="s">
        <v>39</v>
      </c>
      <c r="F281" t="s">
        <v>39</v>
      </c>
      <c r="G281" t="s">
        <v>7</v>
      </c>
    </row>
    <row r="282" spans="1:7" x14ac:dyDescent="0.35">
      <c r="A282" t="s">
        <v>11</v>
      </c>
      <c r="B282" t="s">
        <v>35</v>
      </c>
      <c r="C282" t="s">
        <v>37</v>
      </c>
      <c r="D282" t="s">
        <v>37</v>
      </c>
      <c r="E282" t="s">
        <v>37</v>
      </c>
      <c r="F282" t="s">
        <v>37</v>
      </c>
      <c r="G282" t="s">
        <v>7</v>
      </c>
    </row>
    <row r="283" spans="1:7" x14ac:dyDescent="0.35">
      <c r="A283" t="s">
        <v>12</v>
      </c>
      <c r="B283" t="s">
        <v>37</v>
      </c>
      <c r="C283" t="s">
        <v>37</v>
      </c>
      <c r="D283" t="s">
        <v>39</v>
      </c>
      <c r="E283" t="s">
        <v>33</v>
      </c>
      <c r="F283" t="s">
        <v>39</v>
      </c>
      <c r="G283" t="s">
        <v>7</v>
      </c>
    </row>
    <row r="284" spans="1:7" x14ac:dyDescent="0.35">
      <c r="A284" t="s">
        <v>12</v>
      </c>
      <c r="B284" t="s">
        <v>37</v>
      </c>
      <c r="C284" t="s">
        <v>33</v>
      </c>
      <c r="D284" t="s">
        <v>37</v>
      </c>
      <c r="E284" t="s">
        <v>33</v>
      </c>
      <c r="F284" t="s">
        <v>39</v>
      </c>
      <c r="G284" t="s">
        <v>5</v>
      </c>
    </row>
    <row r="285" spans="1:7" x14ac:dyDescent="0.35">
      <c r="A285" t="s">
        <v>11</v>
      </c>
      <c r="B285" t="s">
        <v>39</v>
      </c>
      <c r="C285" t="s">
        <v>39</v>
      </c>
      <c r="D285" t="s">
        <v>37</v>
      </c>
      <c r="E285" t="s">
        <v>39</v>
      </c>
      <c r="F285" t="s">
        <v>35</v>
      </c>
      <c r="G285" t="s">
        <v>7</v>
      </c>
    </row>
    <row r="286" spans="1:7" x14ac:dyDescent="0.35">
      <c r="A286" t="s">
        <v>11</v>
      </c>
      <c r="B286" t="s">
        <v>33</v>
      </c>
      <c r="C286" t="s">
        <v>33</v>
      </c>
      <c r="D286" t="s">
        <v>33</v>
      </c>
      <c r="E286" t="s">
        <v>35</v>
      </c>
      <c r="F286" t="s">
        <v>33</v>
      </c>
      <c r="G286" t="s">
        <v>7</v>
      </c>
    </row>
    <row r="287" spans="1:7" x14ac:dyDescent="0.35">
      <c r="A287" t="s">
        <v>12</v>
      </c>
      <c r="B287" t="s">
        <v>39</v>
      </c>
      <c r="C287" t="s">
        <v>39</v>
      </c>
      <c r="D287" t="s">
        <v>39</v>
      </c>
      <c r="E287" t="s">
        <v>37</v>
      </c>
      <c r="F287" t="s">
        <v>37</v>
      </c>
      <c r="G287" t="s">
        <v>7</v>
      </c>
    </row>
    <row r="288" spans="1:7" x14ac:dyDescent="0.35">
      <c r="A288" t="s">
        <v>12</v>
      </c>
      <c r="B288" t="s">
        <v>33</v>
      </c>
      <c r="C288" t="s">
        <v>37</v>
      </c>
      <c r="D288" t="s">
        <v>37</v>
      </c>
      <c r="E288" t="s">
        <v>35</v>
      </c>
      <c r="F288" t="s">
        <v>39</v>
      </c>
      <c r="G288" t="s">
        <v>7</v>
      </c>
    </row>
    <row r="289" spans="1:7" x14ac:dyDescent="0.35">
      <c r="A289" t="s">
        <v>11</v>
      </c>
      <c r="B289" t="s">
        <v>37</v>
      </c>
      <c r="C289" t="s">
        <v>39</v>
      </c>
      <c r="D289" t="s">
        <v>39</v>
      </c>
      <c r="E289" t="s">
        <v>35</v>
      </c>
      <c r="F289" t="s">
        <v>37</v>
      </c>
      <c r="G289" t="s">
        <v>7</v>
      </c>
    </row>
    <row r="290" spans="1:7" x14ac:dyDescent="0.35">
      <c r="A290" t="s">
        <v>12</v>
      </c>
      <c r="B290" t="s">
        <v>37</v>
      </c>
      <c r="C290" t="s">
        <v>37</v>
      </c>
      <c r="D290" t="s">
        <v>35</v>
      </c>
      <c r="E290" t="s">
        <v>37</v>
      </c>
      <c r="F290" t="s">
        <v>39</v>
      </c>
      <c r="G290" t="s">
        <v>5</v>
      </c>
    </row>
    <row r="291" spans="1:7" x14ac:dyDescent="0.35">
      <c r="A291" t="s">
        <v>12</v>
      </c>
      <c r="B291" t="s">
        <v>37</v>
      </c>
      <c r="C291" t="s">
        <v>39</v>
      </c>
      <c r="D291" t="s">
        <v>39</v>
      </c>
      <c r="E291" t="s">
        <v>33</v>
      </c>
      <c r="F291" t="s">
        <v>39</v>
      </c>
      <c r="G291" t="s">
        <v>5</v>
      </c>
    </row>
    <row r="292" spans="1:7" x14ac:dyDescent="0.35">
      <c r="A292" t="s">
        <v>11</v>
      </c>
      <c r="B292" t="s">
        <v>35</v>
      </c>
      <c r="C292" t="s">
        <v>33</v>
      </c>
      <c r="D292" t="s">
        <v>33</v>
      </c>
      <c r="E292" t="s">
        <v>39</v>
      </c>
      <c r="F292" t="s">
        <v>33</v>
      </c>
      <c r="G292" t="s">
        <v>7</v>
      </c>
    </row>
    <row r="293" spans="1:7" x14ac:dyDescent="0.35">
      <c r="A293" t="s">
        <v>12</v>
      </c>
      <c r="B293" t="s">
        <v>37</v>
      </c>
      <c r="C293" t="s">
        <v>35</v>
      </c>
      <c r="D293" t="s">
        <v>33</v>
      </c>
      <c r="E293" t="s">
        <v>37</v>
      </c>
      <c r="F293" t="s">
        <v>39</v>
      </c>
      <c r="G293" t="s">
        <v>5</v>
      </c>
    </row>
    <row r="294" spans="1:7" x14ac:dyDescent="0.35">
      <c r="A294" t="s">
        <v>12</v>
      </c>
      <c r="B294" t="s">
        <v>35</v>
      </c>
      <c r="C294" t="s">
        <v>35</v>
      </c>
      <c r="D294" t="s">
        <v>37</v>
      </c>
      <c r="E294" t="s">
        <v>35</v>
      </c>
      <c r="F294" t="s">
        <v>39</v>
      </c>
      <c r="G294" t="s">
        <v>5</v>
      </c>
    </row>
    <row r="295" spans="1:7" x14ac:dyDescent="0.35">
      <c r="A295" t="s">
        <v>11</v>
      </c>
      <c r="B295" t="s">
        <v>35</v>
      </c>
      <c r="C295" t="s">
        <v>37</v>
      </c>
      <c r="D295" t="s">
        <v>37</v>
      </c>
      <c r="E295" t="s">
        <v>35</v>
      </c>
      <c r="F295" t="s">
        <v>37</v>
      </c>
      <c r="G295" t="s">
        <v>7</v>
      </c>
    </row>
    <row r="296" spans="1:7" x14ac:dyDescent="0.35">
      <c r="A296" t="s">
        <v>11</v>
      </c>
      <c r="B296" t="s">
        <v>39</v>
      </c>
      <c r="C296" t="s">
        <v>39</v>
      </c>
      <c r="D296" t="s">
        <v>37</v>
      </c>
      <c r="E296" t="s">
        <v>39</v>
      </c>
      <c r="F296" t="s">
        <v>37</v>
      </c>
      <c r="G296" t="s">
        <v>7</v>
      </c>
    </row>
    <row r="297" spans="1:7" x14ac:dyDescent="0.35">
      <c r="A297" t="s">
        <v>12</v>
      </c>
      <c r="B297" t="s">
        <v>37</v>
      </c>
      <c r="C297" t="s">
        <v>35</v>
      </c>
      <c r="D297" t="s">
        <v>35</v>
      </c>
      <c r="E297" t="s">
        <v>37</v>
      </c>
      <c r="F297" t="s">
        <v>35</v>
      </c>
      <c r="G297" t="s">
        <v>7</v>
      </c>
    </row>
    <row r="298" spans="1:7" x14ac:dyDescent="0.35">
      <c r="A298" t="s">
        <v>11</v>
      </c>
      <c r="B298" t="s">
        <v>33</v>
      </c>
      <c r="C298" t="s">
        <v>33</v>
      </c>
      <c r="D298" t="s">
        <v>39</v>
      </c>
      <c r="E298" t="s">
        <v>33</v>
      </c>
      <c r="F298" t="s">
        <v>35</v>
      </c>
      <c r="G298" t="s">
        <v>5</v>
      </c>
    </row>
    <row r="299" spans="1:7" x14ac:dyDescent="0.35">
      <c r="A299" t="s">
        <v>11</v>
      </c>
      <c r="B299" t="s">
        <v>33</v>
      </c>
      <c r="C299" t="s">
        <v>33</v>
      </c>
      <c r="D299" t="s">
        <v>35</v>
      </c>
      <c r="E299" t="s">
        <v>33</v>
      </c>
      <c r="F299" t="s">
        <v>33</v>
      </c>
      <c r="G299" t="s">
        <v>5</v>
      </c>
    </row>
    <row r="300" spans="1:7" x14ac:dyDescent="0.35">
      <c r="A300" t="s">
        <v>11</v>
      </c>
      <c r="B300" t="s">
        <v>33</v>
      </c>
      <c r="C300" t="s">
        <v>33</v>
      </c>
      <c r="D300" t="s">
        <v>35</v>
      </c>
      <c r="E300" t="s">
        <v>33</v>
      </c>
      <c r="F300" t="s">
        <v>37</v>
      </c>
      <c r="G300" t="s">
        <v>5</v>
      </c>
    </row>
    <row r="301" spans="1:7" x14ac:dyDescent="0.35">
      <c r="A301" t="s">
        <v>12</v>
      </c>
      <c r="B301" t="s">
        <v>39</v>
      </c>
      <c r="C301" t="s">
        <v>35</v>
      </c>
      <c r="D301" t="s">
        <v>37</v>
      </c>
      <c r="E301" t="s">
        <v>33</v>
      </c>
      <c r="F301" t="s">
        <v>39</v>
      </c>
      <c r="G301" t="s">
        <v>5</v>
      </c>
    </row>
    <row r="302" spans="1:7" x14ac:dyDescent="0.35">
      <c r="A302" t="s">
        <v>12</v>
      </c>
      <c r="B302" t="s">
        <v>37</v>
      </c>
      <c r="C302" t="s">
        <v>35</v>
      </c>
      <c r="D302" t="s">
        <v>35</v>
      </c>
      <c r="E302" t="s">
        <v>35</v>
      </c>
      <c r="F302" t="s">
        <v>37</v>
      </c>
      <c r="G302" t="s">
        <v>5</v>
      </c>
    </row>
    <row r="303" spans="1:7" x14ac:dyDescent="0.35">
      <c r="A303" t="s">
        <v>11</v>
      </c>
      <c r="B303" t="s">
        <v>39</v>
      </c>
      <c r="C303" t="s">
        <v>39</v>
      </c>
      <c r="D303" t="s">
        <v>39</v>
      </c>
      <c r="E303" t="s">
        <v>37</v>
      </c>
      <c r="F303" t="s">
        <v>39</v>
      </c>
      <c r="G303" t="s">
        <v>5</v>
      </c>
    </row>
    <row r="304" spans="1:7" x14ac:dyDescent="0.35">
      <c r="A304" t="s">
        <v>12</v>
      </c>
      <c r="B304" t="s">
        <v>33</v>
      </c>
      <c r="C304" t="s">
        <v>33</v>
      </c>
      <c r="D304" t="s">
        <v>35</v>
      </c>
      <c r="E304" t="s">
        <v>33</v>
      </c>
      <c r="F304" t="s">
        <v>35</v>
      </c>
      <c r="G304" t="s">
        <v>5</v>
      </c>
    </row>
    <row r="305" spans="1:7" x14ac:dyDescent="0.35">
      <c r="A305" t="s">
        <v>12</v>
      </c>
      <c r="B305" t="s">
        <v>33</v>
      </c>
      <c r="C305" t="s">
        <v>33</v>
      </c>
      <c r="D305" t="s">
        <v>33</v>
      </c>
      <c r="E305" t="s">
        <v>33</v>
      </c>
      <c r="F305" t="s">
        <v>39</v>
      </c>
      <c r="G305" t="s">
        <v>5</v>
      </c>
    </row>
    <row r="306" spans="1:7" x14ac:dyDescent="0.35">
      <c r="A306" t="s">
        <v>12</v>
      </c>
      <c r="B306" t="s">
        <v>33</v>
      </c>
      <c r="C306" t="s">
        <v>33</v>
      </c>
      <c r="D306" t="s">
        <v>33</v>
      </c>
      <c r="E306" t="s">
        <v>35</v>
      </c>
      <c r="F306" t="s">
        <v>39</v>
      </c>
      <c r="G306" t="s">
        <v>5</v>
      </c>
    </row>
    <row r="307" spans="1:7" x14ac:dyDescent="0.35">
      <c r="A307" t="s">
        <v>11</v>
      </c>
      <c r="B307" t="s">
        <v>33</v>
      </c>
      <c r="C307" t="s">
        <v>33</v>
      </c>
      <c r="D307" t="s">
        <v>35</v>
      </c>
      <c r="E307" t="s">
        <v>33</v>
      </c>
      <c r="F307" t="s">
        <v>39</v>
      </c>
      <c r="G307" t="s">
        <v>5</v>
      </c>
    </row>
    <row r="308" spans="1:7" x14ac:dyDescent="0.35">
      <c r="A308" t="s">
        <v>11</v>
      </c>
      <c r="B308" t="s">
        <v>39</v>
      </c>
      <c r="C308" t="s">
        <v>39</v>
      </c>
      <c r="D308" t="s">
        <v>39</v>
      </c>
      <c r="E308" t="s">
        <v>37</v>
      </c>
      <c r="F308" t="s">
        <v>39</v>
      </c>
      <c r="G308" t="s">
        <v>5</v>
      </c>
    </row>
    <row r="309" spans="1:7" x14ac:dyDescent="0.35">
      <c r="A309" t="s">
        <v>12</v>
      </c>
      <c r="B309" t="s">
        <v>37</v>
      </c>
      <c r="C309" t="s">
        <v>35</v>
      </c>
      <c r="D309" t="s">
        <v>35</v>
      </c>
      <c r="E309" t="s">
        <v>35</v>
      </c>
      <c r="F309" t="s">
        <v>35</v>
      </c>
      <c r="G309" t="s">
        <v>7</v>
      </c>
    </row>
    <row r="310" spans="1:7" x14ac:dyDescent="0.35">
      <c r="A310" t="s">
        <v>11</v>
      </c>
      <c r="B310" t="s">
        <v>37</v>
      </c>
      <c r="C310" t="s">
        <v>37</v>
      </c>
      <c r="D310" t="s">
        <v>35</v>
      </c>
      <c r="E310" t="s">
        <v>37</v>
      </c>
      <c r="F310" t="s">
        <v>39</v>
      </c>
      <c r="G310" t="s">
        <v>5</v>
      </c>
    </row>
    <row r="311" spans="1:7" x14ac:dyDescent="0.35">
      <c r="A311" t="s">
        <v>12</v>
      </c>
      <c r="B311" t="s">
        <v>33</v>
      </c>
      <c r="C311" t="s">
        <v>35</v>
      </c>
      <c r="D311" t="s">
        <v>37</v>
      </c>
      <c r="E311" t="s">
        <v>33</v>
      </c>
      <c r="F311" t="s">
        <v>39</v>
      </c>
      <c r="G311" t="s">
        <v>5</v>
      </c>
    </row>
    <row r="312" spans="1:7" x14ac:dyDescent="0.35">
      <c r="A312" t="s">
        <v>11</v>
      </c>
      <c r="B312" t="s">
        <v>35</v>
      </c>
      <c r="C312" t="s">
        <v>35</v>
      </c>
      <c r="D312" t="s">
        <v>33</v>
      </c>
      <c r="E312" t="s">
        <v>39</v>
      </c>
      <c r="F312" t="s">
        <v>39</v>
      </c>
      <c r="G312" t="s">
        <v>5</v>
      </c>
    </row>
    <row r="313" spans="1:7" x14ac:dyDescent="0.35">
      <c r="A313" t="s">
        <v>11</v>
      </c>
      <c r="B313" t="s">
        <v>39</v>
      </c>
      <c r="C313" t="s">
        <v>39</v>
      </c>
      <c r="D313" t="s">
        <v>39</v>
      </c>
      <c r="E313" t="s">
        <v>39</v>
      </c>
      <c r="F313" t="s">
        <v>39</v>
      </c>
      <c r="G313" t="s">
        <v>7</v>
      </c>
    </row>
    <row r="314" spans="1:7" x14ac:dyDescent="0.35">
      <c r="A314" t="s">
        <v>11</v>
      </c>
      <c r="B314" t="s">
        <v>33</v>
      </c>
      <c r="C314" t="s">
        <v>37</v>
      </c>
      <c r="D314" t="s">
        <v>37</v>
      </c>
      <c r="E314" t="s">
        <v>37</v>
      </c>
      <c r="F314" t="s">
        <v>37</v>
      </c>
      <c r="G314" t="s">
        <v>7</v>
      </c>
    </row>
    <row r="315" spans="1:7" x14ac:dyDescent="0.35">
      <c r="A315" t="s">
        <v>11</v>
      </c>
      <c r="B315" t="s">
        <v>37</v>
      </c>
      <c r="C315" t="s">
        <v>35</v>
      </c>
      <c r="D315" t="s">
        <v>35</v>
      </c>
      <c r="E315" t="s">
        <v>35</v>
      </c>
      <c r="F315" t="s">
        <v>35</v>
      </c>
      <c r="G315" t="s">
        <v>5</v>
      </c>
    </row>
    <row r="316" spans="1:7" x14ac:dyDescent="0.35">
      <c r="A316" t="s">
        <v>11</v>
      </c>
      <c r="B316" t="s">
        <v>35</v>
      </c>
      <c r="C316" t="s">
        <v>37</v>
      </c>
      <c r="D316" t="s">
        <v>35</v>
      </c>
      <c r="E316" t="s">
        <v>37</v>
      </c>
      <c r="F316" t="s">
        <v>39</v>
      </c>
      <c r="G316" t="s">
        <v>5</v>
      </c>
    </row>
    <row r="317" spans="1:7" x14ac:dyDescent="0.35">
      <c r="A317" t="s">
        <v>11</v>
      </c>
      <c r="B317" t="s">
        <v>35</v>
      </c>
      <c r="C317" t="s">
        <v>37</v>
      </c>
      <c r="D317" t="s">
        <v>39</v>
      </c>
      <c r="E317" t="s">
        <v>33</v>
      </c>
      <c r="F317" t="s">
        <v>39</v>
      </c>
      <c r="G317" t="s">
        <v>5</v>
      </c>
    </row>
    <row r="318" spans="1:7" x14ac:dyDescent="0.35">
      <c r="A318" t="s">
        <v>12</v>
      </c>
      <c r="B318" t="s">
        <v>39</v>
      </c>
      <c r="C318" t="s">
        <v>39</v>
      </c>
      <c r="D318" t="s">
        <v>37</v>
      </c>
      <c r="E318" t="s">
        <v>37</v>
      </c>
      <c r="F318" t="s">
        <v>39</v>
      </c>
      <c r="G318" t="s">
        <v>5</v>
      </c>
    </row>
    <row r="319" spans="1:7" x14ac:dyDescent="0.35">
      <c r="A319" t="s">
        <v>12</v>
      </c>
      <c r="B319" t="s">
        <v>39</v>
      </c>
      <c r="C319" t="s">
        <v>39</v>
      </c>
      <c r="D319" t="s">
        <v>39</v>
      </c>
      <c r="E319" t="s">
        <v>39</v>
      </c>
      <c r="F319" t="s">
        <v>35</v>
      </c>
      <c r="G319" t="s">
        <v>7</v>
      </c>
    </row>
    <row r="320" spans="1:7" x14ac:dyDescent="0.35">
      <c r="A320" t="s">
        <v>12</v>
      </c>
      <c r="B320" t="s">
        <v>37</v>
      </c>
      <c r="C320" t="s">
        <v>33</v>
      </c>
      <c r="D320" t="s">
        <v>35</v>
      </c>
      <c r="E320" t="s">
        <v>35</v>
      </c>
      <c r="F320" t="s">
        <v>33</v>
      </c>
      <c r="G320" t="s">
        <v>7</v>
      </c>
    </row>
    <row r="321" spans="1:7" x14ac:dyDescent="0.35">
      <c r="A321" t="s">
        <v>12</v>
      </c>
      <c r="B321" t="s">
        <v>33</v>
      </c>
      <c r="C321" t="s">
        <v>35</v>
      </c>
      <c r="D321" t="s">
        <v>39</v>
      </c>
      <c r="E321" t="s">
        <v>33</v>
      </c>
      <c r="F321" t="s">
        <v>35</v>
      </c>
      <c r="G321" t="s">
        <v>5</v>
      </c>
    </row>
    <row r="322" spans="1:7" x14ac:dyDescent="0.35">
      <c r="A322" t="s">
        <v>12</v>
      </c>
      <c r="B322" t="s">
        <v>39</v>
      </c>
      <c r="C322" t="s">
        <v>39</v>
      </c>
      <c r="D322" t="s">
        <v>39</v>
      </c>
      <c r="E322" t="s">
        <v>39</v>
      </c>
      <c r="F322" t="s">
        <v>33</v>
      </c>
      <c r="G322" t="s">
        <v>7</v>
      </c>
    </row>
    <row r="323" spans="1:7" x14ac:dyDescent="0.35">
      <c r="A323" t="s">
        <v>12</v>
      </c>
      <c r="B323" t="s">
        <v>33</v>
      </c>
      <c r="C323" t="s">
        <v>33</v>
      </c>
      <c r="D323" t="s">
        <v>33</v>
      </c>
      <c r="E323" t="s">
        <v>35</v>
      </c>
      <c r="F323" t="s">
        <v>37</v>
      </c>
      <c r="G323" t="s">
        <v>5</v>
      </c>
    </row>
    <row r="324" spans="1:7" x14ac:dyDescent="0.35">
      <c r="A324" t="s">
        <v>11</v>
      </c>
      <c r="B324" t="s">
        <v>39</v>
      </c>
      <c r="C324" t="s">
        <v>37</v>
      </c>
      <c r="D324" t="s">
        <v>39</v>
      </c>
      <c r="E324" t="s">
        <v>35</v>
      </c>
      <c r="F324" t="s">
        <v>33</v>
      </c>
      <c r="G324" t="s">
        <v>7</v>
      </c>
    </row>
    <row r="325" spans="1:7" x14ac:dyDescent="0.35">
      <c r="A325" t="s">
        <v>11</v>
      </c>
      <c r="B325" t="s">
        <v>33</v>
      </c>
      <c r="C325" t="s">
        <v>33</v>
      </c>
      <c r="D325" t="s">
        <v>39</v>
      </c>
      <c r="E325" t="s">
        <v>33</v>
      </c>
      <c r="F325" t="s">
        <v>37</v>
      </c>
      <c r="G325" t="s">
        <v>5</v>
      </c>
    </row>
    <row r="326" spans="1:7" x14ac:dyDescent="0.35">
      <c r="A326" t="s">
        <v>12</v>
      </c>
      <c r="B326" t="s">
        <v>39</v>
      </c>
      <c r="C326" t="s">
        <v>39</v>
      </c>
      <c r="D326" t="s">
        <v>39</v>
      </c>
      <c r="E326" t="s">
        <v>37</v>
      </c>
      <c r="F326" t="s">
        <v>37</v>
      </c>
      <c r="G326" t="s">
        <v>5</v>
      </c>
    </row>
    <row r="327" spans="1:7" x14ac:dyDescent="0.35">
      <c r="A327" t="s">
        <v>11</v>
      </c>
      <c r="B327" t="s">
        <v>33</v>
      </c>
      <c r="C327" t="s">
        <v>33</v>
      </c>
      <c r="D327" t="s">
        <v>33</v>
      </c>
      <c r="E327" t="s">
        <v>39</v>
      </c>
      <c r="F327" t="s">
        <v>35</v>
      </c>
      <c r="G327" t="s">
        <v>7</v>
      </c>
    </row>
    <row r="328" spans="1:7" x14ac:dyDescent="0.35">
      <c r="A328" t="s">
        <v>12</v>
      </c>
      <c r="B328" t="s">
        <v>39</v>
      </c>
      <c r="C328" t="s">
        <v>39</v>
      </c>
      <c r="D328" t="s">
        <v>39</v>
      </c>
      <c r="E328" t="s">
        <v>39</v>
      </c>
      <c r="F328" t="s">
        <v>37</v>
      </c>
      <c r="G328" t="s">
        <v>7</v>
      </c>
    </row>
    <row r="329" spans="1:7" x14ac:dyDescent="0.35">
      <c r="A329" t="s">
        <v>11</v>
      </c>
      <c r="B329" t="s">
        <v>37</v>
      </c>
      <c r="C329" t="s">
        <v>35</v>
      </c>
      <c r="D329" t="s">
        <v>35</v>
      </c>
      <c r="E329" t="s">
        <v>37</v>
      </c>
      <c r="F329" t="s">
        <v>37</v>
      </c>
      <c r="G329" t="s">
        <v>5</v>
      </c>
    </row>
    <row r="330" spans="1:7" x14ac:dyDescent="0.35">
      <c r="A330" t="s">
        <v>12</v>
      </c>
      <c r="B330" t="s">
        <v>37</v>
      </c>
      <c r="C330" t="s">
        <v>35</v>
      </c>
      <c r="D330" t="s">
        <v>35</v>
      </c>
      <c r="E330" t="s">
        <v>37</v>
      </c>
      <c r="F330" t="s">
        <v>39</v>
      </c>
      <c r="G330" t="s">
        <v>5</v>
      </c>
    </row>
    <row r="331" spans="1:7" x14ac:dyDescent="0.35">
      <c r="A331" t="s">
        <v>11</v>
      </c>
      <c r="B331" t="s">
        <v>37</v>
      </c>
      <c r="C331" t="s">
        <v>37</v>
      </c>
      <c r="D331" t="s">
        <v>35</v>
      </c>
      <c r="E331" t="s">
        <v>37</v>
      </c>
      <c r="F331" t="s">
        <v>35</v>
      </c>
      <c r="G331" t="s">
        <v>7</v>
      </c>
    </row>
    <row r="332" spans="1:7" x14ac:dyDescent="0.35">
      <c r="A332" t="s">
        <v>11</v>
      </c>
      <c r="B332" t="s">
        <v>35</v>
      </c>
      <c r="C332" t="s">
        <v>33</v>
      </c>
      <c r="D332" t="s">
        <v>33</v>
      </c>
      <c r="E332" t="s">
        <v>37</v>
      </c>
      <c r="F332" t="s">
        <v>37</v>
      </c>
      <c r="G332" t="s">
        <v>5</v>
      </c>
    </row>
    <row r="333" spans="1:7" x14ac:dyDescent="0.35">
      <c r="A333" t="s">
        <v>12</v>
      </c>
      <c r="B333" t="s">
        <v>37</v>
      </c>
      <c r="C333" t="s">
        <v>39</v>
      </c>
      <c r="D333" t="s">
        <v>39</v>
      </c>
      <c r="E333" t="s">
        <v>33</v>
      </c>
      <c r="F333" t="s">
        <v>37</v>
      </c>
      <c r="G333" t="s">
        <v>7</v>
      </c>
    </row>
    <row r="334" spans="1:7" x14ac:dyDescent="0.35">
      <c r="A334" t="s">
        <v>12</v>
      </c>
      <c r="B334" t="s">
        <v>35</v>
      </c>
      <c r="C334" t="s">
        <v>35</v>
      </c>
      <c r="D334" t="s">
        <v>37</v>
      </c>
      <c r="E334" t="s">
        <v>33</v>
      </c>
      <c r="F334" t="s">
        <v>39</v>
      </c>
      <c r="G334" t="s">
        <v>5</v>
      </c>
    </row>
    <row r="335" spans="1:7" x14ac:dyDescent="0.35">
      <c r="A335" t="s">
        <v>12</v>
      </c>
      <c r="B335" t="s">
        <v>39</v>
      </c>
      <c r="C335" t="s">
        <v>39</v>
      </c>
      <c r="D335" t="s">
        <v>39</v>
      </c>
      <c r="E335" t="s">
        <v>39</v>
      </c>
      <c r="F335" t="s">
        <v>33</v>
      </c>
      <c r="G335" t="s">
        <v>7</v>
      </c>
    </row>
    <row r="336" spans="1:7" x14ac:dyDescent="0.35">
      <c r="A336" t="s">
        <v>11</v>
      </c>
      <c r="B336" t="s">
        <v>35</v>
      </c>
      <c r="C336" t="s">
        <v>35</v>
      </c>
      <c r="D336" t="s">
        <v>37</v>
      </c>
      <c r="E336" t="s">
        <v>33</v>
      </c>
      <c r="F336" t="s">
        <v>39</v>
      </c>
      <c r="G336" t="s">
        <v>5</v>
      </c>
    </row>
    <row r="337" spans="1:7" x14ac:dyDescent="0.35">
      <c r="A337" t="s">
        <v>11</v>
      </c>
      <c r="B337" t="s">
        <v>37</v>
      </c>
      <c r="C337" t="s">
        <v>39</v>
      </c>
      <c r="D337" t="s">
        <v>35</v>
      </c>
      <c r="E337" t="s">
        <v>39</v>
      </c>
      <c r="F337" t="s">
        <v>37</v>
      </c>
      <c r="G337" t="s">
        <v>7</v>
      </c>
    </row>
    <row r="338" spans="1:7" x14ac:dyDescent="0.35">
      <c r="A338" t="s">
        <v>12</v>
      </c>
      <c r="B338" t="s">
        <v>37</v>
      </c>
      <c r="C338" t="s">
        <v>37</v>
      </c>
      <c r="D338" t="s">
        <v>39</v>
      </c>
      <c r="E338" t="s">
        <v>33</v>
      </c>
      <c r="F338" t="s">
        <v>39</v>
      </c>
      <c r="G338" t="s">
        <v>5</v>
      </c>
    </row>
    <row r="339" spans="1:7" x14ac:dyDescent="0.35">
      <c r="A339" t="s">
        <v>11</v>
      </c>
      <c r="B339" t="s">
        <v>37</v>
      </c>
      <c r="C339" t="s">
        <v>37</v>
      </c>
      <c r="D339" t="s">
        <v>35</v>
      </c>
      <c r="E339" t="s">
        <v>39</v>
      </c>
      <c r="F339" t="s">
        <v>39</v>
      </c>
      <c r="G339" t="s">
        <v>7</v>
      </c>
    </row>
    <row r="340" spans="1:7" x14ac:dyDescent="0.35">
      <c r="A340" t="s">
        <v>11</v>
      </c>
      <c r="B340" t="s">
        <v>33</v>
      </c>
      <c r="C340" t="s">
        <v>33</v>
      </c>
      <c r="D340" t="s">
        <v>37</v>
      </c>
      <c r="E340" t="s">
        <v>33</v>
      </c>
      <c r="F340" t="s">
        <v>39</v>
      </c>
      <c r="G340" t="s">
        <v>5</v>
      </c>
    </row>
    <row r="341" spans="1:7" x14ac:dyDescent="0.35">
      <c r="A341" t="s">
        <v>12</v>
      </c>
      <c r="B341" t="s">
        <v>33</v>
      </c>
      <c r="C341" t="s">
        <v>35</v>
      </c>
      <c r="D341" t="s">
        <v>37</v>
      </c>
      <c r="E341" t="s">
        <v>33</v>
      </c>
      <c r="F341" t="s">
        <v>39</v>
      </c>
      <c r="G341" t="s">
        <v>5</v>
      </c>
    </row>
    <row r="342" spans="1:7" x14ac:dyDescent="0.35">
      <c r="A342" t="s">
        <v>12</v>
      </c>
      <c r="B342" t="s">
        <v>37</v>
      </c>
      <c r="C342" t="s">
        <v>39</v>
      </c>
      <c r="D342" t="s">
        <v>39</v>
      </c>
      <c r="E342" t="s">
        <v>37</v>
      </c>
      <c r="F342" t="s">
        <v>33</v>
      </c>
      <c r="G342" t="s">
        <v>7</v>
      </c>
    </row>
    <row r="343" spans="1:7" x14ac:dyDescent="0.35">
      <c r="A343" t="s">
        <v>12</v>
      </c>
      <c r="B343" t="s">
        <v>39</v>
      </c>
      <c r="C343" t="s">
        <v>39</v>
      </c>
      <c r="D343" t="s">
        <v>39</v>
      </c>
      <c r="E343" t="s">
        <v>35</v>
      </c>
      <c r="F343" t="s">
        <v>39</v>
      </c>
      <c r="G343" t="s">
        <v>5</v>
      </c>
    </row>
    <row r="344" spans="1:7" x14ac:dyDescent="0.35">
      <c r="A344" t="s">
        <v>12</v>
      </c>
      <c r="B344" t="s">
        <v>33</v>
      </c>
      <c r="C344" t="s">
        <v>35</v>
      </c>
      <c r="D344" t="s">
        <v>33</v>
      </c>
      <c r="E344" t="s">
        <v>37</v>
      </c>
      <c r="F344" t="s">
        <v>39</v>
      </c>
      <c r="G344" t="s">
        <v>7</v>
      </c>
    </row>
    <row r="345" spans="1:7" x14ac:dyDescent="0.35">
      <c r="A345" t="s">
        <v>11</v>
      </c>
      <c r="B345" t="s">
        <v>33</v>
      </c>
      <c r="C345" t="s">
        <v>33</v>
      </c>
      <c r="D345" t="s">
        <v>33</v>
      </c>
      <c r="E345" t="s">
        <v>33</v>
      </c>
      <c r="F345" t="s">
        <v>37</v>
      </c>
      <c r="G345" t="s">
        <v>5</v>
      </c>
    </row>
    <row r="346" spans="1:7" x14ac:dyDescent="0.35">
      <c r="A346" t="s">
        <v>12</v>
      </c>
      <c r="B346" t="s">
        <v>35</v>
      </c>
      <c r="C346" t="s">
        <v>39</v>
      </c>
      <c r="D346" t="s">
        <v>37</v>
      </c>
      <c r="E346" t="s">
        <v>39</v>
      </c>
      <c r="F346" t="s">
        <v>33</v>
      </c>
      <c r="G346" t="s">
        <v>7</v>
      </c>
    </row>
    <row r="347" spans="1:7" x14ac:dyDescent="0.35">
      <c r="A347" t="s">
        <v>11</v>
      </c>
      <c r="B347" t="s">
        <v>33</v>
      </c>
      <c r="C347" t="s">
        <v>33</v>
      </c>
      <c r="D347" t="s">
        <v>33</v>
      </c>
      <c r="E347" t="s">
        <v>35</v>
      </c>
      <c r="F347" t="s">
        <v>35</v>
      </c>
      <c r="G347" t="s">
        <v>5</v>
      </c>
    </row>
    <row r="348" spans="1:7" x14ac:dyDescent="0.35">
      <c r="A348" t="s">
        <v>12</v>
      </c>
      <c r="B348" t="s">
        <v>35</v>
      </c>
      <c r="C348" t="s">
        <v>33</v>
      </c>
      <c r="D348" t="s">
        <v>33</v>
      </c>
      <c r="E348" t="s">
        <v>33</v>
      </c>
      <c r="F348" t="s">
        <v>37</v>
      </c>
      <c r="G348" t="s">
        <v>5</v>
      </c>
    </row>
    <row r="349" spans="1:7" x14ac:dyDescent="0.35">
      <c r="A349" t="s">
        <v>12</v>
      </c>
      <c r="B349" t="s">
        <v>33</v>
      </c>
      <c r="C349" t="s">
        <v>33</v>
      </c>
      <c r="D349" t="s">
        <v>33</v>
      </c>
      <c r="E349" t="s">
        <v>35</v>
      </c>
      <c r="F349" t="s">
        <v>39</v>
      </c>
      <c r="G349" t="s">
        <v>7</v>
      </c>
    </row>
    <row r="350" spans="1:7" x14ac:dyDescent="0.35">
      <c r="A350" t="s">
        <v>12</v>
      </c>
      <c r="B350" t="s">
        <v>35</v>
      </c>
      <c r="C350" t="s">
        <v>33</v>
      </c>
      <c r="D350" t="s">
        <v>37</v>
      </c>
      <c r="E350" t="s">
        <v>33</v>
      </c>
      <c r="F350" t="s">
        <v>39</v>
      </c>
      <c r="G350" t="s">
        <v>5</v>
      </c>
    </row>
    <row r="351" spans="1:7" x14ac:dyDescent="0.35">
      <c r="A351" t="s">
        <v>12</v>
      </c>
      <c r="B351" t="s">
        <v>33</v>
      </c>
      <c r="C351" t="s">
        <v>35</v>
      </c>
      <c r="D351" t="s">
        <v>33</v>
      </c>
      <c r="E351" t="s">
        <v>39</v>
      </c>
      <c r="F351" t="s">
        <v>35</v>
      </c>
      <c r="G351" t="s">
        <v>7</v>
      </c>
    </row>
    <row r="352" spans="1:7" x14ac:dyDescent="0.35">
      <c r="A352" t="s">
        <v>11</v>
      </c>
      <c r="B352" t="s">
        <v>39</v>
      </c>
      <c r="C352" t="s">
        <v>37</v>
      </c>
      <c r="D352" t="s">
        <v>37</v>
      </c>
      <c r="E352" t="s">
        <v>35</v>
      </c>
      <c r="F352" t="s">
        <v>33</v>
      </c>
      <c r="G352" t="s">
        <v>7</v>
      </c>
    </row>
    <row r="353" spans="1:7" x14ac:dyDescent="0.35">
      <c r="A353" t="s">
        <v>12</v>
      </c>
      <c r="B353" t="s">
        <v>35</v>
      </c>
      <c r="C353" t="s">
        <v>37</v>
      </c>
      <c r="D353" t="s">
        <v>37</v>
      </c>
      <c r="E353" t="s">
        <v>37</v>
      </c>
      <c r="F353" t="s">
        <v>39</v>
      </c>
      <c r="G353" t="s">
        <v>7</v>
      </c>
    </row>
    <row r="354" spans="1:7" x14ac:dyDescent="0.35">
      <c r="A354" t="s">
        <v>11</v>
      </c>
      <c r="B354" t="s">
        <v>37</v>
      </c>
      <c r="C354" t="s">
        <v>37</v>
      </c>
      <c r="D354" t="s">
        <v>35</v>
      </c>
      <c r="E354" t="s">
        <v>39</v>
      </c>
      <c r="F354" t="s">
        <v>33</v>
      </c>
      <c r="G354" t="s">
        <v>7</v>
      </c>
    </row>
    <row r="355" spans="1:7" x14ac:dyDescent="0.35">
      <c r="A355" t="s">
        <v>11</v>
      </c>
      <c r="B355" t="s">
        <v>35</v>
      </c>
      <c r="C355" t="s">
        <v>35</v>
      </c>
      <c r="D355" t="s">
        <v>35</v>
      </c>
      <c r="E355" t="s">
        <v>37</v>
      </c>
      <c r="F355" t="s">
        <v>35</v>
      </c>
      <c r="G355" t="s">
        <v>7</v>
      </c>
    </row>
    <row r="356" spans="1:7" x14ac:dyDescent="0.35">
      <c r="A356" t="s">
        <v>11</v>
      </c>
      <c r="B356" t="s">
        <v>33</v>
      </c>
      <c r="C356" t="s">
        <v>33</v>
      </c>
      <c r="D356" t="s">
        <v>35</v>
      </c>
      <c r="E356" t="s">
        <v>33</v>
      </c>
      <c r="F356" t="s">
        <v>37</v>
      </c>
      <c r="G356" t="s">
        <v>5</v>
      </c>
    </row>
    <row r="357" spans="1:7" x14ac:dyDescent="0.35">
      <c r="A357" t="s">
        <v>11</v>
      </c>
      <c r="B357" t="s">
        <v>37</v>
      </c>
      <c r="C357" t="s">
        <v>37</v>
      </c>
      <c r="D357" t="s">
        <v>35</v>
      </c>
      <c r="E357" t="s">
        <v>37</v>
      </c>
      <c r="F357" t="s">
        <v>33</v>
      </c>
      <c r="G357" t="s">
        <v>7</v>
      </c>
    </row>
    <row r="358" spans="1:7" x14ac:dyDescent="0.35">
      <c r="A358" t="s">
        <v>12</v>
      </c>
      <c r="B358" t="s">
        <v>33</v>
      </c>
      <c r="C358" t="s">
        <v>33</v>
      </c>
      <c r="D358" t="s">
        <v>33</v>
      </c>
      <c r="E358" t="s">
        <v>35</v>
      </c>
      <c r="F358" t="s">
        <v>39</v>
      </c>
      <c r="G358" t="s">
        <v>5</v>
      </c>
    </row>
    <row r="359" spans="1:7" x14ac:dyDescent="0.35">
      <c r="A359" t="s">
        <v>12</v>
      </c>
      <c r="B359" t="s">
        <v>35</v>
      </c>
      <c r="C359" t="s">
        <v>35</v>
      </c>
      <c r="D359" t="s">
        <v>33</v>
      </c>
      <c r="E359" t="s">
        <v>37</v>
      </c>
      <c r="F359" t="s">
        <v>35</v>
      </c>
      <c r="G359" t="s">
        <v>5</v>
      </c>
    </row>
    <row r="360" spans="1:7" x14ac:dyDescent="0.35">
      <c r="A360" t="s">
        <v>12</v>
      </c>
      <c r="B360" t="s">
        <v>33</v>
      </c>
      <c r="C360" t="s">
        <v>33</v>
      </c>
      <c r="D360" t="s">
        <v>33</v>
      </c>
      <c r="E360" t="s">
        <v>35</v>
      </c>
      <c r="F360" t="s">
        <v>33</v>
      </c>
      <c r="G360" t="s">
        <v>7</v>
      </c>
    </row>
    <row r="361" spans="1:7" x14ac:dyDescent="0.35">
      <c r="A361" t="s">
        <v>11</v>
      </c>
      <c r="B361" t="s">
        <v>37</v>
      </c>
      <c r="C361" t="s">
        <v>35</v>
      </c>
      <c r="D361" t="s">
        <v>37</v>
      </c>
      <c r="E361" t="s">
        <v>33</v>
      </c>
      <c r="F361" t="s">
        <v>39</v>
      </c>
      <c r="G361" t="s">
        <v>7</v>
      </c>
    </row>
    <row r="362" spans="1:7" x14ac:dyDescent="0.35">
      <c r="A362" t="s">
        <v>12</v>
      </c>
      <c r="B362" t="s">
        <v>39</v>
      </c>
      <c r="C362" t="s">
        <v>39</v>
      </c>
      <c r="D362" t="s">
        <v>39</v>
      </c>
      <c r="E362" t="s">
        <v>35</v>
      </c>
      <c r="F362" t="s">
        <v>39</v>
      </c>
      <c r="G362" t="s">
        <v>7</v>
      </c>
    </row>
    <row r="363" spans="1:7" x14ac:dyDescent="0.35">
      <c r="A363" t="s">
        <v>11</v>
      </c>
      <c r="B363" t="s">
        <v>37</v>
      </c>
      <c r="C363" t="s">
        <v>37</v>
      </c>
      <c r="D363" t="s">
        <v>39</v>
      </c>
      <c r="E363" t="s">
        <v>35</v>
      </c>
      <c r="F363" t="s">
        <v>37</v>
      </c>
      <c r="G363" t="s">
        <v>7</v>
      </c>
    </row>
    <row r="364" spans="1:7" x14ac:dyDescent="0.35">
      <c r="A364" t="s">
        <v>11</v>
      </c>
      <c r="B364" t="s">
        <v>35</v>
      </c>
      <c r="C364" t="s">
        <v>37</v>
      </c>
      <c r="D364" t="s">
        <v>37</v>
      </c>
      <c r="E364" t="s">
        <v>35</v>
      </c>
      <c r="F364" t="s">
        <v>39</v>
      </c>
      <c r="G364" t="s">
        <v>5</v>
      </c>
    </row>
    <row r="365" spans="1:7" x14ac:dyDescent="0.35">
      <c r="A365" t="s">
        <v>12</v>
      </c>
      <c r="B365" t="s">
        <v>33</v>
      </c>
      <c r="C365" t="s">
        <v>33</v>
      </c>
      <c r="D365" t="s">
        <v>35</v>
      </c>
      <c r="E365" t="s">
        <v>35</v>
      </c>
      <c r="F365" t="s">
        <v>39</v>
      </c>
      <c r="G365" t="s">
        <v>5</v>
      </c>
    </row>
    <row r="366" spans="1:7" x14ac:dyDescent="0.35">
      <c r="A366" t="s">
        <v>12</v>
      </c>
      <c r="B366" t="s">
        <v>35</v>
      </c>
      <c r="C366" t="s">
        <v>35</v>
      </c>
      <c r="D366" t="s">
        <v>35</v>
      </c>
      <c r="E366" t="s">
        <v>37</v>
      </c>
      <c r="F366" t="s">
        <v>39</v>
      </c>
      <c r="G366" t="s">
        <v>5</v>
      </c>
    </row>
    <row r="367" spans="1:7" x14ac:dyDescent="0.35">
      <c r="A367" t="s">
        <v>12</v>
      </c>
      <c r="B367" t="s">
        <v>39</v>
      </c>
      <c r="C367" t="s">
        <v>39</v>
      </c>
      <c r="D367" t="s">
        <v>39</v>
      </c>
      <c r="E367" t="s">
        <v>39</v>
      </c>
      <c r="F367" t="s">
        <v>37</v>
      </c>
      <c r="G367" t="s">
        <v>7</v>
      </c>
    </row>
    <row r="368" spans="1:7" x14ac:dyDescent="0.35">
      <c r="A368" t="s">
        <v>11</v>
      </c>
      <c r="B368" t="s">
        <v>33</v>
      </c>
      <c r="C368" t="s">
        <v>33</v>
      </c>
      <c r="D368" t="s">
        <v>33</v>
      </c>
      <c r="E368" t="s">
        <v>35</v>
      </c>
      <c r="F368" t="s">
        <v>37</v>
      </c>
      <c r="G368" t="s">
        <v>5</v>
      </c>
    </row>
    <row r="369" spans="1:7" x14ac:dyDescent="0.35">
      <c r="A369" t="s">
        <v>11</v>
      </c>
      <c r="B369" t="s">
        <v>33</v>
      </c>
      <c r="C369" t="s">
        <v>33</v>
      </c>
      <c r="D369" t="s">
        <v>33</v>
      </c>
      <c r="E369" t="s">
        <v>37</v>
      </c>
      <c r="F369" t="s">
        <v>35</v>
      </c>
      <c r="G369" t="s">
        <v>5</v>
      </c>
    </row>
    <row r="370" spans="1:7" x14ac:dyDescent="0.35">
      <c r="A370" t="s">
        <v>12</v>
      </c>
      <c r="B370" t="s">
        <v>37</v>
      </c>
      <c r="C370" t="s">
        <v>37</v>
      </c>
      <c r="D370" t="s">
        <v>37</v>
      </c>
      <c r="E370" t="s">
        <v>37</v>
      </c>
      <c r="F370" t="s">
        <v>35</v>
      </c>
      <c r="G370" t="s">
        <v>5</v>
      </c>
    </row>
    <row r="371" spans="1:7" x14ac:dyDescent="0.35">
      <c r="A371" t="s">
        <v>11</v>
      </c>
      <c r="B371" t="s">
        <v>35</v>
      </c>
      <c r="C371" t="s">
        <v>37</v>
      </c>
      <c r="D371" t="s">
        <v>37</v>
      </c>
      <c r="E371" t="s">
        <v>37</v>
      </c>
      <c r="F371" t="s">
        <v>39</v>
      </c>
      <c r="G371" t="s">
        <v>5</v>
      </c>
    </row>
    <row r="372" spans="1:7" x14ac:dyDescent="0.35">
      <c r="A372" t="s">
        <v>11</v>
      </c>
      <c r="B372" t="s">
        <v>37</v>
      </c>
      <c r="C372" t="s">
        <v>39</v>
      </c>
      <c r="D372" t="s">
        <v>37</v>
      </c>
      <c r="E372" t="s">
        <v>37</v>
      </c>
      <c r="F372" t="s">
        <v>37</v>
      </c>
      <c r="G372" t="s">
        <v>5</v>
      </c>
    </row>
    <row r="373" spans="1:7" x14ac:dyDescent="0.35">
      <c r="A373" t="s">
        <v>11</v>
      </c>
      <c r="B373" t="s">
        <v>33</v>
      </c>
      <c r="C373" t="s">
        <v>33</v>
      </c>
      <c r="D373" t="s">
        <v>33</v>
      </c>
      <c r="E373" t="s">
        <v>39</v>
      </c>
      <c r="F373" t="s">
        <v>33</v>
      </c>
      <c r="G373" t="s">
        <v>7</v>
      </c>
    </row>
    <row r="374" spans="1:7" x14ac:dyDescent="0.35">
      <c r="A374" t="s">
        <v>12</v>
      </c>
      <c r="B374" t="s">
        <v>35</v>
      </c>
      <c r="C374" t="s">
        <v>35</v>
      </c>
      <c r="D374" t="s">
        <v>33</v>
      </c>
      <c r="E374" t="s">
        <v>39</v>
      </c>
      <c r="F374" t="s">
        <v>33</v>
      </c>
      <c r="G374" t="s">
        <v>7</v>
      </c>
    </row>
    <row r="375" spans="1:7" x14ac:dyDescent="0.35">
      <c r="A375" t="s">
        <v>12</v>
      </c>
      <c r="B375" t="s">
        <v>35</v>
      </c>
      <c r="C375" t="s">
        <v>35</v>
      </c>
      <c r="D375" t="s">
        <v>37</v>
      </c>
      <c r="E375" t="s">
        <v>33</v>
      </c>
      <c r="F375" t="s">
        <v>39</v>
      </c>
      <c r="G375" t="s">
        <v>7</v>
      </c>
    </row>
    <row r="376" spans="1:7" x14ac:dyDescent="0.35">
      <c r="A376" t="s">
        <v>12</v>
      </c>
      <c r="B376" t="s">
        <v>35</v>
      </c>
      <c r="C376" t="s">
        <v>33</v>
      </c>
      <c r="D376" t="s">
        <v>33</v>
      </c>
      <c r="E376" t="s">
        <v>35</v>
      </c>
      <c r="F376" t="s">
        <v>35</v>
      </c>
      <c r="G376" t="s">
        <v>7</v>
      </c>
    </row>
    <row r="377" spans="1:7" x14ac:dyDescent="0.35">
      <c r="A377" t="s">
        <v>12</v>
      </c>
      <c r="B377" t="s">
        <v>39</v>
      </c>
      <c r="C377" t="s">
        <v>39</v>
      </c>
      <c r="D377" t="s">
        <v>39</v>
      </c>
      <c r="E377" t="s">
        <v>39</v>
      </c>
      <c r="F377" t="s">
        <v>39</v>
      </c>
      <c r="G377" t="s">
        <v>5</v>
      </c>
    </row>
    <row r="378" spans="1:7" x14ac:dyDescent="0.35">
      <c r="A378" t="s">
        <v>12</v>
      </c>
      <c r="B378" t="s">
        <v>39</v>
      </c>
      <c r="C378" t="s">
        <v>39</v>
      </c>
      <c r="D378" t="s">
        <v>39</v>
      </c>
      <c r="E378" t="s">
        <v>39</v>
      </c>
      <c r="F378" t="s">
        <v>37</v>
      </c>
      <c r="G378" t="s">
        <v>7</v>
      </c>
    </row>
    <row r="379" spans="1:7" x14ac:dyDescent="0.35">
      <c r="A379" t="s">
        <v>12</v>
      </c>
      <c r="B379" t="s">
        <v>37</v>
      </c>
      <c r="C379" t="s">
        <v>37</v>
      </c>
      <c r="D379" t="s">
        <v>37</v>
      </c>
      <c r="E379" t="s">
        <v>35</v>
      </c>
      <c r="F379" t="s">
        <v>37</v>
      </c>
      <c r="G379" t="s">
        <v>7</v>
      </c>
    </row>
    <row r="380" spans="1:7" x14ac:dyDescent="0.35">
      <c r="A380" t="s">
        <v>11</v>
      </c>
      <c r="B380" t="s">
        <v>33</v>
      </c>
      <c r="C380" t="s">
        <v>33</v>
      </c>
      <c r="D380" t="s">
        <v>33</v>
      </c>
      <c r="E380" t="s">
        <v>33</v>
      </c>
      <c r="F380" t="s">
        <v>37</v>
      </c>
      <c r="G380" t="s">
        <v>5</v>
      </c>
    </row>
    <row r="381" spans="1:7" x14ac:dyDescent="0.35">
      <c r="A381" t="s">
        <v>12</v>
      </c>
      <c r="B381" t="s">
        <v>39</v>
      </c>
      <c r="C381" t="s">
        <v>37</v>
      </c>
      <c r="D381" t="s">
        <v>39</v>
      </c>
      <c r="E381" t="s">
        <v>33</v>
      </c>
      <c r="F381" t="s">
        <v>39</v>
      </c>
      <c r="G381" t="s">
        <v>5</v>
      </c>
    </row>
    <row r="382" spans="1:7" x14ac:dyDescent="0.35">
      <c r="A382" t="s">
        <v>12</v>
      </c>
      <c r="B382" t="s">
        <v>33</v>
      </c>
      <c r="C382" t="s">
        <v>33</v>
      </c>
      <c r="D382" t="s">
        <v>35</v>
      </c>
      <c r="E382" t="s">
        <v>33</v>
      </c>
      <c r="F382" t="s">
        <v>39</v>
      </c>
      <c r="G382" t="s">
        <v>5</v>
      </c>
    </row>
    <row r="383" spans="1:7" x14ac:dyDescent="0.35">
      <c r="A383" t="s">
        <v>11</v>
      </c>
      <c r="B383" t="s">
        <v>33</v>
      </c>
      <c r="C383" t="s">
        <v>33</v>
      </c>
      <c r="D383" t="s">
        <v>35</v>
      </c>
      <c r="E383" t="s">
        <v>33</v>
      </c>
      <c r="F383" t="s">
        <v>37</v>
      </c>
      <c r="G383" t="s">
        <v>5</v>
      </c>
    </row>
    <row r="384" spans="1:7" x14ac:dyDescent="0.35">
      <c r="A384" t="s">
        <v>11</v>
      </c>
      <c r="B384" t="s">
        <v>35</v>
      </c>
      <c r="C384" t="s">
        <v>39</v>
      </c>
      <c r="D384" t="s">
        <v>39</v>
      </c>
      <c r="E384" t="s">
        <v>33</v>
      </c>
      <c r="F384" t="s">
        <v>37</v>
      </c>
      <c r="G384" t="s">
        <v>7</v>
      </c>
    </row>
    <row r="385" spans="1:7" x14ac:dyDescent="0.35">
      <c r="A385" t="s">
        <v>12</v>
      </c>
      <c r="B385" t="s">
        <v>33</v>
      </c>
      <c r="C385" t="s">
        <v>33</v>
      </c>
      <c r="D385" t="s">
        <v>35</v>
      </c>
      <c r="E385" t="s">
        <v>33</v>
      </c>
      <c r="F385" t="s">
        <v>35</v>
      </c>
      <c r="G385" t="s">
        <v>5</v>
      </c>
    </row>
    <row r="386" spans="1:7" x14ac:dyDescent="0.35">
      <c r="A386" t="s">
        <v>12</v>
      </c>
      <c r="B386" t="s">
        <v>35</v>
      </c>
      <c r="C386" t="s">
        <v>35</v>
      </c>
      <c r="D386" t="s">
        <v>33</v>
      </c>
      <c r="E386" t="s">
        <v>37</v>
      </c>
      <c r="F386" t="s">
        <v>37</v>
      </c>
      <c r="G386" t="s">
        <v>5</v>
      </c>
    </row>
    <row r="387" spans="1:7" x14ac:dyDescent="0.35">
      <c r="A387" t="s">
        <v>11</v>
      </c>
      <c r="B387" t="s">
        <v>35</v>
      </c>
      <c r="C387" t="s">
        <v>33</v>
      </c>
      <c r="D387" t="s">
        <v>33</v>
      </c>
      <c r="E387" t="s">
        <v>35</v>
      </c>
      <c r="F387" t="s">
        <v>37</v>
      </c>
      <c r="G387" t="s">
        <v>5</v>
      </c>
    </row>
    <row r="388" spans="1:7" x14ac:dyDescent="0.35">
      <c r="A388" t="s">
        <v>11</v>
      </c>
      <c r="B388" t="s">
        <v>33</v>
      </c>
      <c r="C388" t="s">
        <v>33</v>
      </c>
      <c r="D388" t="s">
        <v>33</v>
      </c>
      <c r="E388" t="s">
        <v>33</v>
      </c>
      <c r="F388" t="s">
        <v>39</v>
      </c>
      <c r="G388" t="s">
        <v>5</v>
      </c>
    </row>
    <row r="389" spans="1:7" x14ac:dyDescent="0.35">
      <c r="A389" t="s">
        <v>11</v>
      </c>
      <c r="B389" t="s">
        <v>37</v>
      </c>
      <c r="C389" t="s">
        <v>37</v>
      </c>
      <c r="D389" t="s">
        <v>37</v>
      </c>
      <c r="E389" t="s">
        <v>37</v>
      </c>
      <c r="F389" t="s">
        <v>37</v>
      </c>
      <c r="G389" t="s">
        <v>5</v>
      </c>
    </row>
    <row r="390" spans="1:7" x14ac:dyDescent="0.35">
      <c r="A390" t="s">
        <v>11</v>
      </c>
      <c r="B390" t="s">
        <v>39</v>
      </c>
      <c r="C390" t="s">
        <v>39</v>
      </c>
      <c r="D390" t="s">
        <v>39</v>
      </c>
      <c r="E390" t="s">
        <v>37</v>
      </c>
      <c r="F390" t="s">
        <v>35</v>
      </c>
      <c r="G390" t="s">
        <v>5</v>
      </c>
    </row>
    <row r="391" spans="1:7" x14ac:dyDescent="0.35">
      <c r="A391" t="s">
        <v>12</v>
      </c>
      <c r="B391" t="s">
        <v>39</v>
      </c>
      <c r="C391" t="s">
        <v>39</v>
      </c>
      <c r="D391" t="s">
        <v>37</v>
      </c>
      <c r="E391" t="s">
        <v>39</v>
      </c>
      <c r="F391" t="s">
        <v>33</v>
      </c>
      <c r="G391" t="s">
        <v>7</v>
      </c>
    </row>
    <row r="392" spans="1:7" x14ac:dyDescent="0.35">
      <c r="A392" t="s">
        <v>12</v>
      </c>
      <c r="B392" t="s">
        <v>39</v>
      </c>
      <c r="C392" t="s">
        <v>37</v>
      </c>
      <c r="D392" t="s">
        <v>35</v>
      </c>
      <c r="E392" t="s">
        <v>37</v>
      </c>
      <c r="F392" t="s">
        <v>39</v>
      </c>
      <c r="G392" t="s">
        <v>7</v>
      </c>
    </row>
    <row r="393" spans="1:7" x14ac:dyDescent="0.35">
      <c r="A393" t="s">
        <v>11</v>
      </c>
      <c r="B393" t="s">
        <v>37</v>
      </c>
      <c r="C393" t="s">
        <v>33</v>
      </c>
      <c r="D393" t="s">
        <v>33</v>
      </c>
      <c r="E393" t="s">
        <v>39</v>
      </c>
      <c r="F393" t="s">
        <v>35</v>
      </c>
      <c r="G393" t="s">
        <v>5</v>
      </c>
    </row>
    <row r="394" spans="1:7" x14ac:dyDescent="0.35">
      <c r="A394" t="s">
        <v>12</v>
      </c>
      <c r="B394" t="s">
        <v>37</v>
      </c>
      <c r="C394" t="s">
        <v>35</v>
      </c>
      <c r="D394" t="s">
        <v>33</v>
      </c>
      <c r="E394" t="s">
        <v>39</v>
      </c>
      <c r="F394" t="s">
        <v>35</v>
      </c>
      <c r="G394" t="s">
        <v>7</v>
      </c>
    </row>
    <row r="395" spans="1:7" x14ac:dyDescent="0.35">
      <c r="A395" t="s">
        <v>11</v>
      </c>
      <c r="B395" t="s">
        <v>39</v>
      </c>
      <c r="C395" t="s">
        <v>39</v>
      </c>
      <c r="D395" t="s">
        <v>33</v>
      </c>
      <c r="E395" t="s">
        <v>39</v>
      </c>
      <c r="F395" t="s">
        <v>35</v>
      </c>
      <c r="G395" t="s">
        <v>7</v>
      </c>
    </row>
    <row r="396" spans="1:7" x14ac:dyDescent="0.35">
      <c r="A396" t="s">
        <v>12</v>
      </c>
      <c r="B396" t="s">
        <v>33</v>
      </c>
      <c r="C396" t="s">
        <v>37</v>
      </c>
      <c r="D396" t="s">
        <v>35</v>
      </c>
      <c r="E396" t="s">
        <v>37</v>
      </c>
      <c r="F396" t="s">
        <v>39</v>
      </c>
      <c r="G396" t="s">
        <v>5</v>
      </c>
    </row>
    <row r="397" spans="1:7" x14ac:dyDescent="0.35">
      <c r="A397" t="s">
        <v>11</v>
      </c>
      <c r="B397" t="s">
        <v>37</v>
      </c>
      <c r="C397" t="s">
        <v>37</v>
      </c>
      <c r="D397" t="s">
        <v>37</v>
      </c>
      <c r="E397" t="s">
        <v>35</v>
      </c>
      <c r="F397" t="s">
        <v>39</v>
      </c>
      <c r="G397" t="s">
        <v>5</v>
      </c>
    </row>
    <row r="398" spans="1:7" x14ac:dyDescent="0.35">
      <c r="A398" t="s">
        <v>12</v>
      </c>
      <c r="B398" t="s">
        <v>39</v>
      </c>
      <c r="C398" t="s">
        <v>37</v>
      </c>
      <c r="D398" t="s">
        <v>39</v>
      </c>
      <c r="E398" t="s">
        <v>33</v>
      </c>
      <c r="F398" t="s">
        <v>39</v>
      </c>
      <c r="G398" t="s">
        <v>5</v>
      </c>
    </row>
    <row r="399" spans="1:7" x14ac:dyDescent="0.35">
      <c r="A399" t="s">
        <v>12</v>
      </c>
      <c r="B399" t="s">
        <v>39</v>
      </c>
      <c r="C399" t="s">
        <v>37</v>
      </c>
      <c r="D399" t="s">
        <v>35</v>
      </c>
      <c r="E399" t="s">
        <v>37</v>
      </c>
      <c r="F399" t="s">
        <v>37</v>
      </c>
      <c r="G399" t="s">
        <v>7</v>
      </c>
    </row>
    <row r="400" spans="1:7" x14ac:dyDescent="0.35">
      <c r="A400" t="s">
        <v>11</v>
      </c>
      <c r="B400" t="s">
        <v>39</v>
      </c>
      <c r="C400" t="s">
        <v>39</v>
      </c>
      <c r="D400" t="s">
        <v>39</v>
      </c>
      <c r="E400" t="s">
        <v>37</v>
      </c>
      <c r="F400" t="s">
        <v>33</v>
      </c>
      <c r="G400" t="s">
        <v>7</v>
      </c>
    </row>
    <row r="401" spans="1:7" x14ac:dyDescent="0.35">
      <c r="A401" t="s">
        <v>12</v>
      </c>
      <c r="B401" t="s">
        <v>33</v>
      </c>
      <c r="C401" t="s">
        <v>35</v>
      </c>
      <c r="D401" t="s">
        <v>35</v>
      </c>
      <c r="E401" t="s">
        <v>35</v>
      </c>
      <c r="F401" t="s">
        <v>39</v>
      </c>
      <c r="G401" t="s">
        <v>5</v>
      </c>
    </row>
    <row r="402" spans="1:7" x14ac:dyDescent="0.35">
      <c r="A402" t="s">
        <v>12</v>
      </c>
      <c r="B402" t="s">
        <v>35</v>
      </c>
      <c r="C402" t="s">
        <v>37</v>
      </c>
      <c r="D402" t="s">
        <v>39</v>
      </c>
      <c r="E402" t="s">
        <v>33</v>
      </c>
      <c r="F402" t="s">
        <v>33</v>
      </c>
      <c r="G402" t="s">
        <v>7</v>
      </c>
    </row>
    <row r="403" spans="1:7" x14ac:dyDescent="0.35">
      <c r="A403" t="s">
        <v>11</v>
      </c>
      <c r="B403" t="s">
        <v>39</v>
      </c>
      <c r="C403" t="s">
        <v>39</v>
      </c>
      <c r="D403" t="s">
        <v>39</v>
      </c>
      <c r="E403" t="s">
        <v>37</v>
      </c>
      <c r="F403" t="s">
        <v>35</v>
      </c>
      <c r="G403" t="s">
        <v>7</v>
      </c>
    </row>
    <row r="404" spans="1:7" x14ac:dyDescent="0.35">
      <c r="A404" t="s">
        <v>11</v>
      </c>
      <c r="B404" t="s">
        <v>39</v>
      </c>
      <c r="C404" t="s">
        <v>37</v>
      </c>
      <c r="D404" t="s">
        <v>37</v>
      </c>
      <c r="E404" t="s">
        <v>39</v>
      </c>
      <c r="F404" t="s">
        <v>37</v>
      </c>
      <c r="G404" t="s">
        <v>7</v>
      </c>
    </row>
    <row r="405" spans="1:7" x14ac:dyDescent="0.35">
      <c r="A405" t="s">
        <v>12</v>
      </c>
      <c r="B405" t="s">
        <v>37</v>
      </c>
      <c r="C405" t="s">
        <v>35</v>
      </c>
      <c r="D405" t="s">
        <v>39</v>
      </c>
      <c r="E405" t="s">
        <v>33</v>
      </c>
      <c r="F405" t="s">
        <v>39</v>
      </c>
      <c r="G405" t="s">
        <v>5</v>
      </c>
    </row>
    <row r="406" spans="1:7" x14ac:dyDescent="0.35">
      <c r="A406" t="s">
        <v>12</v>
      </c>
      <c r="B406" t="s">
        <v>39</v>
      </c>
      <c r="C406" t="s">
        <v>39</v>
      </c>
      <c r="D406" t="s">
        <v>39</v>
      </c>
      <c r="E406" t="s">
        <v>37</v>
      </c>
      <c r="F406" t="s">
        <v>35</v>
      </c>
      <c r="G406" t="s">
        <v>7</v>
      </c>
    </row>
    <row r="407" spans="1:7" x14ac:dyDescent="0.35">
      <c r="A407" t="s">
        <v>11</v>
      </c>
      <c r="B407" t="s">
        <v>35</v>
      </c>
      <c r="C407" t="s">
        <v>35</v>
      </c>
      <c r="D407" t="s">
        <v>33</v>
      </c>
      <c r="E407" t="s">
        <v>37</v>
      </c>
      <c r="F407" t="s">
        <v>33</v>
      </c>
      <c r="G407" t="s">
        <v>7</v>
      </c>
    </row>
    <row r="408" spans="1:7" x14ac:dyDescent="0.35">
      <c r="A408" t="s">
        <v>11</v>
      </c>
      <c r="B408" t="s">
        <v>33</v>
      </c>
      <c r="C408" t="s">
        <v>35</v>
      </c>
      <c r="D408" t="s">
        <v>33</v>
      </c>
      <c r="E408" t="s">
        <v>39</v>
      </c>
      <c r="F408" t="s">
        <v>39</v>
      </c>
      <c r="G408" t="s">
        <v>5</v>
      </c>
    </row>
    <row r="409" spans="1:7" x14ac:dyDescent="0.35">
      <c r="A409" t="s">
        <v>11</v>
      </c>
      <c r="B409" t="s">
        <v>37</v>
      </c>
      <c r="C409" t="s">
        <v>37</v>
      </c>
      <c r="D409" t="s">
        <v>35</v>
      </c>
      <c r="E409" t="s">
        <v>37</v>
      </c>
      <c r="F409" t="s">
        <v>33</v>
      </c>
      <c r="G409" t="s">
        <v>7</v>
      </c>
    </row>
    <row r="410" spans="1:7" x14ac:dyDescent="0.35">
      <c r="A410" t="s">
        <v>11</v>
      </c>
      <c r="B410" t="s">
        <v>39</v>
      </c>
      <c r="C410" t="s">
        <v>35</v>
      </c>
      <c r="D410" t="s">
        <v>37</v>
      </c>
      <c r="E410" t="s">
        <v>35</v>
      </c>
      <c r="F410" t="s">
        <v>35</v>
      </c>
      <c r="G410" t="s">
        <v>7</v>
      </c>
    </row>
    <row r="411" spans="1:7" x14ac:dyDescent="0.35">
      <c r="A411" t="s">
        <v>12</v>
      </c>
      <c r="B411" t="s">
        <v>39</v>
      </c>
      <c r="C411" t="s">
        <v>37</v>
      </c>
      <c r="D411" t="s">
        <v>39</v>
      </c>
      <c r="E411" t="s">
        <v>35</v>
      </c>
      <c r="F411" t="s">
        <v>39</v>
      </c>
      <c r="G411" t="s">
        <v>5</v>
      </c>
    </row>
    <row r="412" spans="1:7" x14ac:dyDescent="0.35">
      <c r="A412" t="s">
        <v>11</v>
      </c>
      <c r="B412" t="s">
        <v>39</v>
      </c>
      <c r="C412" t="s">
        <v>37</v>
      </c>
      <c r="D412" t="s">
        <v>35</v>
      </c>
      <c r="E412" t="s">
        <v>39</v>
      </c>
      <c r="F412" t="s">
        <v>35</v>
      </c>
      <c r="G412" t="s">
        <v>5</v>
      </c>
    </row>
    <row r="413" spans="1:7" x14ac:dyDescent="0.35">
      <c r="A413" t="s">
        <v>11</v>
      </c>
      <c r="B413" t="s">
        <v>37</v>
      </c>
      <c r="C413" t="s">
        <v>39</v>
      </c>
      <c r="D413" t="s">
        <v>39</v>
      </c>
      <c r="E413" t="s">
        <v>37</v>
      </c>
      <c r="F413" t="s">
        <v>35</v>
      </c>
      <c r="G413" t="s">
        <v>7</v>
      </c>
    </row>
    <row r="414" spans="1:7" x14ac:dyDescent="0.35">
      <c r="A414" t="s">
        <v>11</v>
      </c>
      <c r="B414" t="s">
        <v>33</v>
      </c>
      <c r="C414" t="s">
        <v>37</v>
      </c>
      <c r="D414" t="s">
        <v>37</v>
      </c>
      <c r="E414" t="s">
        <v>37</v>
      </c>
      <c r="F414" t="s">
        <v>33</v>
      </c>
      <c r="G414" t="s">
        <v>7</v>
      </c>
    </row>
    <row r="415" spans="1:7" x14ac:dyDescent="0.35">
      <c r="A415" t="s">
        <v>11</v>
      </c>
      <c r="B415" t="s">
        <v>37</v>
      </c>
      <c r="C415" t="s">
        <v>35</v>
      </c>
      <c r="D415" t="s">
        <v>37</v>
      </c>
      <c r="E415" t="s">
        <v>33</v>
      </c>
      <c r="F415" t="s">
        <v>37</v>
      </c>
      <c r="G415" t="s">
        <v>5</v>
      </c>
    </row>
    <row r="416" spans="1:7" x14ac:dyDescent="0.35">
      <c r="A416" t="s">
        <v>11</v>
      </c>
      <c r="B416" t="s">
        <v>33</v>
      </c>
      <c r="C416" t="s">
        <v>33</v>
      </c>
      <c r="D416" t="s">
        <v>33</v>
      </c>
      <c r="E416" t="s">
        <v>33</v>
      </c>
      <c r="F416" t="s">
        <v>37</v>
      </c>
      <c r="G416" t="s">
        <v>5</v>
      </c>
    </row>
    <row r="417" spans="1:7" x14ac:dyDescent="0.35">
      <c r="A417" t="s">
        <v>12</v>
      </c>
      <c r="B417" t="s">
        <v>37</v>
      </c>
      <c r="C417" t="s">
        <v>37</v>
      </c>
      <c r="D417" t="s">
        <v>39</v>
      </c>
      <c r="E417" t="s">
        <v>33</v>
      </c>
      <c r="F417" t="s">
        <v>33</v>
      </c>
      <c r="G417" t="s">
        <v>7</v>
      </c>
    </row>
    <row r="418" spans="1:7" x14ac:dyDescent="0.35">
      <c r="A418" t="s">
        <v>11</v>
      </c>
      <c r="B418" t="s">
        <v>35</v>
      </c>
      <c r="C418" t="s">
        <v>35</v>
      </c>
      <c r="D418" t="s">
        <v>35</v>
      </c>
      <c r="E418" t="s">
        <v>35</v>
      </c>
      <c r="F418" t="s">
        <v>37</v>
      </c>
      <c r="G418" t="s">
        <v>5</v>
      </c>
    </row>
    <row r="419" spans="1:7" x14ac:dyDescent="0.35">
      <c r="A419" t="s">
        <v>12</v>
      </c>
      <c r="B419" t="s">
        <v>35</v>
      </c>
      <c r="C419" t="s">
        <v>33</v>
      </c>
      <c r="D419" t="s">
        <v>33</v>
      </c>
      <c r="E419" t="s">
        <v>35</v>
      </c>
      <c r="F419" t="s">
        <v>37</v>
      </c>
      <c r="G419" t="s">
        <v>7</v>
      </c>
    </row>
    <row r="420" spans="1:7" x14ac:dyDescent="0.35">
      <c r="A420" t="s">
        <v>11</v>
      </c>
      <c r="B420" t="s">
        <v>35</v>
      </c>
      <c r="C420" t="s">
        <v>35</v>
      </c>
      <c r="D420" t="s">
        <v>37</v>
      </c>
      <c r="E420" t="s">
        <v>35</v>
      </c>
      <c r="F420" t="s">
        <v>33</v>
      </c>
      <c r="G420" t="s">
        <v>7</v>
      </c>
    </row>
    <row r="421" spans="1:7" x14ac:dyDescent="0.35">
      <c r="A421" t="s">
        <v>11</v>
      </c>
      <c r="B421" t="s">
        <v>35</v>
      </c>
      <c r="C421" t="s">
        <v>35</v>
      </c>
      <c r="D421" t="s">
        <v>37</v>
      </c>
      <c r="E421" t="s">
        <v>33</v>
      </c>
      <c r="F421" t="s">
        <v>37</v>
      </c>
      <c r="G421" t="s">
        <v>5</v>
      </c>
    </row>
    <row r="422" spans="1:7" x14ac:dyDescent="0.35">
      <c r="A422" t="s">
        <v>11</v>
      </c>
      <c r="B422" t="s">
        <v>33</v>
      </c>
      <c r="C422" t="s">
        <v>33</v>
      </c>
      <c r="D422" t="s">
        <v>37</v>
      </c>
      <c r="E422" t="s">
        <v>33</v>
      </c>
      <c r="F422" t="s">
        <v>39</v>
      </c>
      <c r="G422" t="s">
        <v>5</v>
      </c>
    </row>
    <row r="423" spans="1:7" x14ac:dyDescent="0.35">
      <c r="A423" t="s">
        <v>11</v>
      </c>
      <c r="B423" t="s">
        <v>33</v>
      </c>
      <c r="C423" t="s">
        <v>35</v>
      </c>
      <c r="D423" t="s">
        <v>33</v>
      </c>
      <c r="E423" t="s">
        <v>39</v>
      </c>
      <c r="F423" t="s">
        <v>33</v>
      </c>
      <c r="G423" t="s">
        <v>7</v>
      </c>
    </row>
    <row r="424" spans="1:7" x14ac:dyDescent="0.35">
      <c r="A424" t="s">
        <v>11</v>
      </c>
      <c r="B424" t="s">
        <v>37</v>
      </c>
      <c r="C424" t="s">
        <v>33</v>
      </c>
      <c r="D424" t="s">
        <v>37</v>
      </c>
      <c r="E424" t="s">
        <v>33</v>
      </c>
      <c r="F424" t="s">
        <v>35</v>
      </c>
      <c r="G424" t="s">
        <v>5</v>
      </c>
    </row>
    <row r="425" spans="1:7" x14ac:dyDescent="0.35">
      <c r="A425" t="s">
        <v>12</v>
      </c>
      <c r="B425" t="s">
        <v>33</v>
      </c>
      <c r="C425" t="s">
        <v>33</v>
      </c>
      <c r="D425" t="s">
        <v>33</v>
      </c>
      <c r="E425" t="s">
        <v>33</v>
      </c>
      <c r="F425" t="s">
        <v>39</v>
      </c>
      <c r="G425" t="s">
        <v>5</v>
      </c>
    </row>
    <row r="426" spans="1:7" x14ac:dyDescent="0.35">
      <c r="A426" t="s">
        <v>12</v>
      </c>
      <c r="B426" t="s">
        <v>35</v>
      </c>
      <c r="C426" t="s">
        <v>33</v>
      </c>
      <c r="D426" t="s">
        <v>37</v>
      </c>
      <c r="E426" t="s">
        <v>33</v>
      </c>
      <c r="F426" t="s">
        <v>37</v>
      </c>
      <c r="G426" t="s">
        <v>5</v>
      </c>
    </row>
    <row r="427" spans="1:7" x14ac:dyDescent="0.35">
      <c r="A427" t="s">
        <v>11</v>
      </c>
      <c r="B427" t="s">
        <v>39</v>
      </c>
      <c r="C427" t="s">
        <v>39</v>
      </c>
      <c r="D427" t="s">
        <v>39</v>
      </c>
      <c r="E427" t="s">
        <v>39</v>
      </c>
      <c r="F427" t="s">
        <v>39</v>
      </c>
      <c r="G427" t="s">
        <v>7</v>
      </c>
    </row>
    <row r="428" spans="1:7" x14ac:dyDescent="0.35">
      <c r="A428" t="s">
        <v>12</v>
      </c>
      <c r="B428" t="s">
        <v>39</v>
      </c>
      <c r="C428" t="s">
        <v>37</v>
      </c>
      <c r="D428" t="s">
        <v>37</v>
      </c>
      <c r="E428" t="s">
        <v>37</v>
      </c>
      <c r="F428" t="s">
        <v>35</v>
      </c>
      <c r="G428" t="s">
        <v>7</v>
      </c>
    </row>
    <row r="429" spans="1:7" x14ac:dyDescent="0.35">
      <c r="A429" t="s">
        <v>12</v>
      </c>
      <c r="B429" t="s">
        <v>33</v>
      </c>
      <c r="C429" t="s">
        <v>33</v>
      </c>
      <c r="D429" t="s">
        <v>35</v>
      </c>
      <c r="E429" t="s">
        <v>33</v>
      </c>
      <c r="F429" t="s">
        <v>33</v>
      </c>
      <c r="G429" t="s">
        <v>7</v>
      </c>
    </row>
    <row r="430" spans="1:7" x14ac:dyDescent="0.35">
      <c r="A430" t="s">
        <v>11</v>
      </c>
      <c r="B430" t="s">
        <v>37</v>
      </c>
      <c r="C430" t="s">
        <v>35</v>
      </c>
      <c r="D430" t="s">
        <v>35</v>
      </c>
      <c r="E430" t="s">
        <v>37</v>
      </c>
      <c r="F430" t="s">
        <v>33</v>
      </c>
      <c r="G430" t="s">
        <v>7</v>
      </c>
    </row>
    <row r="431" spans="1:7" x14ac:dyDescent="0.35">
      <c r="A431" t="s">
        <v>12</v>
      </c>
      <c r="B431" t="s">
        <v>35</v>
      </c>
      <c r="C431" t="s">
        <v>33</v>
      </c>
      <c r="D431" t="s">
        <v>35</v>
      </c>
      <c r="E431" t="s">
        <v>33</v>
      </c>
      <c r="F431" t="s">
        <v>39</v>
      </c>
      <c r="G431" t="s">
        <v>5</v>
      </c>
    </row>
    <row r="432" spans="1:7" x14ac:dyDescent="0.35">
      <c r="A432" t="s">
        <v>12</v>
      </c>
      <c r="B432" t="s">
        <v>35</v>
      </c>
      <c r="C432" t="s">
        <v>35</v>
      </c>
      <c r="D432" t="s">
        <v>33</v>
      </c>
      <c r="E432" t="s">
        <v>39</v>
      </c>
      <c r="F432" t="s">
        <v>33</v>
      </c>
      <c r="G432" t="s">
        <v>7</v>
      </c>
    </row>
    <row r="433" spans="1:7" x14ac:dyDescent="0.35">
      <c r="A433" t="s">
        <v>11</v>
      </c>
      <c r="B433" t="s">
        <v>39</v>
      </c>
      <c r="C433" t="s">
        <v>39</v>
      </c>
      <c r="D433" t="s">
        <v>39</v>
      </c>
      <c r="E433" t="s">
        <v>37</v>
      </c>
      <c r="F433" t="s">
        <v>37</v>
      </c>
      <c r="G433" t="s">
        <v>7</v>
      </c>
    </row>
    <row r="434" spans="1:7" x14ac:dyDescent="0.35">
      <c r="A434" t="s">
        <v>11</v>
      </c>
      <c r="B434" t="s">
        <v>33</v>
      </c>
      <c r="C434" t="s">
        <v>33</v>
      </c>
      <c r="D434" t="s">
        <v>35</v>
      </c>
      <c r="E434" t="s">
        <v>33</v>
      </c>
      <c r="F434" t="s">
        <v>39</v>
      </c>
      <c r="G434" t="s">
        <v>5</v>
      </c>
    </row>
    <row r="435" spans="1:7" x14ac:dyDescent="0.35">
      <c r="A435" t="s">
        <v>12</v>
      </c>
      <c r="B435" t="s">
        <v>33</v>
      </c>
      <c r="C435" t="s">
        <v>35</v>
      </c>
      <c r="D435" t="s">
        <v>35</v>
      </c>
      <c r="E435" t="s">
        <v>37</v>
      </c>
      <c r="F435" t="s">
        <v>39</v>
      </c>
      <c r="G435" t="s">
        <v>5</v>
      </c>
    </row>
    <row r="436" spans="1:7" x14ac:dyDescent="0.35">
      <c r="A436" t="s">
        <v>11</v>
      </c>
      <c r="B436" t="s">
        <v>37</v>
      </c>
      <c r="C436" t="s">
        <v>35</v>
      </c>
      <c r="D436" t="s">
        <v>35</v>
      </c>
      <c r="E436" t="s">
        <v>37</v>
      </c>
      <c r="F436" t="s">
        <v>33</v>
      </c>
      <c r="G436" t="s">
        <v>7</v>
      </c>
    </row>
    <row r="437" spans="1:7" x14ac:dyDescent="0.35">
      <c r="A437" t="s">
        <v>12</v>
      </c>
      <c r="B437" t="s">
        <v>39</v>
      </c>
      <c r="C437" t="s">
        <v>39</v>
      </c>
      <c r="D437" t="s">
        <v>37</v>
      </c>
      <c r="E437" t="s">
        <v>39</v>
      </c>
      <c r="F437" t="s">
        <v>35</v>
      </c>
      <c r="G437" t="s">
        <v>5</v>
      </c>
    </row>
    <row r="438" spans="1:7" x14ac:dyDescent="0.35">
      <c r="A438" t="s">
        <v>12</v>
      </c>
      <c r="B438" t="s">
        <v>39</v>
      </c>
      <c r="C438" t="s">
        <v>39</v>
      </c>
      <c r="D438" t="s">
        <v>37</v>
      </c>
      <c r="E438" t="s">
        <v>39</v>
      </c>
      <c r="F438" t="s">
        <v>39</v>
      </c>
      <c r="G438" t="s">
        <v>7</v>
      </c>
    </row>
    <row r="439" spans="1:7" x14ac:dyDescent="0.35">
      <c r="A439" t="s">
        <v>11</v>
      </c>
      <c r="B439" t="s">
        <v>35</v>
      </c>
      <c r="C439" t="s">
        <v>35</v>
      </c>
      <c r="D439" t="s">
        <v>35</v>
      </c>
      <c r="E439" t="s">
        <v>35</v>
      </c>
      <c r="F439" t="s">
        <v>33</v>
      </c>
      <c r="G439" t="s">
        <v>7</v>
      </c>
    </row>
    <row r="440" spans="1:7" x14ac:dyDescent="0.35">
      <c r="A440" t="s">
        <v>11</v>
      </c>
      <c r="B440" t="s">
        <v>37</v>
      </c>
      <c r="C440" t="s">
        <v>37</v>
      </c>
      <c r="D440" t="s">
        <v>37</v>
      </c>
      <c r="E440" t="s">
        <v>35</v>
      </c>
      <c r="F440" t="s">
        <v>33</v>
      </c>
      <c r="G440" t="s">
        <v>7</v>
      </c>
    </row>
    <row r="441" spans="1:7" x14ac:dyDescent="0.35">
      <c r="A441" t="s">
        <v>12</v>
      </c>
      <c r="B441" t="s">
        <v>39</v>
      </c>
      <c r="C441" t="s">
        <v>35</v>
      </c>
      <c r="D441" t="s">
        <v>35</v>
      </c>
      <c r="E441" t="s">
        <v>37</v>
      </c>
      <c r="F441" t="s">
        <v>37</v>
      </c>
      <c r="G441" t="s">
        <v>7</v>
      </c>
    </row>
    <row r="442" spans="1:7" x14ac:dyDescent="0.35">
      <c r="A442" t="s">
        <v>12</v>
      </c>
      <c r="B442" t="s">
        <v>35</v>
      </c>
      <c r="C442" t="s">
        <v>35</v>
      </c>
      <c r="D442" t="s">
        <v>35</v>
      </c>
      <c r="E442" t="s">
        <v>35</v>
      </c>
      <c r="F442" t="s">
        <v>35</v>
      </c>
      <c r="G442" t="s">
        <v>5</v>
      </c>
    </row>
    <row r="443" spans="1:7" x14ac:dyDescent="0.35">
      <c r="A443" t="s">
        <v>11</v>
      </c>
      <c r="B443" t="s">
        <v>35</v>
      </c>
      <c r="C443" t="s">
        <v>35</v>
      </c>
      <c r="D443" t="s">
        <v>37</v>
      </c>
      <c r="E443" t="s">
        <v>35</v>
      </c>
      <c r="F443" t="s">
        <v>39</v>
      </c>
      <c r="G443" t="s">
        <v>5</v>
      </c>
    </row>
    <row r="444" spans="1:7" x14ac:dyDescent="0.35">
      <c r="A444" t="s">
        <v>12</v>
      </c>
      <c r="B444" t="s">
        <v>35</v>
      </c>
      <c r="C444" t="s">
        <v>35</v>
      </c>
      <c r="D444" t="s">
        <v>37</v>
      </c>
      <c r="E444" t="s">
        <v>35</v>
      </c>
      <c r="F444" t="s">
        <v>33</v>
      </c>
      <c r="G444" t="s">
        <v>7</v>
      </c>
    </row>
    <row r="445" spans="1:7" x14ac:dyDescent="0.35">
      <c r="A445" t="s">
        <v>11</v>
      </c>
      <c r="B445" t="s">
        <v>37</v>
      </c>
      <c r="C445" t="s">
        <v>39</v>
      </c>
      <c r="D445" t="s">
        <v>37</v>
      </c>
      <c r="E445" t="s">
        <v>39</v>
      </c>
      <c r="F445" t="s">
        <v>35</v>
      </c>
      <c r="G445" t="s">
        <v>7</v>
      </c>
    </row>
    <row r="446" spans="1:7" x14ac:dyDescent="0.35">
      <c r="A446" t="s">
        <v>11</v>
      </c>
      <c r="B446" t="s">
        <v>39</v>
      </c>
      <c r="C446" t="s">
        <v>39</v>
      </c>
      <c r="D446" t="s">
        <v>39</v>
      </c>
      <c r="E446" t="s">
        <v>39</v>
      </c>
      <c r="F446" t="s">
        <v>39</v>
      </c>
      <c r="G446" t="s">
        <v>7</v>
      </c>
    </row>
    <row r="447" spans="1:7" x14ac:dyDescent="0.35">
      <c r="A447" t="s">
        <v>12</v>
      </c>
      <c r="B447" t="s">
        <v>33</v>
      </c>
      <c r="C447" t="s">
        <v>35</v>
      </c>
      <c r="D447" t="s">
        <v>37</v>
      </c>
      <c r="E447" t="s">
        <v>33</v>
      </c>
      <c r="F447" t="s">
        <v>33</v>
      </c>
      <c r="G447" t="s">
        <v>7</v>
      </c>
    </row>
    <row r="448" spans="1:7" x14ac:dyDescent="0.35">
      <c r="A448" t="s">
        <v>12</v>
      </c>
      <c r="B448" t="s">
        <v>33</v>
      </c>
      <c r="C448" t="s">
        <v>35</v>
      </c>
      <c r="D448" t="s">
        <v>35</v>
      </c>
      <c r="E448" t="s">
        <v>35</v>
      </c>
      <c r="F448" t="s">
        <v>39</v>
      </c>
      <c r="G448" t="s">
        <v>5</v>
      </c>
    </row>
    <row r="449" spans="1:7" x14ac:dyDescent="0.35">
      <c r="A449" t="s">
        <v>11</v>
      </c>
      <c r="B449" t="s">
        <v>37</v>
      </c>
      <c r="C449" t="s">
        <v>37</v>
      </c>
      <c r="D449" t="s">
        <v>39</v>
      </c>
      <c r="E449" t="s">
        <v>35</v>
      </c>
      <c r="F449" t="s">
        <v>39</v>
      </c>
      <c r="G449" t="s">
        <v>5</v>
      </c>
    </row>
    <row r="450" spans="1:7" x14ac:dyDescent="0.35">
      <c r="A450" t="s">
        <v>11</v>
      </c>
      <c r="B450" t="s">
        <v>39</v>
      </c>
      <c r="C450" t="s">
        <v>39</v>
      </c>
      <c r="D450" t="s">
        <v>35</v>
      </c>
      <c r="E450" t="s">
        <v>39</v>
      </c>
      <c r="F450" t="s">
        <v>33</v>
      </c>
      <c r="G450" t="s">
        <v>7</v>
      </c>
    </row>
    <row r="451" spans="1:7" x14ac:dyDescent="0.35">
      <c r="A451" t="s">
        <v>12</v>
      </c>
      <c r="B451" t="s">
        <v>37</v>
      </c>
      <c r="C451" t="s">
        <v>33</v>
      </c>
      <c r="D451" t="s">
        <v>35</v>
      </c>
      <c r="E451" t="s">
        <v>33</v>
      </c>
      <c r="F451" t="s">
        <v>37</v>
      </c>
      <c r="G451" t="s">
        <v>5</v>
      </c>
    </row>
    <row r="452" spans="1:7" x14ac:dyDescent="0.35">
      <c r="A452" t="s">
        <v>11</v>
      </c>
      <c r="B452" t="s">
        <v>35</v>
      </c>
      <c r="C452" t="s">
        <v>33</v>
      </c>
      <c r="D452" t="s">
        <v>33</v>
      </c>
      <c r="E452" t="s">
        <v>37</v>
      </c>
      <c r="F452" t="s">
        <v>33</v>
      </c>
      <c r="G452" t="s">
        <v>7</v>
      </c>
    </row>
    <row r="453" spans="1:7" x14ac:dyDescent="0.35">
      <c r="A453" t="s">
        <v>11</v>
      </c>
      <c r="B453" t="s">
        <v>39</v>
      </c>
      <c r="C453" t="s">
        <v>37</v>
      </c>
      <c r="D453" t="s">
        <v>39</v>
      </c>
      <c r="E453" t="s">
        <v>33</v>
      </c>
      <c r="F453" t="s">
        <v>39</v>
      </c>
      <c r="G453" t="s">
        <v>5</v>
      </c>
    </row>
    <row r="454" spans="1:7" x14ac:dyDescent="0.35">
      <c r="A454" t="s">
        <v>11</v>
      </c>
      <c r="B454" t="s">
        <v>33</v>
      </c>
      <c r="C454" t="s">
        <v>33</v>
      </c>
      <c r="D454" t="s">
        <v>33</v>
      </c>
      <c r="E454" t="s">
        <v>33</v>
      </c>
      <c r="F454" t="s">
        <v>35</v>
      </c>
      <c r="G454" t="s">
        <v>5</v>
      </c>
    </row>
    <row r="455" spans="1:7" x14ac:dyDescent="0.35">
      <c r="A455" t="s">
        <v>12</v>
      </c>
      <c r="B455" t="s">
        <v>35</v>
      </c>
      <c r="C455" t="s">
        <v>37</v>
      </c>
      <c r="D455" t="s">
        <v>37</v>
      </c>
      <c r="E455" t="s">
        <v>35</v>
      </c>
      <c r="F455" t="s">
        <v>39</v>
      </c>
      <c r="G455" t="s">
        <v>5</v>
      </c>
    </row>
    <row r="456" spans="1:7" x14ac:dyDescent="0.35">
      <c r="A456" t="s">
        <v>12</v>
      </c>
      <c r="B456" t="s">
        <v>37</v>
      </c>
      <c r="C456" t="s">
        <v>35</v>
      </c>
      <c r="D456" t="s">
        <v>37</v>
      </c>
      <c r="E456" t="s">
        <v>33</v>
      </c>
      <c r="F456" t="s">
        <v>35</v>
      </c>
      <c r="G456" t="s">
        <v>5</v>
      </c>
    </row>
    <row r="457" spans="1:7" x14ac:dyDescent="0.35">
      <c r="A457" t="s">
        <v>11</v>
      </c>
      <c r="B457" t="s">
        <v>39</v>
      </c>
      <c r="C457" t="s">
        <v>37</v>
      </c>
      <c r="D457" t="s">
        <v>37</v>
      </c>
      <c r="E457" t="s">
        <v>37</v>
      </c>
      <c r="F457" t="s">
        <v>39</v>
      </c>
      <c r="G457" t="s">
        <v>5</v>
      </c>
    </row>
    <row r="458" spans="1:7" x14ac:dyDescent="0.35">
      <c r="A458" t="s">
        <v>12</v>
      </c>
      <c r="B458" t="s">
        <v>35</v>
      </c>
      <c r="C458" t="s">
        <v>33</v>
      </c>
      <c r="D458" t="s">
        <v>33</v>
      </c>
      <c r="E458" t="s">
        <v>39</v>
      </c>
      <c r="F458" t="s">
        <v>39</v>
      </c>
      <c r="G458" t="s">
        <v>5</v>
      </c>
    </row>
    <row r="459" spans="1:7" x14ac:dyDescent="0.35">
      <c r="A459" t="s">
        <v>12</v>
      </c>
      <c r="B459" t="s">
        <v>37</v>
      </c>
      <c r="C459" t="s">
        <v>33</v>
      </c>
      <c r="D459" t="s">
        <v>33</v>
      </c>
      <c r="E459" t="s">
        <v>35</v>
      </c>
      <c r="F459" t="s">
        <v>39</v>
      </c>
      <c r="G459" t="s">
        <v>5</v>
      </c>
    </row>
    <row r="460" spans="1:7" x14ac:dyDescent="0.35">
      <c r="A460" t="s">
        <v>12</v>
      </c>
      <c r="B460" t="s">
        <v>39</v>
      </c>
      <c r="C460" t="s">
        <v>39</v>
      </c>
      <c r="D460" t="s">
        <v>37</v>
      </c>
      <c r="E460" t="s">
        <v>39</v>
      </c>
      <c r="F460" t="s">
        <v>37</v>
      </c>
      <c r="G460" t="s">
        <v>7</v>
      </c>
    </row>
    <row r="461" spans="1:7" x14ac:dyDescent="0.35">
      <c r="A461" t="s">
        <v>12</v>
      </c>
      <c r="B461" t="s">
        <v>39</v>
      </c>
      <c r="C461" t="s">
        <v>39</v>
      </c>
      <c r="D461" t="s">
        <v>39</v>
      </c>
      <c r="E461" t="s">
        <v>39</v>
      </c>
      <c r="F461" t="s">
        <v>37</v>
      </c>
      <c r="G461" t="s">
        <v>7</v>
      </c>
    </row>
    <row r="462" spans="1:7" x14ac:dyDescent="0.35">
      <c r="A462" t="s">
        <v>11</v>
      </c>
      <c r="B462" t="s">
        <v>37</v>
      </c>
      <c r="C462" t="s">
        <v>37</v>
      </c>
      <c r="D462" t="s">
        <v>39</v>
      </c>
      <c r="E462" t="s">
        <v>35</v>
      </c>
      <c r="F462" t="s">
        <v>35</v>
      </c>
      <c r="G462" t="s">
        <v>5</v>
      </c>
    </row>
    <row r="463" spans="1:7" x14ac:dyDescent="0.35">
      <c r="A463" t="s">
        <v>11</v>
      </c>
      <c r="B463" t="s">
        <v>35</v>
      </c>
      <c r="C463" t="s">
        <v>35</v>
      </c>
      <c r="D463" t="s">
        <v>33</v>
      </c>
      <c r="E463" t="s">
        <v>39</v>
      </c>
      <c r="F463" t="s">
        <v>35</v>
      </c>
      <c r="G463" t="s">
        <v>7</v>
      </c>
    </row>
    <row r="464" spans="1:7" x14ac:dyDescent="0.35">
      <c r="A464" t="s">
        <v>11</v>
      </c>
      <c r="B464" t="s">
        <v>37</v>
      </c>
      <c r="C464" t="s">
        <v>35</v>
      </c>
      <c r="D464" t="s">
        <v>33</v>
      </c>
      <c r="E464" t="s">
        <v>39</v>
      </c>
      <c r="F464" t="s">
        <v>35</v>
      </c>
      <c r="G464" t="s">
        <v>7</v>
      </c>
    </row>
    <row r="465" spans="1:7" x14ac:dyDescent="0.35">
      <c r="A465" t="s">
        <v>12</v>
      </c>
      <c r="B465" t="s">
        <v>35</v>
      </c>
      <c r="C465" t="s">
        <v>37</v>
      </c>
      <c r="D465" t="s">
        <v>35</v>
      </c>
      <c r="E465" t="s">
        <v>39</v>
      </c>
      <c r="F465" t="s">
        <v>37</v>
      </c>
      <c r="G465" t="s">
        <v>7</v>
      </c>
    </row>
    <row r="466" spans="1:7" x14ac:dyDescent="0.35">
      <c r="A466" t="s">
        <v>12</v>
      </c>
      <c r="B466" t="s">
        <v>35</v>
      </c>
      <c r="C466" t="s">
        <v>33</v>
      </c>
      <c r="D466" t="s">
        <v>33</v>
      </c>
      <c r="E466" t="s">
        <v>33</v>
      </c>
      <c r="F466" t="s">
        <v>37</v>
      </c>
      <c r="G466" t="s">
        <v>5</v>
      </c>
    </row>
    <row r="467" spans="1:7" x14ac:dyDescent="0.35">
      <c r="A467" t="s">
        <v>12</v>
      </c>
      <c r="B467" t="s">
        <v>39</v>
      </c>
      <c r="C467" t="s">
        <v>35</v>
      </c>
      <c r="D467" t="s">
        <v>35</v>
      </c>
      <c r="E467" t="s">
        <v>35</v>
      </c>
      <c r="F467" t="s">
        <v>39</v>
      </c>
      <c r="G467" t="s">
        <v>5</v>
      </c>
    </row>
    <row r="468" spans="1:7" x14ac:dyDescent="0.35">
      <c r="A468" t="s">
        <v>12</v>
      </c>
      <c r="B468" t="s">
        <v>37</v>
      </c>
      <c r="C468" t="s">
        <v>39</v>
      </c>
      <c r="D468" t="s">
        <v>39</v>
      </c>
      <c r="E468" t="s">
        <v>33</v>
      </c>
      <c r="F468" t="s">
        <v>37</v>
      </c>
      <c r="G468" t="s">
        <v>7</v>
      </c>
    </row>
    <row r="469" spans="1:7" x14ac:dyDescent="0.35">
      <c r="A469" t="s">
        <v>11</v>
      </c>
      <c r="B469" t="s">
        <v>33</v>
      </c>
      <c r="C469" t="s">
        <v>33</v>
      </c>
      <c r="D469" t="s">
        <v>35</v>
      </c>
      <c r="E469" t="s">
        <v>35</v>
      </c>
      <c r="F469" t="s">
        <v>37</v>
      </c>
      <c r="G469" t="s">
        <v>7</v>
      </c>
    </row>
    <row r="470" spans="1:7" x14ac:dyDescent="0.35">
      <c r="A470" t="s">
        <v>11</v>
      </c>
      <c r="B470" t="s">
        <v>39</v>
      </c>
      <c r="C470" t="s">
        <v>37</v>
      </c>
      <c r="D470" t="s">
        <v>35</v>
      </c>
      <c r="E470" t="s">
        <v>39</v>
      </c>
      <c r="F470" t="s">
        <v>35</v>
      </c>
      <c r="G470" t="s">
        <v>7</v>
      </c>
    </row>
    <row r="471" spans="1:7" x14ac:dyDescent="0.35">
      <c r="A471" t="s">
        <v>11</v>
      </c>
      <c r="B471" t="s">
        <v>33</v>
      </c>
      <c r="C471" t="s">
        <v>33</v>
      </c>
      <c r="D471" t="s">
        <v>33</v>
      </c>
      <c r="E471" t="s">
        <v>33</v>
      </c>
      <c r="F471" t="s">
        <v>33</v>
      </c>
      <c r="G471" t="s">
        <v>5</v>
      </c>
    </row>
    <row r="472" spans="1:7" x14ac:dyDescent="0.35">
      <c r="A472" t="s">
        <v>11</v>
      </c>
      <c r="B472" t="s">
        <v>39</v>
      </c>
      <c r="C472" t="s">
        <v>37</v>
      </c>
      <c r="D472" t="s">
        <v>37</v>
      </c>
      <c r="E472" t="s">
        <v>37</v>
      </c>
      <c r="F472" t="s">
        <v>33</v>
      </c>
      <c r="G472" t="s">
        <v>7</v>
      </c>
    </row>
    <row r="473" spans="1:7" x14ac:dyDescent="0.35">
      <c r="A473" t="s">
        <v>12</v>
      </c>
      <c r="B473" t="s">
        <v>33</v>
      </c>
      <c r="C473" t="s">
        <v>33</v>
      </c>
      <c r="D473" t="s">
        <v>33</v>
      </c>
      <c r="E473" t="s">
        <v>33</v>
      </c>
      <c r="F473" t="s">
        <v>35</v>
      </c>
      <c r="G473" t="s">
        <v>5</v>
      </c>
    </row>
    <row r="474" spans="1:7" x14ac:dyDescent="0.35">
      <c r="A474" t="s">
        <v>11</v>
      </c>
      <c r="B474" t="s">
        <v>33</v>
      </c>
      <c r="C474" t="s">
        <v>33</v>
      </c>
      <c r="D474" t="s">
        <v>37</v>
      </c>
      <c r="E474" t="s">
        <v>33</v>
      </c>
      <c r="F474" t="s">
        <v>37</v>
      </c>
      <c r="G474" t="s">
        <v>5</v>
      </c>
    </row>
    <row r="475" spans="1:7" x14ac:dyDescent="0.35">
      <c r="A475" t="s">
        <v>12</v>
      </c>
      <c r="B475" t="s">
        <v>39</v>
      </c>
      <c r="C475" t="s">
        <v>39</v>
      </c>
      <c r="D475" t="s">
        <v>39</v>
      </c>
      <c r="E475" t="s">
        <v>33</v>
      </c>
      <c r="F475" t="s">
        <v>39</v>
      </c>
      <c r="G475" t="s">
        <v>5</v>
      </c>
    </row>
    <row r="476" spans="1:7" x14ac:dyDescent="0.35">
      <c r="A476" t="s">
        <v>11</v>
      </c>
      <c r="B476" t="s">
        <v>37</v>
      </c>
      <c r="C476" t="s">
        <v>33</v>
      </c>
      <c r="D476" t="s">
        <v>35</v>
      </c>
      <c r="E476" t="s">
        <v>33</v>
      </c>
      <c r="F476" t="s">
        <v>39</v>
      </c>
      <c r="G476" t="s">
        <v>5</v>
      </c>
    </row>
    <row r="477" spans="1:7" x14ac:dyDescent="0.35">
      <c r="A477" t="s">
        <v>11</v>
      </c>
      <c r="B477" t="s">
        <v>33</v>
      </c>
      <c r="C477" t="s">
        <v>33</v>
      </c>
      <c r="D477" t="s">
        <v>33</v>
      </c>
      <c r="E477" t="s">
        <v>35</v>
      </c>
      <c r="F477" t="s">
        <v>37</v>
      </c>
      <c r="G477" t="s">
        <v>7</v>
      </c>
    </row>
    <row r="478" spans="1:7" x14ac:dyDescent="0.35">
      <c r="A478" t="s">
        <v>12</v>
      </c>
      <c r="B478" t="s">
        <v>35</v>
      </c>
      <c r="C478" t="s">
        <v>37</v>
      </c>
      <c r="D478" t="s">
        <v>35</v>
      </c>
      <c r="E478" t="s">
        <v>37</v>
      </c>
      <c r="F478" t="s">
        <v>39</v>
      </c>
      <c r="G478" t="s">
        <v>7</v>
      </c>
    </row>
    <row r="479" spans="1:7" x14ac:dyDescent="0.35">
      <c r="A479" t="s">
        <v>12</v>
      </c>
      <c r="B479" t="s">
        <v>37</v>
      </c>
      <c r="C479" t="s">
        <v>39</v>
      </c>
      <c r="D479" t="s">
        <v>39</v>
      </c>
      <c r="E479" t="s">
        <v>35</v>
      </c>
      <c r="F479" t="s">
        <v>39</v>
      </c>
      <c r="G479" t="s">
        <v>5</v>
      </c>
    </row>
    <row r="480" spans="1:7" x14ac:dyDescent="0.35">
      <c r="A480" t="s">
        <v>12</v>
      </c>
      <c r="B480" t="s">
        <v>39</v>
      </c>
      <c r="C480" t="s">
        <v>39</v>
      </c>
      <c r="D480" t="s">
        <v>39</v>
      </c>
      <c r="E480" t="s">
        <v>39</v>
      </c>
      <c r="F480" t="s">
        <v>37</v>
      </c>
      <c r="G480" t="s">
        <v>7</v>
      </c>
    </row>
    <row r="481" spans="1:7" x14ac:dyDescent="0.35">
      <c r="A481" t="s">
        <v>11</v>
      </c>
      <c r="B481" t="s">
        <v>39</v>
      </c>
      <c r="C481" t="s">
        <v>37</v>
      </c>
      <c r="D481" t="s">
        <v>39</v>
      </c>
      <c r="E481" t="s">
        <v>33</v>
      </c>
      <c r="F481" t="s">
        <v>33</v>
      </c>
      <c r="G481" t="s">
        <v>7</v>
      </c>
    </row>
    <row r="482" spans="1:7" x14ac:dyDescent="0.35">
      <c r="A482" t="s">
        <v>12</v>
      </c>
      <c r="B482" t="s">
        <v>35</v>
      </c>
      <c r="C482" t="s">
        <v>35</v>
      </c>
      <c r="D482" t="s">
        <v>35</v>
      </c>
      <c r="E482" t="s">
        <v>35</v>
      </c>
      <c r="F482" t="s">
        <v>37</v>
      </c>
      <c r="G482" t="s">
        <v>7</v>
      </c>
    </row>
    <row r="483" spans="1:7" x14ac:dyDescent="0.35">
      <c r="A483" t="s">
        <v>11</v>
      </c>
      <c r="B483" t="s">
        <v>39</v>
      </c>
      <c r="C483" t="s">
        <v>39</v>
      </c>
      <c r="D483" t="s">
        <v>39</v>
      </c>
      <c r="E483" t="s">
        <v>33</v>
      </c>
      <c r="F483" t="s">
        <v>37</v>
      </c>
      <c r="G483" t="s">
        <v>5</v>
      </c>
    </row>
    <row r="484" spans="1:7" x14ac:dyDescent="0.35">
      <c r="A484" t="s">
        <v>11</v>
      </c>
      <c r="B484" t="s">
        <v>39</v>
      </c>
      <c r="C484" t="s">
        <v>39</v>
      </c>
      <c r="D484" t="s">
        <v>39</v>
      </c>
      <c r="E484" t="s">
        <v>39</v>
      </c>
      <c r="F484" t="s">
        <v>33</v>
      </c>
      <c r="G484" t="s">
        <v>7</v>
      </c>
    </row>
    <row r="485" spans="1:7" x14ac:dyDescent="0.35">
      <c r="A485" t="s">
        <v>12</v>
      </c>
      <c r="B485" t="s">
        <v>33</v>
      </c>
      <c r="C485" t="s">
        <v>35</v>
      </c>
      <c r="D485" t="s">
        <v>33</v>
      </c>
      <c r="E485" t="s">
        <v>39</v>
      </c>
      <c r="F485" t="s">
        <v>39</v>
      </c>
      <c r="G485" t="s">
        <v>5</v>
      </c>
    </row>
    <row r="486" spans="1:7" x14ac:dyDescent="0.35">
      <c r="A486" t="s">
        <v>12</v>
      </c>
      <c r="B486" t="s">
        <v>35</v>
      </c>
      <c r="C486" t="s">
        <v>39</v>
      </c>
      <c r="D486" t="s">
        <v>39</v>
      </c>
      <c r="E486" t="s">
        <v>35</v>
      </c>
      <c r="F486" t="s">
        <v>35</v>
      </c>
      <c r="G486" t="s">
        <v>7</v>
      </c>
    </row>
    <row r="487" spans="1:7" x14ac:dyDescent="0.35">
      <c r="A487" t="s">
        <v>12</v>
      </c>
      <c r="B487" t="s">
        <v>35</v>
      </c>
      <c r="C487" t="s">
        <v>33</v>
      </c>
      <c r="D487" t="s">
        <v>35</v>
      </c>
      <c r="E487" t="s">
        <v>33</v>
      </c>
      <c r="F487" t="s">
        <v>37</v>
      </c>
      <c r="G487" t="s">
        <v>5</v>
      </c>
    </row>
    <row r="488" spans="1:7" x14ac:dyDescent="0.35">
      <c r="A488" t="s">
        <v>12</v>
      </c>
      <c r="B488" t="s">
        <v>39</v>
      </c>
      <c r="C488" t="s">
        <v>39</v>
      </c>
      <c r="D488" t="s">
        <v>39</v>
      </c>
      <c r="E488" t="s">
        <v>39</v>
      </c>
      <c r="F488" t="s">
        <v>39</v>
      </c>
      <c r="G488" t="s">
        <v>7</v>
      </c>
    </row>
    <row r="489" spans="1:7" x14ac:dyDescent="0.35">
      <c r="A489" t="s">
        <v>12</v>
      </c>
      <c r="B489" t="s">
        <v>39</v>
      </c>
      <c r="C489" t="s">
        <v>35</v>
      </c>
      <c r="D489" t="s">
        <v>37</v>
      </c>
      <c r="E489" t="s">
        <v>33</v>
      </c>
      <c r="F489" t="s">
        <v>39</v>
      </c>
      <c r="G489" t="s">
        <v>5</v>
      </c>
    </row>
    <row r="490" spans="1:7" x14ac:dyDescent="0.35">
      <c r="A490" t="s">
        <v>11</v>
      </c>
      <c r="B490" t="s">
        <v>33</v>
      </c>
      <c r="C490" t="s">
        <v>35</v>
      </c>
      <c r="D490" t="s">
        <v>37</v>
      </c>
      <c r="E490" t="s">
        <v>35</v>
      </c>
      <c r="F490" t="s">
        <v>35</v>
      </c>
      <c r="G490" t="s">
        <v>5</v>
      </c>
    </row>
    <row r="491" spans="1:7" x14ac:dyDescent="0.35">
      <c r="A491" t="s">
        <v>11</v>
      </c>
      <c r="B491" t="s">
        <v>37</v>
      </c>
      <c r="C491" t="s">
        <v>37</v>
      </c>
      <c r="D491" t="s">
        <v>39</v>
      </c>
      <c r="E491" t="s">
        <v>33</v>
      </c>
      <c r="F491" t="s">
        <v>39</v>
      </c>
      <c r="G491" t="s">
        <v>5</v>
      </c>
    </row>
    <row r="492" spans="1:7" x14ac:dyDescent="0.35">
      <c r="A492" t="s">
        <v>11</v>
      </c>
      <c r="B492" t="s">
        <v>35</v>
      </c>
      <c r="C492" t="s">
        <v>37</v>
      </c>
      <c r="D492" t="s">
        <v>39</v>
      </c>
      <c r="E492" t="s">
        <v>33</v>
      </c>
      <c r="F492" t="s">
        <v>33</v>
      </c>
      <c r="G492" t="s">
        <v>5</v>
      </c>
    </row>
    <row r="493" spans="1:7" x14ac:dyDescent="0.35">
      <c r="A493" t="s">
        <v>11</v>
      </c>
      <c r="B493" t="s">
        <v>33</v>
      </c>
      <c r="C493" t="s">
        <v>33</v>
      </c>
      <c r="D493" t="s">
        <v>33</v>
      </c>
      <c r="E493" t="s">
        <v>35</v>
      </c>
      <c r="F493" t="s">
        <v>39</v>
      </c>
      <c r="G493" t="s">
        <v>5</v>
      </c>
    </row>
    <row r="494" spans="1:7" x14ac:dyDescent="0.35">
      <c r="A494" t="s">
        <v>11</v>
      </c>
      <c r="B494" t="s">
        <v>33</v>
      </c>
      <c r="C494" t="s">
        <v>37</v>
      </c>
      <c r="D494" t="s">
        <v>35</v>
      </c>
      <c r="E494" t="s">
        <v>39</v>
      </c>
      <c r="F494" t="s">
        <v>33</v>
      </c>
      <c r="G494" t="s">
        <v>7</v>
      </c>
    </row>
    <row r="495" spans="1:7" x14ac:dyDescent="0.35">
      <c r="A495" t="s">
        <v>12</v>
      </c>
      <c r="B495" t="s">
        <v>39</v>
      </c>
      <c r="C495" t="s">
        <v>39</v>
      </c>
      <c r="D495" t="s">
        <v>37</v>
      </c>
      <c r="E495" t="s">
        <v>37</v>
      </c>
      <c r="F495" t="s">
        <v>37</v>
      </c>
      <c r="G495" t="s">
        <v>5</v>
      </c>
    </row>
    <row r="496" spans="1:7" x14ac:dyDescent="0.35">
      <c r="A496" t="s">
        <v>11</v>
      </c>
      <c r="B496" t="s">
        <v>37</v>
      </c>
      <c r="C496" t="s">
        <v>35</v>
      </c>
      <c r="D496" t="s">
        <v>35</v>
      </c>
      <c r="E496" t="s">
        <v>37</v>
      </c>
      <c r="F496" t="s">
        <v>33</v>
      </c>
      <c r="G496" t="s">
        <v>7</v>
      </c>
    </row>
    <row r="497" spans="1:7" x14ac:dyDescent="0.35">
      <c r="A497" t="s">
        <v>12</v>
      </c>
      <c r="B497" t="s">
        <v>35</v>
      </c>
      <c r="C497" t="s">
        <v>35</v>
      </c>
      <c r="D497" t="s">
        <v>33</v>
      </c>
      <c r="E497" t="s">
        <v>37</v>
      </c>
      <c r="F497" t="s">
        <v>33</v>
      </c>
      <c r="G497" t="s">
        <v>5</v>
      </c>
    </row>
    <row r="498" spans="1:7" x14ac:dyDescent="0.35">
      <c r="A498" t="s">
        <v>12</v>
      </c>
      <c r="B498" t="s">
        <v>39</v>
      </c>
      <c r="C498" t="s">
        <v>39</v>
      </c>
      <c r="D498" t="s">
        <v>39</v>
      </c>
      <c r="E498" t="s">
        <v>39</v>
      </c>
      <c r="F498" t="s">
        <v>35</v>
      </c>
      <c r="G498" t="s">
        <v>7</v>
      </c>
    </row>
    <row r="499" spans="1:7" x14ac:dyDescent="0.35">
      <c r="A499" t="s">
        <v>11</v>
      </c>
      <c r="B499" t="s">
        <v>35</v>
      </c>
      <c r="C499" t="s">
        <v>37</v>
      </c>
      <c r="D499" t="s">
        <v>37</v>
      </c>
      <c r="E499" t="s">
        <v>37</v>
      </c>
      <c r="F499" t="s">
        <v>39</v>
      </c>
      <c r="G499" t="s">
        <v>5</v>
      </c>
    </row>
    <row r="500" spans="1:7" x14ac:dyDescent="0.35">
      <c r="A500" t="s">
        <v>12</v>
      </c>
      <c r="B500" t="s">
        <v>33</v>
      </c>
      <c r="C500" t="s">
        <v>35</v>
      </c>
      <c r="D500" t="s">
        <v>35</v>
      </c>
      <c r="E500" t="s">
        <v>35</v>
      </c>
      <c r="F500" t="s">
        <v>37</v>
      </c>
      <c r="G500" t="s">
        <v>7</v>
      </c>
    </row>
    <row r="501" spans="1:7" x14ac:dyDescent="0.35">
      <c r="A501" t="s">
        <v>12</v>
      </c>
      <c r="B501" t="s">
        <v>33</v>
      </c>
      <c r="C501" t="s">
        <v>33</v>
      </c>
      <c r="D501" t="s">
        <v>33</v>
      </c>
      <c r="E501" t="s">
        <v>37</v>
      </c>
      <c r="F501" t="s">
        <v>35</v>
      </c>
      <c r="G501" t="s">
        <v>5</v>
      </c>
    </row>
    <row r="502" spans="1:7" x14ac:dyDescent="0.35">
      <c r="A502" t="s">
        <v>12</v>
      </c>
      <c r="B502" t="s">
        <v>39</v>
      </c>
      <c r="C502" t="s">
        <v>39</v>
      </c>
      <c r="D502" t="s">
        <v>35</v>
      </c>
      <c r="E502" t="s">
        <v>39</v>
      </c>
      <c r="F502" t="s">
        <v>37</v>
      </c>
      <c r="G502" t="s">
        <v>7</v>
      </c>
    </row>
    <row r="503" spans="1:7" x14ac:dyDescent="0.35">
      <c r="A503" t="s">
        <v>12</v>
      </c>
      <c r="B503" t="s">
        <v>37</v>
      </c>
      <c r="C503" t="s">
        <v>37</v>
      </c>
      <c r="D503" t="s">
        <v>35</v>
      </c>
      <c r="E503" t="s">
        <v>39</v>
      </c>
      <c r="F503" t="s">
        <v>37</v>
      </c>
      <c r="G503" t="s">
        <v>7</v>
      </c>
    </row>
    <row r="504" spans="1:7" x14ac:dyDescent="0.35">
      <c r="A504" t="s">
        <v>12</v>
      </c>
      <c r="B504" t="s">
        <v>35</v>
      </c>
      <c r="C504" t="s">
        <v>37</v>
      </c>
      <c r="D504" t="s">
        <v>37</v>
      </c>
      <c r="E504" t="s">
        <v>39</v>
      </c>
      <c r="F504" t="s">
        <v>33</v>
      </c>
      <c r="G504" t="s">
        <v>7</v>
      </c>
    </row>
    <row r="505" spans="1:7" x14ac:dyDescent="0.35">
      <c r="A505" t="s">
        <v>12</v>
      </c>
      <c r="B505" t="s">
        <v>39</v>
      </c>
      <c r="C505" t="s">
        <v>37</v>
      </c>
      <c r="D505" t="s">
        <v>35</v>
      </c>
      <c r="E505" t="s">
        <v>39</v>
      </c>
      <c r="F505" t="s">
        <v>37</v>
      </c>
      <c r="G505" t="s">
        <v>7</v>
      </c>
    </row>
    <row r="506" spans="1:7" x14ac:dyDescent="0.35">
      <c r="A506" t="s">
        <v>11</v>
      </c>
      <c r="B506" t="s">
        <v>35</v>
      </c>
      <c r="C506" t="s">
        <v>33</v>
      </c>
      <c r="D506" t="s">
        <v>33</v>
      </c>
      <c r="E506" t="s">
        <v>39</v>
      </c>
      <c r="F506" t="s">
        <v>37</v>
      </c>
      <c r="G506" t="s">
        <v>5</v>
      </c>
    </row>
    <row r="507" spans="1:7" x14ac:dyDescent="0.35">
      <c r="A507" t="s">
        <v>12</v>
      </c>
      <c r="B507" t="s">
        <v>33</v>
      </c>
      <c r="C507" t="s">
        <v>33</v>
      </c>
      <c r="D507" t="s">
        <v>33</v>
      </c>
      <c r="E507" t="s">
        <v>33</v>
      </c>
      <c r="F507" t="s">
        <v>33</v>
      </c>
      <c r="G507" t="s">
        <v>5</v>
      </c>
    </row>
    <row r="508" spans="1:7" x14ac:dyDescent="0.35">
      <c r="A508" t="s">
        <v>11</v>
      </c>
      <c r="B508" t="s">
        <v>35</v>
      </c>
      <c r="C508" t="s">
        <v>39</v>
      </c>
      <c r="D508" t="s">
        <v>39</v>
      </c>
      <c r="E508" t="s">
        <v>37</v>
      </c>
      <c r="F508" t="s">
        <v>33</v>
      </c>
      <c r="G508" t="s">
        <v>7</v>
      </c>
    </row>
    <row r="509" spans="1:7" x14ac:dyDescent="0.35">
      <c r="A509" t="s">
        <v>11</v>
      </c>
      <c r="B509" t="s">
        <v>33</v>
      </c>
      <c r="C509" t="s">
        <v>33</v>
      </c>
      <c r="D509" t="s">
        <v>33</v>
      </c>
      <c r="E509" t="s">
        <v>33</v>
      </c>
      <c r="F509" t="s">
        <v>39</v>
      </c>
      <c r="G509" t="s">
        <v>5</v>
      </c>
    </row>
    <row r="510" spans="1:7" x14ac:dyDescent="0.35">
      <c r="A510" t="s">
        <v>12</v>
      </c>
      <c r="B510" t="s">
        <v>39</v>
      </c>
      <c r="C510" t="s">
        <v>35</v>
      </c>
      <c r="D510" t="s">
        <v>35</v>
      </c>
      <c r="E510" t="s">
        <v>37</v>
      </c>
      <c r="F510" t="s">
        <v>37</v>
      </c>
      <c r="G510" t="s">
        <v>7</v>
      </c>
    </row>
    <row r="511" spans="1:7" x14ac:dyDescent="0.35">
      <c r="A511" t="s">
        <v>11</v>
      </c>
      <c r="B511" t="s">
        <v>35</v>
      </c>
      <c r="C511" t="s">
        <v>33</v>
      </c>
      <c r="D511" t="s">
        <v>37</v>
      </c>
      <c r="E511" t="s">
        <v>33</v>
      </c>
      <c r="F511" t="s">
        <v>39</v>
      </c>
      <c r="G511" t="s">
        <v>5</v>
      </c>
    </row>
    <row r="512" spans="1:7" x14ac:dyDescent="0.35">
      <c r="A512" t="s">
        <v>11</v>
      </c>
      <c r="B512" t="s">
        <v>33</v>
      </c>
      <c r="C512" t="s">
        <v>33</v>
      </c>
      <c r="D512" t="s">
        <v>35</v>
      </c>
      <c r="E512" t="s">
        <v>33</v>
      </c>
      <c r="F512" t="s">
        <v>39</v>
      </c>
      <c r="G512" t="s">
        <v>7</v>
      </c>
    </row>
    <row r="513" spans="1:7" x14ac:dyDescent="0.35">
      <c r="A513" t="s">
        <v>11</v>
      </c>
      <c r="B513" t="s">
        <v>33</v>
      </c>
      <c r="C513" t="s">
        <v>33</v>
      </c>
      <c r="D513" t="s">
        <v>33</v>
      </c>
      <c r="E513" t="s">
        <v>39</v>
      </c>
      <c r="F513" t="s">
        <v>33</v>
      </c>
      <c r="G513" t="s">
        <v>7</v>
      </c>
    </row>
    <row r="514" spans="1:7" x14ac:dyDescent="0.35">
      <c r="A514" t="s">
        <v>12</v>
      </c>
      <c r="B514" t="s">
        <v>37</v>
      </c>
      <c r="C514" t="s">
        <v>35</v>
      </c>
      <c r="D514" t="s">
        <v>35</v>
      </c>
      <c r="E514" t="s">
        <v>35</v>
      </c>
      <c r="F514" t="s">
        <v>35</v>
      </c>
      <c r="G514" t="s">
        <v>7</v>
      </c>
    </row>
    <row r="515" spans="1:7" x14ac:dyDescent="0.35">
      <c r="A515" t="s">
        <v>12</v>
      </c>
      <c r="B515" t="s">
        <v>37</v>
      </c>
      <c r="C515" t="s">
        <v>33</v>
      </c>
      <c r="D515" t="s">
        <v>33</v>
      </c>
      <c r="E515" t="s">
        <v>39</v>
      </c>
      <c r="F515" t="s">
        <v>37</v>
      </c>
      <c r="G515" t="s">
        <v>5</v>
      </c>
    </row>
    <row r="516" spans="1:7" x14ac:dyDescent="0.35">
      <c r="A516" t="s">
        <v>12</v>
      </c>
      <c r="B516" t="s">
        <v>37</v>
      </c>
      <c r="C516" t="s">
        <v>37</v>
      </c>
      <c r="D516" t="s">
        <v>37</v>
      </c>
      <c r="E516" t="s">
        <v>35</v>
      </c>
      <c r="F516" t="s">
        <v>39</v>
      </c>
      <c r="G516" t="s">
        <v>5</v>
      </c>
    </row>
    <row r="517" spans="1:7" x14ac:dyDescent="0.35">
      <c r="A517" t="s">
        <v>11</v>
      </c>
      <c r="B517" t="s">
        <v>33</v>
      </c>
      <c r="C517" t="s">
        <v>33</v>
      </c>
      <c r="D517" t="s">
        <v>33</v>
      </c>
      <c r="E517" t="s">
        <v>35</v>
      </c>
      <c r="F517" t="s">
        <v>35</v>
      </c>
      <c r="G517" t="s">
        <v>5</v>
      </c>
    </row>
    <row r="518" spans="1:7" x14ac:dyDescent="0.35">
      <c r="A518" t="s">
        <v>12</v>
      </c>
      <c r="B518" t="s">
        <v>33</v>
      </c>
      <c r="C518" t="s">
        <v>35</v>
      </c>
      <c r="D518" t="s">
        <v>35</v>
      </c>
      <c r="E518" t="s">
        <v>35</v>
      </c>
      <c r="F518" t="s">
        <v>35</v>
      </c>
      <c r="G518" t="s">
        <v>7</v>
      </c>
    </row>
    <row r="519" spans="1:7" x14ac:dyDescent="0.35">
      <c r="A519" t="s">
        <v>12</v>
      </c>
      <c r="B519" t="s">
        <v>37</v>
      </c>
      <c r="C519" t="s">
        <v>37</v>
      </c>
      <c r="D519" t="s">
        <v>33</v>
      </c>
      <c r="E519" t="s">
        <v>39</v>
      </c>
      <c r="F519" t="s">
        <v>37</v>
      </c>
      <c r="G519" t="s">
        <v>7</v>
      </c>
    </row>
    <row r="520" spans="1:7" x14ac:dyDescent="0.35">
      <c r="A520" t="s">
        <v>12</v>
      </c>
      <c r="B520" t="s">
        <v>39</v>
      </c>
      <c r="C520" t="s">
        <v>39</v>
      </c>
      <c r="D520" t="s">
        <v>39</v>
      </c>
      <c r="E520" t="s">
        <v>39</v>
      </c>
      <c r="F520" t="s">
        <v>39</v>
      </c>
      <c r="G520" t="s">
        <v>7</v>
      </c>
    </row>
    <row r="521" spans="1:7" x14ac:dyDescent="0.35">
      <c r="A521" t="s">
        <v>11</v>
      </c>
      <c r="B521" t="s">
        <v>39</v>
      </c>
      <c r="C521" t="s">
        <v>39</v>
      </c>
      <c r="D521" t="s">
        <v>39</v>
      </c>
      <c r="E521" t="s">
        <v>39</v>
      </c>
      <c r="F521" t="s">
        <v>39</v>
      </c>
      <c r="G521" t="s">
        <v>5</v>
      </c>
    </row>
    <row r="522" spans="1:7" x14ac:dyDescent="0.35">
      <c r="A522" t="s">
        <v>12</v>
      </c>
      <c r="B522" t="s">
        <v>35</v>
      </c>
      <c r="C522" t="s">
        <v>33</v>
      </c>
      <c r="D522" t="s">
        <v>33</v>
      </c>
      <c r="E522" t="s">
        <v>37</v>
      </c>
      <c r="F522" t="s">
        <v>37</v>
      </c>
      <c r="G522" t="s">
        <v>5</v>
      </c>
    </row>
    <row r="523" spans="1:7" x14ac:dyDescent="0.35">
      <c r="A523" t="s">
        <v>11</v>
      </c>
      <c r="B523" t="s">
        <v>37</v>
      </c>
      <c r="C523" t="s">
        <v>39</v>
      </c>
      <c r="D523" t="s">
        <v>35</v>
      </c>
      <c r="E523" t="s">
        <v>39</v>
      </c>
      <c r="F523" t="s">
        <v>37</v>
      </c>
      <c r="G523" t="s">
        <v>7</v>
      </c>
    </row>
    <row r="524" spans="1:7" x14ac:dyDescent="0.35">
      <c r="A524" t="s">
        <v>11</v>
      </c>
      <c r="B524" t="s">
        <v>37</v>
      </c>
      <c r="C524" t="s">
        <v>37</v>
      </c>
      <c r="D524" t="s">
        <v>37</v>
      </c>
      <c r="E524" t="s">
        <v>37</v>
      </c>
      <c r="F524" t="s">
        <v>35</v>
      </c>
      <c r="G524" t="s">
        <v>7</v>
      </c>
    </row>
    <row r="525" spans="1:7" x14ac:dyDescent="0.35">
      <c r="A525" t="s">
        <v>11</v>
      </c>
      <c r="B525" t="s">
        <v>33</v>
      </c>
      <c r="C525" t="s">
        <v>35</v>
      </c>
      <c r="D525" t="s">
        <v>33</v>
      </c>
      <c r="E525" t="s">
        <v>37</v>
      </c>
      <c r="F525" t="s">
        <v>33</v>
      </c>
      <c r="G525" t="s">
        <v>7</v>
      </c>
    </row>
    <row r="526" spans="1:7" x14ac:dyDescent="0.35">
      <c r="A526" t="s">
        <v>11</v>
      </c>
      <c r="B526" t="s">
        <v>35</v>
      </c>
      <c r="C526" t="s">
        <v>35</v>
      </c>
      <c r="D526" t="s">
        <v>35</v>
      </c>
      <c r="E526" t="s">
        <v>37</v>
      </c>
      <c r="F526" t="s">
        <v>33</v>
      </c>
      <c r="G526" t="s">
        <v>7</v>
      </c>
    </row>
    <row r="527" spans="1:7" x14ac:dyDescent="0.35">
      <c r="A527" t="s">
        <v>11</v>
      </c>
      <c r="B527" t="s">
        <v>37</v>
      </c>
      <c r="C527" t="s">
        <v>39</v>
      </c>
      <c r="D527" t="s">
        <v>35</v>
      </c>
      <c r="E527" t="s">
        <v>39</v>
      </c>
      <c r="F527" t="s">
        <v>33</v>
      </c>
      <c r="G527" t="s">
        <v>7</v>
      </c>
    </row>
    <row r="528" spans="1:7" x14ac:dyDescent="0.35">
      <c r="A528" t="s">
        <v>11</v>
      </c>
      <c r="B528" t="s">
        <v>33</v>
      </c>
      <c r="C528" t="s">
        <v>33</v>
      </c>
      <c r="D528" t="s">
        <v>33</v>
      </c>
      <c r="E528" t="s">
        <v>37</v>
      </c>
      <c r="F528" t="s">
        <v>33</v>
      </c>
      <c r="G528" t="s">
        <v>7</v>
      </c>
    </row>
    <row r="529" spans="1:7" x14ac:dyDescent="0.35">
      <c r="A529" t="s">
        <v>12</v>
      </c>
      <c r="B529" t="s">
        <v>39</v>
      </c>
      <c r="C529" t="s">
        <v>39</v>
      </c>
      <c r="D529" t="s">
        <v>37</v>
      </c>
      <c r="E529" t="s">
        <v>39</v>
      </c>
      <c r="F529" t="s">
        <v>35</v>
      </c>
      <c r="G529" t="s">
        <v>7</v>
      </c>
    </row>
    <row r="530" spans="1:7" x14ac:dyDescent="0.35">
      <c r="A530" t="s">
        <v>11</v>
      </c>
      <c r="B530" t="s">
        <v>33</v>
      </c>
      <c r="C530" t="s">
        <v>33</v>
      </c>
      <c r="D530" t="s">
        <v>33</v>
      </c>
      <c r="E530" t="s">
        <v>33</v>
      </c>
      <c r="F530" t="s">
        <v>33</v>
      </c>
      <c r="G530" t="s">
        <v>7</v>
      </c>
    </row>
    <row r="531" spans="1:7" x14ac:dyDescent="0.35">
      <c r="A531" t="s">
        <v>12</v>
      </c>
      <c r="B531" t="s">
        <v>37</v>
      </c>
      <c r="C531" t="s">
        <v>33</v>
      </c>
      <c r="D531" t="s">
        <v>35</v>
      </c>
      <c r="E531" t="s">
        <v>33</v>
      </c>
      <c r="F531" t="s">
        <v>37</v>
      </c>
      <c r="G531" t="s">
        <v>5</v>
      </c>
    </row>
    <row r="532" spans="1:7" x14ac:dyDescent="0.35">
      <c r="A532" t="s">
        <v>11</v>
      </c>
      <c r="B532" t="s">
        <v>37</v>
      </c>
      <c r="C532" t="s">
        <v>39</v>
      </c>
      <c r="D532" t="s">
        <v>39</v>
      </c>
      <c r="E532" t="s">
        <v>37</v>
      </c>
      <c r="F532" t="s">
        <v>37</v>
      </c>
      <c r="G532" t="s">
        <v>5</v>
      </c>
    </row>
    <row r="533" spans="1:7" x14ac:dyDescent="0.35">
      <c r="A533" t="s">
        <v>12</v>
      </c>
      <c r="B533" t="s">
        <v>39</v>
      </c>
      <c r="C533" t="s">
        <v>39</v>
      </c>
      <c r="D533" t="s">
        <v>35</v>
      </c>
      <c r="E533" t="s">
        <v>39</v>
      </c>
      <c r="F533" t="s">
        <v>35</v>
      </c>
      <c r="G533" t="s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opLeftCell="B1" workbookViewId="0">
      <selection sqref="A1:R13"/>
    </sheetView>
  </sheetViews>
  <sheetFormatPr defaultRowHeight="14.5" x14ac:dyDescent="0.35"/>
  <cols>
    <col min="1" max="1" width="11.54296875" bestFit="1" customWidth="1"/>
  </cols>
  <sheetData>
    <row r="1" spans="1:14" ht="29" x14ac:dyDescent="0.35"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</row>
    <row r="2" spans="1:14" x14ac:dyDescent="0.35">
      <c r="A2" t="s">
        <v>31</v>
      </c>
      <c r="B2" t="s">
        <v>32</v>
      </c>
      <c r="C2">
        <v>-19</v>
      </c>
      <c r="D2">
        <v>-443</v>
      </c>
      <c r="E2">
        <v>-293</v>
      </c>
      <c r="F2">
        <v>-263</v>
      </c>
      <c r="G2">
        <v>-6</v>
      </c>
    </row>
    <row r="3" spans="1:14" x14ac:dyDescent="0.35">
      <c r="A3" t="s">
        <v>33</v>
      </c>
      <c r="B3" t="s">
        <v>34</v>
      </c>
      <c r="C3">
        <v>-5.75</v>
      </c>
      <c r="D3">
        <v>-78.75</v>
      </c>
      <c r="E3">
        <v>-71</v>
      </c>
      <c r="F3">
        <v>-54</v>
      </c>
      <c r="G3">
        <v>-1</v>
      </c>
    </row>
    <row r="4" spans="1:14" x14ac:dyDescent="0.35">
      <c r="A4" t="s">
        <v>35</v>
      </c>
      <c r="B4" t="s">
        <v>36</v>
      </c>
      <c r="C4">
        <v>0</v>
      </c>
      <c r="D4">
        <v>0</v>
      </c>
      <c r="E4">
        <v>0</v>
      </c>
      <c r="F4">
        <v>0</v>
      </c>
      <c r="G4">
        <v>0</v>
      </c>
    </row>
    <row r="5" spans="1:14" x14ac:dyDescent="0.35">
      <c r="A5" t="s">
        <v>37</v>
      </c>
      <c r="B5" t="s">
        <v>38</v>
      </c>
      <c r="C5">
        <v>5.75</v>
      </c>
      <c r="D5">
        <v>78.75</v>
      </c>
      <c r="E5">
        <v>71</v>
      </c>
      <c r="F5">
        <v>54</v>
      </c>
      <c r="G5">
        <v>1</v>
      </c>
    </row>
    <row r="6" spans="1:14" x14ac:dyDescent="0.35">
      <c r="A6" t="s">
        <v>39</v>
      </c>
      <c r="B6" t="s">
        <v>40</v>
      </c>
      <c r="C6">
        <v>19</v>
      </c>
      <c r="D6">
        <v>443</v>
      </c>
      <c r="E6">
        <v>293</v>
      </c>
      <c r="F6">
        <v>263</v>
      </c>
      <c r="G6">
        <v>6</v>
      </c>
    </row>
    <row r="8" spans="1:14" x14ac:dyDescent="0.35">
      <c r="A8">
        <v>-500</v>
      </c>
      <c r="B8" t="s">
        <v>31</v>
      </c>
      <c r="D8">
        <v>-500</v>
      </c>
      <c r="E8" t="s">
        <v>31</v>
      </c>
      <c r="G8">
        <v>-500</v>
      </c>
      <c r="H8" t="s">
        <v>31</v>
      </c>
      <c r="J8">
        <v>-500</v>
      </c>
      <c r="K8" t="s">
        <v>31</v>
      </c>
      <c r="M8">
        <v>-500</v>
      </c>
      <c r="N8" t="s">
        <v>31</v>
      </c>
    </row>
    <row r="9" spans="1:14" x14ac:dyDescent="0.35">
      <c r="A9">
        <v>-19</v>
      </c>
      <c r="B9" t="s">
        <v>33</v>
      </c>
      <c r="D9">
        <v>-443</v>
      </c>
      <c r="E9" t="s">
        <v>33</v>
      </c>
      <c r="G9">
        <v>-293</v>
      </c>
      <c r="H9" t="s">
        <v>33</v>
      </c>
      <c r="J9">
        <v>-263</v>
      </c>
      <c r="K9" t="s">
        <v>33</v>
      </c>
      <c r="M9">
        <v>-6</v>
      </c>
      <c r="N9" t="s">
        <v>33</v>
      </c>
    </row>
    <row r="10" spans="1:14" x14ac:dyDescent="0.35">
      <c r="A10">
        <v>-5.75</v>
      </c>
      <c r="B10" t="s">
        <v>35</v>
      </c>
      <c r="D10">
        <v>-78.75</v>
      </c>
      <c r="E10" t="s">
        <v>35</v>
      </c>
      <c r="G10">
        <v>-71</v>
      </c>
      <c r="H10" t="s">
        <v>35</v>
      </c>
      <c r="J10">
        <v>-54</v>
      </c>
      <c r="K10" t="s">
        <v>35</v>
      </c>
      <c r="M10">
        <v>-1</v>
      </c>
      <c r="N10" t="s">
        <v>35</v>
      </c>
    </row>
    <row r="11" spans="1:14" x14ac:dyDescent="0.35">
      <c r="A11">
        <v>0</v>
      </c>
      <c r="B11" t="s">
        <v>37</v>
      </c>
      <c r="D11">
        <v>0</v>
      </c>
      <c r="E11" t="s">
        <v>37</v>
      </c>
      <c r="G11">
        <v>0</v>
      </c>
      <c r="H11" t="s">
        <v>37</v>
      </c>
      <c r="J11">
        <v>0</v>
      </c>
      <c r="K11" t="s">
        <v>37</v>
      </c>
      <c r="M11">
        <v>0</v>
      </c>
      <c r="N11" t="s">
        <v>37</v>
      </c>
    </row>
    <row r="12" spans="1:14" x14ac:dyDescent="0.35">
      <c r="A12">
        <v>5.75</v>
      </c>
      <c r="B12" t="s">
        <v>39</v>
      </c>
      <c r="D12">
        <v>78.75</v>
      </c>
      <c r="E12" t="s">
        <v>39</v>
      </c>
      <c r="G12">
        <v>71</v>
      </c>
      <c r="H12" t="s">
        <v>39</v>
      </c>
      <c r="J12">
        <v>54</v>
      </c>
      <c r="K12" t="s">
        <v>39</v>
      </c>
      <c r="M12">
        <v>1</v>
      </c>
      <c r="N12" t="s">
        <v>39</v>
      </c>
    </row>
    <row r="13" spans="1:14" x14ac:dyDescent="0.35">
      <c r="A13">
        <v>19</v>
      </c>
      <c r="D13">
        <v>443</v>
      </c>
      <c r="G13">
        <v>293</v>
      </c>
      <c r="J13">
        <v>263</v>
      </c>
      <c r="M1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Raw</vt:lpstr>
      <vt:lpstr>Clean</vt:lpstr>
      <vt:lpstr>Randomized</vt:lpstr>
      <vt:lpstr>NFLDataSet</vt:lpstr>
      <vt:lpstr>names</vt:lpstr>
      <vt:lpstr>train</vt:lpstr>
      <vt:lpstr>test</vt:lpstr>
      <vt:lpstr>NFLDataSetDiscrete2</vt:lpstr>
      <vt:lpstr>NFLTrain</vt:lpstr>
      <vt:lpstr>NFLTest</vt:lpstr>
      <vt:lpstr>NFLValidation</vt:lpstr>
      <vt:lpstr>Reference2</vt:lpstr>
      <vt:lpstr>NFLDataSetDiscrete</vt:lpstr>
      <vt:lpstr>Reference</vt:lpstr>
      <vt:lpstr>FirstDownDiff</vt:lpstr>
      <vt:lpstr>FirstDownDiff2</vt:lpstr>
      <vt:lpstr>PassYardsDiff</vt:lpstr>
      <vt:lpstr>PassYardsDiff2</vt:lpstr>
      <vt:lpstr>RushYards2</vt:lpstr>
      <vt:lpstr>RushYardsDiff</vt:lpstr>
      <vt:lpstr>TotalYardDiff2</vt:lpstr>
      <vt:lpstr>TotalYardsDiff</vt:lpstr>
      <vt:lpstr>TurnOverDiff</vt:lpstr>
      <vt:lpstr>TurnOverDiff2</vt:lpstr>
    </vt:vector>
  </TitlesOfParts>
  <Company>Loras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K. McCain</dc:creator>
  <cp:lastModifiedBy>Alexander E. Rhomberg</cp:lastModifiedBy>
  <dcterms:created xsi:type="dcterms:W3CDTF">2020-05-06T15:03:36Z</dcterms:created>
  <dcterms:modified xsi:type="dcterms:W3CDTF">2020-05-16T17:03:14Z</dcterms:modified>
</cp:coreProperties>
</file>